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DL_PACKING\AppData\Local\Microsoft\Windows\INetCache\Content.Outlook\PR4WF3QO\"/>
    </mc:Choice>
  </mc:AlternateContent>
  <xr:revisionPtr revIDLastSave="0" documentId="13_ncr:1_{44A94733-8B1C-4E49-958D-58ADB90399CA}" xr6:coauthVersionLast="47" xr6:coauthVersionMax="47" xr10:uidLastSave="{00000000-0000-0000-0000-000000000000}"/>
  <bookViews>
    <workbookView xWindow="-120" yWindow="-120" windowWidth="20730" windowHeight="11040" xr2:uid="{B63A243C-2348-4726-913A-1EAC30489968}"/>
  </bookViews>
  <sheets>
    <sheet name="LPO_Store" sheetId="2" r:id="rId1"/>
  </sheets>
  <definedNames>
    <definedName name="_xlnm._FilterDatabase" localSheetId="0" hidden="1">LPO_Store!$J$15:$M$20</definedName>
    <definedName name="_xlnm.Print_Area" localSheetId="0">LPO_Store!$A$1:$Y$29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0" i="2" l="1"/>
  <c r="D22" i="2" s="1"/>
  <c r="R19" i="2"/>
  <c r="S19" i="2" s="1"/>
  <c r="N19" i="2"/>
  <c r="R18" i="2"/>
  <c r="S18" i="2" s="1"/>
  <c r="N18" i="2"/>
  <c r="R17" i="2"/>
  <c r="S17" i="2" s="1"/>
  <c r="N17" i="2"/>
  <c r="R16" i="2"/>
  <c r="N16" i="2"/>
  <c r="V17" i="2" l="1"/>
  <c r="O17" i="2"/>
  <c r="P17" i="2" s="1"/>
  <c r="Q17" i="2" s="1"/>
  <c r="T17" i="2"/>
  <c r="B17" i="2"/>
  <c r="U17" i="2"/>
  <c r="T18" i="2"/>
  <c r="O18" i="2"/>
  <c r="P18" i="2" s="1"/>
  <c r="Q18" i="2" s="1"/>
  <c r="V18" i="2"/>
  <c r="B18" i="2"/>
  <c r="U18" i="2"/>
  <c r="O19" i="2"/>
  <c r="P19" i="2" s="1"/>
  <c r="Q19" i="2" s="1"/>
  <c r="V19" i="2"/>
  <c r="B19" i="2"/>
  <c r="T19" i="2"/>
  <c r="C20" i="2"/>
  <c r="D26" i="2" s="1"/>
  <c r="O16" i="2"/>
  <c r="B16" i="2"/>
  <c r="V16" i="2"/>
  <c r="U19" i="2"/>
  <c r="T16" i="2"/>
  <c r="T20" i="2" s="1"/>
  <c r="S16" i="2"/>
  <c r="U16" i="2" s="1"/>
  <c r="P16" i="2" l="1"/>
  <c r="O20" i="2"/>
  <c r="D23" i="2" s="1"/>
  <c r="D24" i="2" s="1"/>
  <c r="D25" i="2" s="1"/>
  <c r="U20" i="2"/>
  <c r="F27" i="2"/>
  <c r="D27" i="2"/>
  <c r="V20" i="2"/>
  <c r="D29" i="2" s="1"/>
  <c r="Q16" i="2" l="1"/>
  <c r="P20" i="2"/>
  <c r="Q20" i="2" s="1"/>
  <c r="F28" i="2"/>
  <c r="D28" i="2"/>
</calcChain>
</file>

<file path=xl/sharedStrings.xml><?xml version="1.0" encoding="utf-8"?>
<sst xmlns="http://schemas.openxmlformats.org/spreadsheetml/2006/main" count="100" uniqueCount="87">
  <si>
    <t>HADDAD BRAND PACKING LIST</t>
  </si>
  <si>
    <t xml:space="preserve">EXPORTER &amp; IMPORTER </t>
  </si>
  <si>
    <t xml:space="preserve">FACTORY </t>
  </si>
  <si>
    <t>ADDRESS</t>
  </si>
  <si>
    <t>SHIPPING ADDRESS</t>
  </si>
  <si>
    <t xml:space="preserve">CONTAINER NO </t>
  </si>
  <si>
    <t xml:space="preserve">INVOICE NO </t>
  </si>
  <si>
    <t>DATE</t>
  </si>
  <si>
    <t>FROM</t>
  </si>
  <si>
    <t>BANGLADESH</t>
  </si>
  <si>
    <t xml:space="preserve">TO </t>
  </si>
  <si>
    <t>WAREHOUSE CODE</t>
  </si>
  <si>
    <t xml:space="preserve">Carton No </t>
  </si>
  <si>
    <t>TOTAL NO. OF CTN</t>
  </si>
  <si>
    <t>STYLE NO.</t>
  </si>
  <si>
    <t>LABEL</t>
  </si>
  <si>
    <t>PO NO.</t>
  </si>
  <si>
    <t>REF.NO</t>
  </si>
  <si>
    <t>COLOR</t>
  </si>
  <si>
    <t>ORDER QTY</t>
  </si>
  <si>
    <t>UNITS QTY PER PPK (PCS /PCS)</t>
  </si>
  <si>
    <t>SHIP QTY  (PCS)</t>
  </si>
  <si>
    <t>SHORT/ EXCESS    %</t>
  </si>
  <si>
    <t>Total CBM</t>
  </si>
  <si>
    <t>CTNS MEASUAREMENT</t>
  </si>
  <si>
    <t>OOCL CODE</t>
  </si>
  <si>
    <t>PANTONE COLOR CODE</t>
  </si>
  <si>
    <t>From  -  To</t>
  </si>
  <si>
    <t xml:space="preserve">TOTAL ORDER QTY </t>
  </si>
  <si>
    <t xml:space="preserve">PCS </t>
  </si>
  <si>
    <t>TOTAL SHIP QTY</t>
  </si>
  <si>
    <t xml:space="preserve">SHORT/EXCESS QTY  </t>
  </si>
  <si>
    <t>SHORT/EXCESS %</t>
  </si>
  <si>
    <t xml:space="preserve">TOTAL CTNS QTY       </t>
  </si>
  <si>
    <t>CTN</t>
  </si>
  <si>
    <t xml:space="preserve">TOTAL GRS WT           </t>
  </si>
  <si>
    <t>LBS   /</t>
  </si>
  <si>
    <t>KGS</t>
  </si>
  <si>
    <t xml:space="preserve">TOTAL NET WT            </t>
  </si>
  <si>
    <t>VOLUME</t>
  </si>
  <si>
    <t>CBM</t>
  </si>
  <si>
    <t>HA-MEEM DESIGN LIMITED</t>
  </si>
  <si>
    <t>MCM Road, Vadarti, Kaliganj-1720, Gazipur, Bangladesh</t>
  </si>
  <si>
    <t># Qty check</t>
  </si>
  <si>
    <t># All label layout</t>
  </si>
  <si>
    <t>Sample size:         Pcs</t>
  </si>
  <si>
    <t># Photo-8</t>
  </si>
  <si>
    <t># Measurement spec</t>
  </si>
  <si>
    <t xml:space="preserve">AQL: </t>
  </si>
  <si>
    <t># Fabric test report</t>
  </si>
  <si>
    <t># ICC Stricker scan</t>
  </si>
  <si>
    <t>Selected carton:        Cartons</t>
  </si>
  <si>
    <t># Garment test report</t>
  </si>
  <si>
    <t># CPSIA test report</t>
  </si>
  <si>
    <t># Trims card</t>
  </si>
  <si>
    <t># Carton weight</t>
  </si>
  <si>
    <t># Shiping mark layout</t>
  </si>
  <si>
    <t># Carton measurement</t>
  </si>
  <si>
    <t># Moisture check</t>
  </si>
  <si>
    <t># Control sheet</t>
  </si>
  <si>
    <t># Metal check</t>
  </si>
  <si>
    <t xml:space="preserve">PACK QUANTITY </t>
  </si>
  <si>
    <t>SHORT/EXCESS  (+/-)</t>
  </si>
  <si>
    <t>PER CTN GRS WT.    (LBS)</t>
  </si>
  <si>
    <t>PER CTN NET WT.  (LBS)</t>
  </si>
  <si>
    <t>TOTAL GRS WT. (LBS)</t>
  </si>
  <si>
    <t>TOTAL NET WT.  (LBS)</t>
  </si>
  <si>
    <t>L   (INCH)</t>
  </si>
  <si>
    <t>W   (INCH)</t>
  </si>
  <si>
    <t>H    (INCH)</t>
  </si>
  <si>
    <t>91U213</t>
  </si>
  <si>
    <t>P3</t>
  </si>
  <si>
    <t>0771668</t>
  </si>
  <si>
    <t>0771669</t>
  </si>
  <si>
    <t>0771670</t>
  </si>
  <si>
    <t>0771671</t>
  </si>
  <si>
    <t>LVB-WEU213</t>
  </si>
  <si>
    <t>DRESS BLUES - C8D</t>
  </si>
  <si>
    <t>JET BLACK - G52</t>
  </si>
  <si>
    <t>LIGHT TAUPE - JC3</t>
  </si>
  <si>
    <t>SMOKE BLUE - M18</t>
  </si>
  <si>
    <t>S</t>
  </si>
  <si>
    <t>M</t>
  </si>
  <si>
    <t>L</t>
  </si>
  <si>
    <t>XL</t>
  </si>
  <si>
    <t>THE HADDAD APPAREL GROUP LTD                                                                                     131 DOCKS CORNER RD                                                                                          DAYTON, NEW JERSEY 08810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</si>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</sst>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\ \ &quot;-&quot;"/>
    <numFmt numFmtId="165" formatCode="##&quot;&quot;"/>
    <numFmt numFmtId="166" formatCode="@* \:"/>
    <numFmt numFmtId="167" formatCode="[$-409]d\-mmm\-yyyy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0">
    <xf numFmtId="0" fontId="0" fillId="0" borderId="0" xfId="0"/>
    <xf numFmtId="0" fontId="0" fillId="0" borderId="0" xfId="0" applyProtection="1">
      <protection locked="0"/>
    </xf>
    <xf numFmtId="0" fontId="2" fillId="3" borderId="0" xfId="0" applyFont="1" applyFill="1" applyProtection="1">
      <protection locked="0"/>
    </xf>
    <xf numFmtId="0" fontId="0" fillId="3" borderId="0" xfId="0" applyFill="1" applyProtection="1">
      <protection locked="0"/>
    </xf>
    <xf numFmtId="0" fontId="0" fillId="0" borderId="1" xfId="0" applyBorder="1" applyProtection="1">
      <protection locked="0"/>
    </xf>
    <xf numFmtId="0" fontId="2" fillId="0" borderId="0" xfId="0" applyFont="1" applyAlignment="1" applyProtection="1">
      <alignment horizontal="center" vertical="top" wrapText="1"/>
      <protection locked="0"/>
    </xf>
    <xf numFmtId="0" fontId="0" fillId="3" borderId="16" xfId="0" applyFill="1" applyBorder="1" applyAlignment="1" applyProtection="1">
      <alignment vertical="center"/>
      <protection locked="0"/>
    </xf>
    <xf numFmtId="0" fontId="2" fillId="4" borderId="17" xfId="0" applyFont="1" applyFill="1" applyBorder="1" applyAlignment="1" applyProtection="1">
      <alignment horizontal="center" vertical="center"/>
      <protection locked="0"/>
    </xf>
    <xf numFmtId="0" fontId="5" fillId="0" borderId="17" xfId="0" applyFont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vertical="center"/>
      <protection locked="0"/>
    </xf>
    <xf numFmtId="0" fontId="0" fillId="0" borderId="0" xfId="0" applyAlignment="1" applyProtection="1">
      <alignment vertical="center"/>
      <protection locked="0"/>
    </xf>
    <xf numFmtId="0" fontId="2" fillId="0" borderId="0" xfId="0" applyFont="1" applyProtection="1">
      <protection locked="0"/>
    </xf>
    <xf numFmtId="0" fontId="0" fillId="4" borderId="13" xfId="0" applyFill="1" applyBorder="1" applyProtection="1">
      <protection locked="0"/>
    </xf>
    <xf numFmtId="0" fontId="0" fillId="4" borderId="14" xfId="0" applyFill="1" applyBorder="1" applyProtection="1">
      <protection locked="0"/>
    </xf>
    <xf numFmtId="0" fontId="6" fillId="4" borderId="17" xfId="0" applyFont="1" applyFill="1" applyBorder="1" applyAlignment="1" applyProtection="1">
      <alignment horizontal="center" vertical="center"/>
      <protection hidden="1"/>
    </xf>
    <xf numFmtId="0" fontId="0" fillId="4" borderId="17" xfId="0" applyFill="1" applyBorder="1" applyProtection="1">
      <protection locked="0"/>
    </xf>
    <xf numFmtId="10" fontId="6" fillId="4" borderId="17" xfId="1" applyNumberFormat="1" applyFont="1" applyFill="1" applyBorder="1" applyAlignment="1" applyProtection="1">
      <alignment horizontal="center" vertical="center"/>
      <protection hidden="1"/>
    </xf>
    <xf numFmtId="2" fontId="6" fillId="4" borderId="17" xfId="0" applyNumberFormat="1" applyFont="1" applyFill="1" applyBorder="1" applyAlignment="1" applyProtection="1">
      <alignment horizontal="center" vertical="center"/>
      <protection hidden="1"/>
    </xf>
    <xf numFmtId="0" fontId="0" fillId="4" borderId="31" xfId="0" applyFill="1" applyBorder="1" applyProtection="1"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Alignment="1" applyProtection="1">
      <alignment horizontal="right" vertical="center"/>
      <protection locked="0"/>
    </xf>
    <xf numFmtId="10" fontId="0" fillId="0" borderId="0" xfId="1" applyNumberFormat="1" applyFont="1" applyAlignment="1" applyProtection="1">
      <alignment horizontal="right" vertical="center"/>
      <protection locked="0"/>
    </xf>
    <xf numFmtId="2" fontId="0" fillId="0" borderId="0" xfId="0" applyNumberFormat="1" applyAlignment="1" applyProtection="1">
      <alignment horizontal="right" vertical="center"/>
      <protection locked="0"/>
    </xf>
    <xf numFmtId="164" fontId="0" fillId="0" borderId="27" xfId="0" applyNumberFormat="1" applyBorder="1" applyAlignment="1" applyProtection="1">
      <alignment horizontal="right" vertical="center"/>
      <protection locked="0"/>
    </xf>
    <xf numFmtId="165" fontId="0" fillId="0" borderId="28" xfId="0" applyNumberFormat="1" applyBorder="1" applyAlignment="1" applyProtection="1">
      <alignment horizontal="left" vertical="center"/>
      <protection hidden="1"/>
    </xf>
    <xf numFmtId="0" fontId="0" fillId="0" borderId="21" xfId="0" applyBorder="1" applyAlignment="1" applyProtection="1">
      <alignment horizontal="center" vertical="center"/>
      <protection locked="0"/>
    </xf>
    <xf numFmtId="0" fontId="0" fillId="0" borderId="20" xfId="0" applyBorder="1" applyAlignment="1" applyProtection="1">
      <alignment horizontal="center" vertical="center"/>
      <protection hidden="1"/>
    </xf>
    <xf numFmtId="0" fontId="0" fillId="0" borderId="21" xfId="0" applyBorder="1" applyAlignment="1" applyProtection="1">
      <alignment horizontal="center" vertical="center"/>
      <protection hidden="1"/>
    </xf>
    <xf numFmtId="10" fontId="0" fillId="0" borderId="20" xfId="1" applyNumberFormat="1" applyFont="1" applyFill="1" applyBorder="1" applyAlignment="1" applyProtection="1">
      <alignment horizontal="center" vertical="center"/>
      <protection hidden="1"/>
    </xf>
    <xf numFmtId="2" fontId="0" fillId="0" borderId="21" xfId="0" applyNumberFormat="1" applyBorder="1" applyAlignment="1" applyProtection="1">
      <alignment horizontal="center" vertical="center"/>
      <protection hidden="1"/>
    </xf>
    <xf numFmtId="2" fontId="0" fillId="0" borderId="20" xfId="0" applyNumberFormat="1" applyBorder="1" applyAlignment="1" applyProtection="1">
      <alignment horizontal="center" vertical="center"/>
      <protection hidden="1"/>
    </xf>
    <xf numFmtId="0" fontId="0" fillId="0" borderId="22" xfId="0" applyBorder="1" applyAlignment="1" applyProtection="1">
      <alignment horizontal="center" vertical="center"/>
      <protection locked="0"/>
    </xf>
    <xf numFmtId="164" fontId="0" fillId="0" borderId="29" xfId="0" applyNumberFormat="1" applyBorder="1" applyAlignment="1" applyProtection="1">
      <alignment horizontal="right" vertical="center"/>
      <protection locked="0"/>
    </xf>
    <xf numFmtId="165" fontId="0" fillId="0" borderId="4" xfId="0" applyNumberFormat="1" applyBorder="1" applyAlignment="1" applyProtection="1">
      <alignment horizontal="left" vertical="center"/>
      <protection hidden="1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hidden="1"/>
    </xf>
    <xf numFmtId="10" fontId="0" fillId="0" borderId="1" xfId="1" applyNumberFormat="1" applyFont="1" applyFill="1" applyBorder="1" applyAlignment="1" applyProtection="1">
      <alignment horizontal="center" vertical="center"/>
      <protection hidden="1"/>
    </xf>
    <xf numFmtId="2" fontId="0" fillId="0" borderId="1" xfId="0" applyNumberFormat="1" applyBorder="1" applyAlignment="1" applyProtection="1">
      <alignment horizontal="center" vertical="center"/>
      <protection hidden="1"/>
    </xf>
    <xf numFmtId="0" fontId="0" fillId="0" borderId="30" xfId="0" applyBorder="1" applyAlignment="1" applyProtection="1">
      <alignment horizontal="center" vertical="center"/>
      <protection locked="0"/>
    </xf>
    <xf numFmtId="0" fontId="7" fillId="4" borderId="1" xfId="0" applyFont="1" applyFill="1" applyBorder="1" applyAlignment="1">
      <alignment horizontal="center" vertical="center"/>
    </xf>
    <xf numFmtId="0" fontId="0" fillId="0" borderId="20" xfId="0" applyBorder="1" applyAlignment="1" applyProtection="1">
      <alignment horizontal="center" vertical="center"/>
      <protection locked="0"/>
    </xf>
    <xf numFmtId="0" fontId="8" fillId="4" borderId="25" xfId="0" applyFont="1" applyFill="1" applyBorder="1" applyAlignment="1" applyProtection="1">
      <alignment horizontal="center" vertical="center" wrapText="1"/>
      <protection locked="0"/>
    </xf>
    <xf numFmtId="1" fontId="6" fillId="4" borderId="17" xfId="0" applyNumberFormat="1" applyFont="1" applyFill="1" applyBorder="1" applyAlignment="1" applyProtection="1">
      <alignment horizontal="center" vertical="center"/>
      <protection hidden="1"/>
    </xf>
    <xf numFmtId="0" fontId="0" fillId="0" borderId="32" xfId="0" applyBorder="1" applyAlignment="1" applyProtection="1">
      <alignment horizontal="center" vertical="center"/>
      <protection locked="0"/>
    </xf>
    <xf numFmtId="2" fontId="0" fillId="0" borderId="1" xfId="0" applyNumberFormat="1" applyBorder="1" applyAlignment="1">
      <alignment horizontal="center" vertical="center"/>
    </xf>
    <xf numFmtId="0" fontId="3" fillId="2" borderId="0" xfId="0" applyFont="1" applyFill="1" applyAlignment="1" applyProtection="1">
      <alignment vertical="center"/>
      <protection locked="0"/>
    </xf>
    <xf numFmtId="166" fontId="2" fillId="0" borderId="0" xfId="0" applyNumberFormat="1" applyFont="1" applyAlignment="1" applyProtection="1">
      <alignment horizontal="left" vertical="center"/>
      <protection locked="0"/>
    </xf>
    <xf numFmtId="0" fontId="8" fillId="4" borderId="22" xfId="0" applyFont="1" applyFill="1" applyBorder="1" applyAlignment="1" applyProtection="1">
      <alignment horizontal="center" vertical="center" wrapText="1"/>
      <protection locked="0"/>
    </xf>
    <xf numFmtId="0" fontId="8" fillId="4" borderId="26" xfId="0" applyFont="1" applyFill="1" applyBorder="1" applyAlignment="1" applyProtection="1">
      <alignment horizontal="center" vertical="center" wrapText="1"/>
      <protection locked="0"/>
    </xf>
    <xf numFmtId="0" fontId="2" fillId="4" borderId="23" xfId="0" applyFont="1" applyFill="1" applyBorder="1" applyAlignment="1" applyProtection="1">
      <alignment horizontal="center" vertical="center" wrapText="1"/>
      <protection locked="0"/>
    </xf>
    <xf numFmtId="0" fontId="2" fillId="4" borderId="24" xfId="0" applyFont="1" applyFill="1" applyBorder="1" applyAlignment="1" applyProtection="1">
      <alignment horizontal="center" vertical="center" wrapText="1"/>
      <protection locked="0"/>
    </xf>
    <xf numFmtId="0" fontId="8" fillId="4" borderId="21" xfId="0" applyFont="1" applyFill="1" applyBorder="1" applyAlignment="1" applyProtection="1">
      <alignment horizontal="center" vertical="center" wrapText="1"/>
      <protection locked="0"/>
    </xf>
    <xf numFmtId="0" fontId="8" fillId="4" borderId="25" xfId="0" applyFont="1" applyFill="1" applyBorder="1" applyAlignment="1" applyProtection="1">
      <alignment horizontal="center" vertical="center" wrapText="1"/>
      <protection locked="0"/>
    </xf>
    <xf numFmtId="0" fontId="8" fillId="4" borderId="21" xfId="0" applyFont="1" applyFill="1" applyBorder="1" applyAlignment="1" applyProtection="1">
      <alignment horizontal="center" wrapText="1"/>
      <protection locked="0"/>
    </xf>
    <xf numFmtId="0" fontId="2" fillId="4" borderId="15" xfId="0" applyFont="1" applyFill="1" applyBorder="1" applyAlignment="1" applyProtection="1">
      <alignment horizontal="center" vertical="center"/>
      <protection locked="0"/>
    </xf>
    <xf numFmtId="0" fontId="2" fillId="4" borderId="14" xfId="0" applyFont="1" applyFill="1" applyBorder="1" applyAlignment="1" applyProtection="1">
      <alignment horizontal="center" vertical="center"/>
      <protection locked="0"/>
    </xf>
    <xf numFmtId="0" fontId="0" fillId="0" borderId="15" xfId="0" applyBorder="1" applyAlignment="1" applyProtection="1">
      <alignment horizontal="center" vertical="center"/>
      <protection locked="0"/>
    </xf>
    <xf numFmtId="0" fontId="0" fillId="0" borderId="16" xfId="0" applyBorder="1" applyAlignment="1" applyProtection="1">
      <alignment horizontal="center" vertical="center"/>
      <protection locked="0"/>
    </xf>
    <xf numFmtId="0" fontId="0" fillId="0" borderId="14" xfId="0" applyBorder="1" applyAlignment="1" applyProtection="1">
      <alignment horizontal="center" vertical="center"/>
      <protection locked="0"/>
    </xf>
    <xf numFmtId="0" fontId="2" fillId="4" borderId="19" xfId="0" applyFont="1" applyFill="1" applyBorder="1" applyAlignment="1" applyProtection="1">
      <alignment horizontal="center" vertical="center" wrapText="1"/>
      <protection locked="0"/>
    </xf>
    <xf numFmtId="0" fontId="2" fillId="4" borderId="20" xfId="0" applyFont="1" applyFill="1" applyBorder="1" applyAlignment="1" applyProtection="1">
      <alignment horizontal="center" vertical="center" wrapText="1"/>
      <protection locked="0"/>
    </xf>
    <xf numFmtId="0" fontId="2" fillId="4" borderId="21" xfId="0" applyFont="1" applyFill="1" applyBorder="1" applyAlignment="1" applyProtection="1">
      <alignment horizontal="center" vertical="center" wrapText="1"/>
      <protection locked="0"/>
    </xf>
    <xf numFmtId="0" fontId="2" fillId="4" borderId="25" xfId="0" applyFont="1" applyFill="1" applyBorder="1" applyAlignment="1" applyProtection="1">
      <alignment horizontal="center" vertical="center" wrapText="1"/>
      <protection locked="0"/>
    </xf>
    <xf numFmtId="0" fontId="2" fillId="4" borderId="13" xfId="0" applyFont="1" applyFill="1" applyBorder="1" applyAlignment="1" applyProtection="1">
      <alignment horizontal="center" vertical="center"/>
      <protection locked="0"/>
    </xf>
    <xf numFmtId="0" fontId="5" fillId="0" borderId="15" xfId="0" applyFont="1" applyBorder="1" applyAlignment="1" applyProtection="1">
      <alignment horizontal="center" vertical="center"/>
      <protection locked="0"/>
    </xf>
    <xf numFmtId="0" fontId="5" fillId="0" borderId="14" xfId="0" applyFont="1" applyBorder="1" applyAlignment="1" applyProtection="1">
      <alignment horizontal="center" vertical="center"/>
      <protection locked="0"/>
    </xf>
    <xf numFmtId="0" fontId="2" fillId="4" borderId="21" xfId="0" applyFont="1" applyFill="1" applyBorder="1" applyAlignment="1" applyProtection="1">
      <alignment horizontal="center" vertical="center"/>
      <protection locked="0"/>
    </xf>
    <xf numFmtId="0" fontId="3" fillId="2" borderId="0" xfId="0" applyFont="1" applyFill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horizontal="center" vertical="center" wrapText="1"/>
      <protection locked="0"/>
    </xf>
    <xf numFmtId="0" fontId="2" fillId="0" borderId="6" xfId="0" applyFont="1" applyBorder="1" applyAlignment="1" applyProtection="1">
      <alignment horizontal="center" vertical="center" wrapText="1"/>
      <protection locked="0"/>
    </xf>
    <xf numFmtId="0" fontId="2" fillId="0" borderId="11" xfId="0" applyFont="1" applyBorder="1" applyAlignment="1" applyProtection="1">
      <alignment horizontal="center" vertical="center" wrapText="1"/>
      <protection locked="0"/>
    </xf>
    <xf numFmtId="0" fontId="2" fillId="0" borderId="12" xfId="0" applyFont="1" applyBorder="1" applyAlignment="1" applyProtection="1">
      <alignment horizontal="center" vertical="center" wrapText="1"/>
      <protection locked="0"/>
    </xf>
    <xf numFmtId="0" fontId="2" fillId="0" borderId="8" xfId="0" applyFont="1" applyBorder="1" applyAlignment="1" applyProtection="1">
      <alignment horizontal="center" vertical="center" wrapText="1"/>
      <protection locked="0"/>
    </xf>
    <xf numFmtId="0" fontId="2" fillId="0" borderId="9" xfId="0" applyFont="1" applyBorder="1" applyAlignment="1" applyProtection="1">
      <alignment horizontal="center" vertical="center" wrapText="1"/>
      <protection locked="0"/>
    </xf>
    <xf numFmtId="0" fontId="0" fillId="3" borderId="5" xfId="0" applyFill="1" applyBorder="1" applyAlignment="1" applyProtection="1">
      <alignment horizontal="center" vertical="center" wrapText="1"/>
      <protection locked="0"/>
    </xf>
    <xf numFmtId="0" fontId="0" fillId="3" borderId="7" xfId="0" applyFill="1" applyBorder="1" applyAlignment="1" applyProtection="1">
      <alignment horizontal="center" vertical="center" wrapText="1"/>
      <protection locked="0"/>
    </xf>
    <xf numFmtId="0" fontId="0" fillId="3" borderId="6" xfId="0" applyFill="1" applyBorder="1" applyAlignment="1" applyProtection="1">
      <alignment horizontal="center" vertical="center" wrapText="1"/>
      <protection locked="0"/>
    </xf>
    <xf numFmtId="0" fontId="0" fillId="3" borderId="11" xfId="0" applyFill="1" applyBorder="1" applyAlignment="1" applyProtection="1">
      <alignment horizontal="center" vertical="center" wrapText="1"/>
      <protection locked="0"/>
    </xf>
    <xf numFmtId="0" fontId="0" fillId="3" borderId="0" xfId="0" applyFill="1" applyAlignment="1" applyProtection="1">
      <alignment horizontal="center" vertical="center" wrapText="1"/>
      <protection locked="0"/>
    </xf>
    <xf numFmtId="0" fontId="0" fillId="3" borderId="12" xfId="0" applyFill="1" applyBorder="1" applyAlignment="1" applyProtection="1">
      <alignment horizontal="center" vertical="center" wrapText="1"/>
      <protection locked="0"/>
    </xf>
    <xf numFmtId="0" fontId="0" fillId="3" borderId="8" xfId="0" applyFill="1" applyBorder="1" applyAlignment="1" applyProtection="1">
      <alignment horizontal="center" vertical="center" wrapText="1"/>
      <protection locked="0"/>
    </xf>
    <xf numFmtId="0" fontId="0" fillId="3" borderId="10" xfId="0" applyFill="1" applyBorder="1" applyAlignment="1" applyProtection="1">
      <alignment horizontal="center" vertical="center" wrapText="1"/>
      <protection locked="0"/>
    </xf>
    <xf numFmtId="0" fontId="0" fillId="3" borderId="9" xfId="0" applyFill="1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horizontal="center"/>
      <protection locked="0"/>
    </xf>
    <xf numFmtId="167" fontId="0" fillId="0" borderId="1" xfId="0" applyNumberFormat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3" borderId="2" xfId="0" applyFont="1" applyFill="1" applyBorder="1" applyAlignment="1" applyProtection="1">
      <alignment vertical="center"/>
      <protection locked="0"/>
    </xf>
    <xf numFmtId="0" fontId="2" fillId="3" borderId="3" xfId="0" applyFont="1" applyFill="1" applyBorder="1" applyAlignment="1" applyProtection="1">
      <alignment vertical="center"/>
      <protection locked="0"/>
    </xf>
    <xf numFmtId="0" fontId="2" fillId="3" borderId="4" xfId="0" applyFont="1" applyFill="1" applyBorder="1" applyAlignment="1" applyProtection="1">
      <alignment vertical="center"/>
      <protection locked="0"/>
    </xf>
    <xf numFmtId="0" fontId="2" fillId="0" borderId="5" xfId="0" applyFont="1" applyBorder="1" applyAlignment="1" applyProtection="1">
      <alignment horizontal="left" vertical="center"/>
      <protection locked="0"/>
    </xf>
    <xf numFmtId="0" fontId="2" fillId="0" borderId="6" xfId="0" applyFont="1" applyBorder="1" applyAlignment="1" applyProtection="1">
      <alignment horizontal="left" vertical="center"/>
      <protection locked="0"/>
    </xf>
    <xf numFmtId="0" fontId="2" fillId="0" borderId="8" xfId="0" applyFont="1" applyBorder="1" applyAlignment="1" applyProtection="1">
      <alignment horizontal="left" vertical="center"/>
      <protection locked="0"/>
    </xf>
    <xf numFmtId="0" fontId="2" fillId="0" borderId="9" xfId="0" applyFont="1" applyBorder="1" applyAlignment="1" applyProtection="1">
      <alignment horizontal="left" vertical="center"/>
      <protection locked="0"/>
    </xf>
    <xf numFmtId="0" fontId="2" fillId="3" borderId="5" xfId="0" applyFont="1" applyFill="1" applyBorder="1" applyAlignment="1" applyProtection="1">
      <alignment horizontal="left" vertical="center"/>
      <protection locked="0"/>
    </xf>
    <xf numFmtId="0" fontId="2" fillId="3" borderId="7" xfId="0" applyFont="1" applyFill="1" applyBorder="1" applyAlignment="1" applyProtection="1">
      <alignment horizontal="left" vertical="center"/>
      <protection locked="0"/>
    </xf>
    <xf numFmtId="0" fontId="2" fillId="3" borderId="6" xfId="0" applyFont="1" applyFill="1" applyBorder="1" applyAlignment="1" applyProtection="1">
      <alignment horizontal="left" vertical="center"/>
      <protection locked="0"/>
    </xf>
    <xf numFmtId="0" fontId="2" fillId="3" borderId="8" xfId="0" applyFont="1" applyFill="1" applyBorder="1" applyAlignment="1" applyProtection="1">
      <alignment horizontal="left" vertical="center"/>
      <protection locked="0"/>
    </xf>
    <xf numFmtId="0" fontId="2" fillId="3" borderId="10" xfId="0" applyFont="1" applyFill="1" applyBorder="1" applyAlignment="1" applyProtection="1">
      <alignment horizontal="left" vertical="center"/>
      <protection locked="0"/>
    </xf>
    <xf numFmtId="0" fontId="2" fillId="3" borderId="9" xfId="0" applyFont="1" applyFill="1" applyBorder="1" applyAlignment="1" applyProtection="1">
      <alignment horizontal="left" vertical="center"/>
      <protection locked="0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1796362</xdr:colOff>
      <xdr:row>1</xdr:row>
      <xdr:rowOff>34108</xdr:rowOff>
    </xdr:from>
    <xdr:ext cx="3810000" cy="775948"/>
    <xdr:pic>
      <xdr:nvPicPr>
        <xdr:cNvPr id="2" name="Picture 1">
          <a:extLst>
            <a:ext uri="{FF2B5EF4-FFF2-40B4-BE49-F238E27FC236}">
              <a16:creationId xmlns:a16="http://schemas.microsoft.com/office/drawing/2014/main" id="{9DD9CAB6-14EF-4A23-9330-F2495CD6FDA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26029"/>
        <a:stretch>
          <a:fillRect/>
        </a:stretch>
      </xdr:blipFill>
      <xdr:spPr>
        <a:xfrm>
          <a:off x="6214585" y="309530"/>
          <a:ext cx="3810000" cy="77594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0B161-4885-4270-B43D-0F6B74AF6F65}">
  <sheetPr>
    <pageSetUpPr fitToPage="1"/>
  </sheetPr>
  <dimension ref="A1:AA29"/>
  <sheetViews>
    <sheetView tabSelected="1" zoomScale="80" zoomScaleNormal="80" zoomScaleSheetLayoutView="83" workbookViewId="0">
      <selection activeCell="H14" sqref="H14:H15"/>
    </sheetView>
  </sheetViews>
  <sheetFormatPr defaultRowHeight="15" x14ac:dyDescent="0.25"/>
  <cols>
    <col min="1" max="2" width="5.5703125" style="1" customWidth="1"/>
    <col min="3" max="3" width="9.7109375" style="1" customWidth="1"/>
    <col min="4" max="4" width="10.28515625" style="1" customWidth="1"/>
    <col min="5" max="5" width="9.140625" style="1"/>
    <col min="6" max="6" width="11.5703125" style="1" customWidth="1"/>
    <col min="7" max="7" width="14.5703125" style="1" customWidth="1"/>
    <col min="8" max="8" width="33.7109375" style="1" customWidth="1"/>
    <col min="9" max="9" width="11.140625" style="1" bestFit="1" customWidth="1"/>
    <col min="10" max="13" width="5.7109375" style="1" customWidth="1"/>
    <col min="14" max="14" width="10.7109375" style="1" customWidth="1"/>
    <col min="15" max="15" width="9.140625" style="1"/>
    <col min="16" max="16" width="9.7109375" style="1" customWidth="1"/>
    <col min="17" max="17" width="9.140625" style="1"/>
    <col min="18" max="21" width="10.7109375" style="1" customWidth="1"/>
    <col min="22" max="22" width="9.140625" style="1"/>
    <col min="23" max="23" width="5.7109375" style="1" customWidth="1"/>
    <col min="24" max="25" width="6.85546875" style="1" customWidth="1"/>
    <col min="26" max="26" width="11.140625" style="1" bestFit="1" customWidth="1"/>
    <col min="27" max="27" width="26.7109375" style="1" bestFit="1" customWidth="1"/>
    <col min="28" max="16384" width="9.140625" style="1"/>
  </cols>
  <sheetData>
    <row r="1" spans="1:27" ht="21.95" customHeight="1" x14ac:dyDescent="0.25">
      <c r="A1" s="67" t="s">
        <v>0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45"/>
      <c r="AA1" s="45"/>
    </row>
    <row r="2" spans="1:27" ht="9.9499999999999993" customHeight="1" x14ac:dyDescent="0.25"/>
    <row r="3" spans="1:27" ht="17.100000000000001" customHeight="1" x14ac:dyDescent="0.25">
      <c r="A3" s="85" t="s">
        <v>1</v>
      </c>
      <c r="B3" s="85"/>
      <c r="C3" s="85"/>
      <c r="D3" s="85"/>
      <c r="E3" s="85"/>
      <c r="F3" s="85"/>
      <c r="G3" s="85"/>
    </row>
    <row r="4" spans="1:27" ht="17.100000000000001" customHeight="1" x14ac:dyDescent="0.25">
      <c r="A4" s="86" t="s">
        <v>2</v>
      </c>
      <c r="B4" s="86"/>
      <c r="C4" s="87" t="s">
        <v>41</v>
      </c>
      <c r="D4" s="88"/>
      <c r="E4" s="88"/>
      <c r="F4" s="88"/>
      <c r="G4" s="89"/>
    </row>
    <row r="5" spans="1:27" ht="9" customHeight="1" x14ac:dyDescent="0.25">
      <c r="A5" s="90" t="s">
        <v>3</v>
      </c>
      <c r="B5" s="91"/>
      <c r="C5" s="94" t="s">
        <v>42</v>
      </c>
      <c r="D5" s="95"/>
      <c r="E5" s="95"/>
      <c r="F5" s="95"/>
      <c r="G5" s="96"/>
    </row>
    <row r="6" spans="1:27" ht="9" customHeight="1" x14ac:dyDescent="0.25">
      <c r="A6" s="92"/>
      <c r="B6" s="93"/>
      <c r="C6" s="97"/>
      <c r="D6" s="98"/>
      <c r="E6" s="98"/>
      <c r="F6" s="98"/>
      <c r="G6" s="99"/>
    </row>
    <row r="7" spans="1:27" ht="7.5" customHeight="1" x14ac:dyDescent="0.25">
      <c r="B7" s="2"/>
      <c r="C7" s="3"/>
      <c r="D7" s="3"/>
      <c r="E7" s="3"/>
      <c r="F7" s="3"/>
      <c r="G7" s="3"/>
    </row>
    <row r="8" spans="1:27" ht="9.9499999999999993" customHeight="1" x14ac:dyDescent="0.25">
      <c r="A8" s="68" t="s">
        <v>4</v>
      </c>
      <c r="B8" s="69"/>
      <c r="C8" s="74" t="s">
        <v>85</v>
      </c>
      <c r="D8" s="75"/>
      <c r="E8" s="75"/>
      <c r="F8" s="75"/>
      <c r="G8" s="76"/>
    </row>
    <row r="9" spans="1:27" ht="14.1" customHeight="1" x14ac:dyDescent="0.25">
      <c r="A9" s="70"/>
      <c r="B9" s="71"/>
      <c r="C9" s="77"/>
      <c r="D9" s="78"/>
      <c r="E9" s="78"/>
      <c r="F9" s="78"/>
      <c r="G9" s="79"/>
      <c r="H9" s="4" t="s">
        <v>5</v>
      </c>
      <c r="I9" s="83"/>
      <c r="J9" s="83"/>
    </row>
    <row r="10" spans="1:27" ht="15" customHeight="1" x14ac:dyDescent="0.25">
      <c r="A10" s="70"/>
      <c r="B10" s="71"/>
      <c r="C10" s="77"/>
      <c r="D10" s="78"/>
      <c r="E10" s="78"/>
      <c r="F10" s="78"/>
      <c r="G10" s="79"/>
      <c r="H10" s="4" t="s">
        <v>6</v>
      </c>
      <c r="I10" s="83"/>
      <c r="J10" s="83"/>
    </row>
    <row r="11" spans="1:27" ht="15.95" customHeight="1" x14ac:dyDescent="0.25">
      <c r="A11" s="72"/>
      <c r="B11" s="73"/>
      <c r="C11" s="80"/>
      <c r="D11" s="81"/>
      <c r="E11" s="81"/>
      <c r="F11" s="81"/>
      <c r="G11" s="82"/>
      <c r="H11" s="4" t="s">
        <v>7</v>
      </c>
      <c r="I11" s="84">
        <v>46291</v>
      </c>
      <c r="J11" s="84"/>
    </row>
    <row r="12" spans="1:27" ht="9.9499999999999993" customHeight="1" thickBot="1" x14ac:dyDescent="0.3">
      <c r="A12" s="5"/>
      <c r="B12" s="5"/>
      <c r="C12" s="3"/>
      <c r="D12" s="3"/>
      <c r="E12" s="3"/>
      <c r="F12" s="3"/>
      <c r="G12" s="3"/>
    </row>
    <row r="13" spans="1:27" s="10" customFormat="1" ht="15" customHeight="1" thickBot="1" x14ac:dyDescent="0.3">
      <c r="A13" s="63" t="s">
        <v>8</v>
      </c>
      <c r="B13" s="55"/>
      <c r="C13" s="64" t="s">
        <v>9</v>
      </c>
      <c r="D13" s="65"/>
      <c r="E13" s="6"/>
      <c r="F13" s="6"/>
      <c r="G13" s="7" t="s">
        <v>10</v>
      </c>
      <c r="H13" s="8" t="s">
        <v>86</v>
      </c>
      <c r="I13" s="6"/>
      <c r="J13" s="6"/>
      <c r="K13" s="6"/>
      <c r="L13" s="6"/>
      <c r="M13" s="6"/>
      <c r="N13" s="54" t="s">
        <v>11</v>
      </c>
      <c r="O13" s="55"/>
      <c r="P13" s="56"/>
      <c r="Q13" s="57"/>
      <c r="R13" s="58"/>
      <c r="S13" s="6"/>
      <c r="T13" s="6"/>
      <c r="U13" s="6"/>
      <c r="V13" s="6"/>
      <c r="W13" s="6"/>
      <c r="X13" s="6"/>
      <c r="Y13" s="9"/>
      <c r="Z13" s="6"/>
      <c r="AA13" s="9"/>
    </row>
    <row r="14" spans="1:27" s="11" customFormat="1" ht="21.95" customHeight="1" x14ac:dyDescent="0.25">
      <c r="A14" s="59" t="s">
        <v>12</v>
      </c>
      <c r="B14" s="60"/>
      <c r="C14" s="61" t="s">
        <v>13</v>
      </c>
      <c r="D14" s="61" t="s">
        <v>14</v>
      </c>
      <c r="E14" s="61" t="s">
        <v>15</v>
      </c>
      <c r="F14" s="61" t="s">
        <v>16</v>
      </c>
      <c r="G14" s="61" t="s">
        <v>17</v>
      </c>
      <c r="H14" s="61" t="s">
        <v>18</v>
      </c>
      <c r="I14" s="61" t="s">
        <v>19</v>
      </c>
      <c r="J14" s="66" t="s">
        <v>61</v>
      </c>
      <c r="K14" s="66"/>
      <c r="L14" s="66"/>
      <c r="M14" s="66"/>
      <c r="N14" s="51" t="s">
        <v>20</v>
      </c>
      <c r="O14" s="51" t="s">
        <v>21</v>
      </c>
      <c r="P14" s="51" t="s">
        <v>62</v>
      </c>
      <c r="Q14" s="51" t="s">
        <v>22</v>
      </c>
      <c r="R14" s="51" t="s">
        <v>63</v>
      </c>
      <c r="S14" s="51" t="s">
        <v>64</v>
      </c>
      <c r="T14" s="51" t="s">
        <v>65</v>
      </c>
      <c r="U14" s="51" t="s">
        <v>66</v>
      </c>
      <c r="V14" s="51" t="s">
        <v>23</v>
      </c>
      <c r="W14" s="53" t="s">
        <v>24</v>
      </c>
      <c r="X14" s="53"/>
      <c r="Y14" s="53"/>
      <c r="Z14" s="51" t="s">
        <v>25</v>
      </c>
      <c r="AA14" s="47" t="s">
        <v>26</v>
      </c>
    </row>
    <row r="15" spans="1:27" s="11" customFormat="1" ht="24.95" customHeight="1" thickBot="1" x14ac:dyDescent="0.3">
      <c r="A15" s="49" t="s">
        <v>27</v>
      </c>
      <c r="B15" s="50"/>
      <c r="C15" s="62"/>
      <c r="D15" s="62"/>
      <c r="E15" s="62"/>
      <c r="F15" s="62"/>
      <c r="G15" s="62"/>
      <c r="H15" s="62"/>
      <c r="I15" s="62"/>
      <c r="J15" s="39" t="s">
        <v>81</v>
      </c>
      <c r="K15" s="39" t="s">
        <v>82</v>
      </c>
      <c r="L15" s="39" t="s">
        <v>83</v>
      </c>
      <c r="M15" s="39" t="s">
        <v>84</v>
      </c>
      <c r="N15" s="52"/>
      <c r="O15" s="52"/>
      <c r="P15" s="52"/>
      <c r="Q15" s="52"/>
      <c r="R15" s="52"/>
      <c r="S15" s="52"/>
      <c r="T15" s="52"/>
      <c r="U15" s="52"/>
      <c r="V15" s="52"/>
      <c r="W15" s="41" t="s">
        <v>67</v>
      </c>
      <c r="X15" s="41" t="s">
        <v>68</v>
      </c>
      <c r="Y15" s="41" t="s">
        <v>69</v>
      </c>
      <c r="Z15" s="52"/>
      <c r="AA15" s="48"/>
    </row>
    <row r="16" spans="1:27" ht="39.950000000000003" customHeight="1" x14ac:dyDescent="0.25">
      <c r="A16" s="23">
        <v>1</v>
      </c>
      <c r="B16" s="24">
        <f>C16</f>
        <v>53</v>
      </c>
      <c r="C16" s="40">
        <v>53</v>
      </c>
      <c r="D16" s="25" t="s">
        <v>70</v>
      </c>
      <c r="E16" s="25" t="s">
        <v>71</v>
      </c>
      <c r="F16" s="25" t="s">
        <v>72</v>
      </c>
      <c r="G16" s="25" t="s">
        <v>76</v>
      </c>
      <c r="H16" s="25" t="s">
        <v>77</v>
      </c>
      <c r="I16" s="25">
        <v>1200</v>
      </c>
      <c r="J16" s="40">
        <v>4</v>
      </c>
      <c r="K16" s="40">
        <v>8</v>
      </c>
      <c r="L16" s="40">
        <v>8</v>
      </c>
      <c r="M16" s="40">
        <v>4</v>
      </c>
      <c r="N16" s="26">
        <f>SUM(J16:M16)</f>
        <v>24</v>
      </c>
      <c r="O16" s="27">
        <f>C16*N16</f>
        <v>1272</v>
      </c>
      <c r="P16" s="27">
        <f>O16-I16</f>
        <v>72</v>
      </c>
      <c r="Q16" s="28">
        <f>P16/I16</f>
        <v>0.06</v>
      </c>
      <c r="R16" s="44">
        <f>7*2.205</f>
        <v>15.435</v>
      </c>
      <c r="S16" s="44">
        <f>R16-(0.85*2.205)</f>
        <v>13.560750000000001</v>
      </c>
      <c r="T16" s="29">
        <f>R16*C16</f>
        <v>818.05500000000006</v>
      </c>
      <c r="U16" s="29">
        <f>S16*C16</f>
        <v>718.71974999999998</v>
      </c>
      <c r="V16" s="30">
        <f>(W16*2.54)*(X16*2.54)*(Y16*2.54)/1000000*C16</f>
        <v>1.4677893224800003</v>
      </c>
      <c r="W16" s="40">
        <v>20</v>
      </c>
      <c r="X16" s="40">
        <v>13</v>
      </c>
      <c r="Y16" s="40">
        <v>6.5</v>
      </c>
      <c r="Z16" s="25"/>
      <c r="AA16" s="31"/>
    </row>
    <row r="17" spans="1:27" ht="39.950000000000003" customHeight="1" x14ac:dyDescent="0.25">
      <c r="A17" s="32">
        <v>1</v>
      </c>
      <c r="B17" s="33">
        <f>C17</f>
        <v>286</v>
      </c>
      <c r="C17" s="34">
        <v>286</v>
      </c>
      <c r="D17" s="34" t="s">
        <v>70</v>
      </c>
      <c r="E17" s="34" t="s">
        <v>71</v>
      </c>
      <c r="F17" s="34" t="s">
        <v>73</v>
      </c>
      <c r="G17" s="34" t="s">
        <v>76</v>
      </c>
      <c r="H17" s="34" t="s">
        <v>78</v>
      </c>
      <c r="I17" s="34">
        <v>6552</v>
      </c>
      <c r="J17" s="34">
        <v>4</v>
      </c>
      <c r="K17" s="34">
        <v>8</v>
      </c>
      <c r="L17" s="34">
        <v>8</v>
      </c>
      <c r="M17" s="34">
        <v>4</v>
      </c>
      <c r="N17" s="35">
        <f>SUM(J17:M17)</f>
        <v>24</v>
      </c>
      <c r="O17" s="35">
        <f>C17*N17</f>
        <v>6864</v>
      </c>
      <c r="P17" s="35">
        <f>O17-I17</f>
        <v>312</v>
      </c>
      <c r="Q17" s="36">
        <f>P17/I17</f>
        <v>4.7619047619047616E-2</v>
      </c>
      <c r="R17" s="44">
        <f t="shared" ref="R17:R19" si="0">7*2.205</f>
        <v>15.435</v>
      </c>
      <c r="S17" s="44">
        <f t="shared" ref="S17:S19" si="1">R17-(0.85*2.205)</f>
        <v>13.560750000000001</v>
      </c>
      <c r="T17" s="37">
        <f>R17*C17</f>
        <v>4414.41</v>
      </c>
      <c r="U17" s="37">
        <f>S17*C17</f>
        <v>3878.3745000000004</v>
      </c>
      <c r="V17" s="37">
        <f>(W17*2.54)*(X17*2.54)*(Y17*2.54)/1000000*C17</f>
        <v>7.9205235137600019</v>
      </c>
      <c r="W17" s="34">
        <v>20</v>
      </c>
      <c r="X17" s="34">
        <v>13</v>
      </c>
      <c r="Y17" s="34">
        <v>6.5</v>
      </c>
      <c r="Z17" s="34"/>
      <c r="AA17" s="38"/>
    </row>
    <row r="18" spans="1:27" ht="39.950000000000003" customHeight="1" x14ac:dyDescent="0.25">
      <c r="A18" s="32">
        <v>1</v>
      </c>
      <c r="B18" s="33">
        <f t="shared" ref="B18:B19" si="2">C18</f>
        <v>189</v>
      </c>
      <c r="C18" s="34">
        <v>189</v>
      </c>
      <c r="D18" s="34" t="s">
        <v>70</v>
      </c>
      <c r="E18" s="34" t="s">
        <v>71</v>
      </c>
      <c r="F18" s="34" t="s">
        <v>74</v>
      </c>
      <c r="G18" s="34" t="s">
        <v>76</v>
      </c>
      <c r="H18" s="34" t="s">
        <v>79</v>
      </c>
      <c r="I18" s="34">
        <v>4392</v>
      </c>
      <c r="J18" s="34">
        <v>4</v>
      </c>
      <c r="K18" s="34">
        <v>8</v>
      </c>
      <c r="L18" s="34">
        <v>8</v>
      </c>
      <c r="M18" s="34">
        <v>4</v>
      </c>
      <c r="N18" s="35">
        <f>SUM(J18:M18)</f>
        <v>24</v>
      </c>
      <c r="O18" s="35">
        <f>C18*N18</f>
        <v>4536</v>
      </c>
      <c r="P18" s="35">
        <f>O18-I18</f>
        <v>144</v>
      </c>
      <c r="Q18" s="36">
        <f>P18/I18</f>
        <v>3.2786885245901641E-2</v>
      </c>
      <c r="R18" s="44">
        <f t="shared" si="0"/>
        <v>15.435</v>
      </c>
      <c r="S18" s="44">
        <f t="shared" si="1"/>
        <v>13.560750000000001</v>
      </c>
      <c r="T18" s="37">
        <f>R18*C18</f>
        <v>2917.2150000000001</v>
      </c>
      <c r="U18" s="37">
        <f>S18*C18</f>
        <v>2562.9817499999999</v>
      </c>
      <c r="V18" s="37">
        <f>(W18*2.54)*(X18*2.54)*(Y18*2.54)/1000000*C18</f>
        <v>5.2341921122400015</v>
      </c>
      <c r="W18" s="34">
        <v>20</v>
      </c>
      <c r="X18" s="34">
        <v>13</v>
      </c>
      <c r="Y18" s="34">
        <v>6.5</v>
      </c>
      <c r="Z18" s="34"/>
      <c r="AA18" s="38"/>
    </row>
    <row r="19" spans="1:27" ht="39.950000000000003" customHeight="1" thickBot="1" x14ac:dyDescent="0.3">
      <c r="A19" s="32">
        <v>1</v>
      </c>
      <c r="B19" s="33">
        <f t="shared" si="2"/>
        <v>48</v>
      </c>
      <c r="C19" s="34">
        <v>48</v>
      </c>
      <c r="D19" s="34" t="s">
        <v>70</v>
      </c>
      <c r="E19" s="34" t="s">
        <v>71</v>
      </c>
      <c r="F19" s="34" t="s">
        <v>75</v>
      </c>
      <c r="G19" s="34" t="s">
        <v>76</v>
      </c>
      <c r="H19" s="34" t="s">
        <v>80</v>
      </c>
      <c r="I19" s="34">
        <v>1104</v>
      </c>
      <c r="J19" s="43">
        <v>4</v>
      </c>
      <c r="K19" s="43">
        <v>8</v>
      </c>
      <c r="L19" s="43">
        <v>8</v>
      </c>
      <c r="M19" s="43">
        <v>4</v>
      </c>
      <c r="N19" s="35">
        <f>SUM(J19:M19)</f>
        <v>24</v>
      </c>
      <c r="O19" s="35">
        <f>C19*N19</f>
        <v>1152</v>
      </c>
      <c r="P19" s="35">
        <f>O19-I19</f>
        <v>48</v>
      </c>
      <c r="Q19" s="36">
        <f>P19/I19</f>
        <v>4.3478260869565216E-2</v>
      </c>
      <c r="R19" s="44">
        <f t="shared" si="0"/>
        <v>15.435</v>
      </c>
      <c r="S19" s="44">
        <f t="shared" si="1"/>
        <v>13.560750000000001</v>
      </c>
      <c r="T19" s="37">
        <f>R19*C19</f>
        <v>740.88</v>
      </c>
      <c r="U19" s="37">
        <f>S19*C19</f>
        <v>650.91600000000005</v>
      </c>
      <c r="V19" s="37">
        <f>(W19*2.54)*(X19*2.54)*(Y19*2.54)/1000000*C19</f>
        <v>1.3293186316800003</v>
      </c>
      <c r="W19" s="34">
        <v>20</v>
      </c>
      <c r="X19" s="34">
        <v>13</v>
      </c>
      <c r="Y19" s="34">
        <v>6.5</v>
      </c>
      <c r="Z19" s="34"/>
      <c r="AA19" s="38"/>
    </row>
    <row r="20" spans="1:27" ht="18" customHeight="1" thickBot="1" x14ac:dyDescent="0.3">
      <c r="A20" s="12"/>
      <c r="B20" s="13"/>
      <c r="C20" s="42">
        <f>SUBTOTAL(9,C16:C19)</f>
        <v>576</v>
      </c>
      <c r="D20" s="15"/>
      <c r="E20" s="15"/>
      <c r="F20" s="15"/>
      <c r="G20" s="15"/>
      <c r="H20" s="15"/>
      <c r="I20" s="14">
        <f>SUBTOTAL(9,I16:I19)</f>
        <v>13248</v>
      </c>
      <c r="J20" s="15"/>
      <c r="K20" s="15"/>
      <c r="L20" s="15"/>
      <c r="M20" s="15"/>
      <c r="N20" s="15"/>
      <c r="O20" s="14">
        <f>SUBTOTAL(9,O16:O19)</f>
        <v>13824</v>
      </c>
      <c r="P20" s="14">
        <f>SUBTOTAL(9,P16:P19)</f>
        <v>576</v>
      </c>
      <c r="Q20" s="16">
        <f>P20/I20</f>
        <v>4.3478260869565216E-2</v>
      </c>
      <c r="R20" s="15"/>
      <c r="S20" s="15"/>
      <c r="T20" s="17">
        <f>SUBTOTAL(9,T16:T19)</f>
        <v>8890.56</v>
      </c>
      <c r="U20" s="17">
        <f>SUBTOTAL(9,U16:U19)</f>
        <v>7810.9920000000002</v>
      </c>
      <c r="V20" s="17">
        <f>SUBTOTAL(9,V16:V19)</f>
        <v>15.951823580160003</v>
      </c>
      <c r="W20" s="15"/>
      <c r="X20" s="15"/>
      <c r="Y20" s="15"/>
      <c r="Z20" s="15"/>
      <c r="AA20" s="18"/>
    </row>
    <row r="21" spans="1:27" ht="15" customHeight="1" x14ac:dyDescent="0.25"/>
    <row r="22" spans="1:27" ht="12.95" customHeight="1" x14ac:dyDescent="0.25">
      <c r="A22" s="46" t="s">
        <v>28</v>
      </c>
      <c r="B22" s="46"/>
      <c r="C22" s="46"/>
      <c r="D22" s="20">
        <f>I20</f>
        <v>13248</v>
      </c>
      <c r="E22" s="19" t="s">
        <v>29</v>
      </c>
      <c r="H22" s="1" t="s">
        <v>43</v>
      </c>
      <c r="J22" s="1" t="s">
        <v>44</v>
      </c>
      <c r="O22" s="1" t="s">
        <v>45</v>
      </c>
    </row>
    <row r="23" spans="1:27" ht="12.95" customHeight="1" x14ac:dyDescent="0.25">
      <c r="A23" s="46" t="s">
        <v>30</v>
      </c>
      <c r="B23" s="46"/>
      <c r="C23" s="46"/>
      <c r="D23" s="20">
        <f>O20</f>
        <v>13824</v>
      </c>
      <c r="E23" s="19" t="s">
        <v>29</v>
      </c>
      <c r="H23" s="1" t="s">
        <v>46</v>
      </c>
      <c r="J23" s="1" t="s">
        <v>47</v>
      </c>
      <c r="O23" s="1" t="s">
        <v>48</v>
      </c>
    </row>
    <row r="24" spans="1:27" ht="12.95" customHeight="1" x14ac:dyDescent="0.25">
      <c r="A24" s="46" t="s">
        <v>31</v>
      </c>
      <c r="B24" s="46"/>
      <c r="C24" s="46"/>
      <c r="D24" s="20">
        <f>D23-D22</f>
        <v>576</v>
      </c>
      <c r="E24" s="19" t="s">
        <v>29</v>
      </c>
      <c r="H24" s="1" t="s">
        <v>49</v>
      </c>
      <c r="J24" s="1" t="s">
        <v>50</v>
      </c>
      <c r="O24" s="1" t="s">
        <v>51</v>
      </c>
    </row>
    <row r="25" spans="1:27" ht="12.95" customHeight="1" x14ac:dyDescent="0.25">
      <c r="A25" s="46" t="s">
        <v>32</v>
      </c>
      <c r="B25" s="46"/>
      <c r="C25" s="46"/>
      <c r="D25" s="21">
        <f>D24/D22</f>
        <v>4.3478260869565216E-2</v>
      </c>
      <c r="H25" s="1" t="s">
        <v>52</v>
      </c>
      <c r="J25" s="1" t="s">
        <v>53</v>
      </c>
    </row>
    <row r="26" spans="1:27" ht="12.95" customHeight="1" x14ac:dyDescent="0.25">
      <c r="A26" s="46" t="s">
        <v>33</v>
      </c>
      <c r="B26" s="46"/>
      <c r="C26" s="46"/>
      <c r="D26" s="20">
        <f>C20</f>
        <v>576</v>
      </c>
      <c r="E26" s="19" t="s">
        <v>34</v>
      </c>
      <c r="F26" s="19"/>
      <c r="G26" s="19"/>
      <c r="H26" s="1" t="s">
        <v>54</v>
      </c>
      <c r="J26" s="1" t="s">
        <v>55</v>
      </c>
    </row>
    <row r="27" spans="1:27" ht="12.95" customHeight="1" x14ac:dyDescent="0.25">
      <c r="A27" s="46" t="s">
        <v>35</v>
      </c>
      <c r="B27" s="46"/>
      <c r="C27" s="46"/>
      <c r="D27" s="22">
        <f>T20*2.2046226218</f>
        <v>19600.329696470206</v>
      </c>
      <c r="E27" s="19" t="s">
        <v>36</v>
      </c>
      <c r="F27" s="22">
        <f>T20</f>
        <v>8890.56</v>
      </c>
      <c r="G27" s="19" t="s">
        <v>37</v>
      </c>
      <c r="H27" s="1" t="s">
        <v>56</v>
      </c>
      <c r="J27" s="1" t="s">
        <v>57</v>
      </c>
    </row>
    <row r="28" spans="1:27" ht="12.95" customHeight="1" x14ac:dyDescent="0.25">
      <c r="A28" s="46" t="s">
        <v>38</v>
      </c>
      <c r="B28" s="46"/>
      <c r="C28" s="46"/>
      <c r="D28" s="22">
        <f>U20*2.2046226218</f>
        <v>17220.289661898827</v>
      </c>
      <c r="E28" s="19" t="s">
        <v>36</v>
      </c>
      <c r="F28" s="22">
        <f>U20</f>
        <v>7810.9920000000002</v>
      </c>
      <c r="G28" s="19" t="s">
        <v>37</v>
      </c>
      <c r="H28" s="1" t="s">
        <v>58</v>
      </c>
      <c r="J28" s="1" t="s">
        <v>59</v>
      </c>
    </row>
    <row r="29" spans="1:27" ht="12.95" customHeight="1" x14ac:dyDescent="0.25">
      <c r="A29" s="46" t="s">
        <v>39</v>
      </c>
      <c r="B29" s="46"/>
      <c r="C29" s="46"/>
      <c r="D29" s="22">
        <f>V20</f>
        <v>15.951823580160003</v>
      </c>
      <c r="E29" s="19" t="s">
        <v>40</v>
      </c>
      <c r="F29" s="19"/>
      <c r="G29" s="19"/>
      <c r="H29" s="1" t="s">
        <v>60</v>
      </c>
    </row>
  </sheetData>
  <sheetProtection selectLockedCells="1"/>
  <mergeCells count="45">
    <mergeCell ref="A1:Y1"/>
    <mergeCell ref="N14:N15"/>
    <mergeCell ref="O14:O15"/>
    <mergeCell ref="A8:B11"/>
    <mergeCell ref="C8:G11"/>
    <mergeCell ref="I9:J9"/>
    <mergeCell ref="I10:J10"/>
    <mergeCell ref="I11:J11"/>
    <mergeCell ref="A3:G3"/>
    <mergeCell ref="A4:B4"/>
    <mergeCell ref="C4:G4"/>
    <mergeCell ref="A5:B6"/>
    <mergeCell ref="C5:G6"/>
    <mergeCell ref="A27:C27"/>
    <mergeCell ref="A28:C28"/>
    <mergeCell ref="R14:R15"/>
    <mergeCell ref="N13:O13"/>
    <mergeCell ref="P13:R13"/>
    <mergeCell ref="A14:B14"/>
    <mergeCell ref="C14:C15"/>
    <mergeCell ref="D14:D15"/>
    <mergeCell ref="E14:E15"/>
    <mergeCell ref="F14:F15"/>
    <mergeCell ref="G14:G15"/>
    <mergeCell ref="H14:H15"/>
    <mergeCell ref="I14:I15"/>
    <mergeCell ref="A13:B13"/>
    <mergeCell ref="C13:D13"/>
    <mergeCell ref="J14:M14"/>
    <mergeCell ref="A29:C29"/>
    <mergeCell ref="AA14:AA15"/>
    <mergeCell ref="A15:B15"/>
    <mergeCell ref="A22:C22"/>
    <mergeCell ref="A23:C23"/>
    <mergeCell ref="A24:C24"/>
    <mergeCell ref="A25:C25"/>
    <mergeCell ref="S14:S15"/>
    <mergeCell ref="T14:T15"/>
    <mergeCell ref="U14:U15"/>
    <mergeCell ref="V14:V15"/>
    <mergeCell ref="W14:Y14"/>
    <mergeCell ref="Z14:Z15"/>
    <mergeCell ref="P14:P15"/>
    <mergeCell ref="Q14:Q15"/>
    <mergeCell ref="A26:C26"/>
  </mergeCells>
  <printOptions horizontalCentered="1"/>
  <pageMargins left="0" right="0" top="0.5" bottom="0" header="0" footer="0"/>
  <pageSetup paperSize="9" scale="58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LPO_Store</vt:lpstr>
      <vt:lpstr>LPO_Store!Print_Area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Finishing-IFL</dc:creator>
  <cp:lastModifiedBy>HDL_PACKING</cp:lastModifiedBy>
  <cp:lastPrinted>2026-09-23T03:01:20Z</cp:lastPrinted>
  <dcterms:created xsi:type="dcterms:W3CDTF">2025-08-10T06:33:05Z</dcterms:created>
  <dcterms:modified xsi:type="dcterms:W3CDTF">2026-09-30T05:00:51Z</dcterms:modified>
</cp:coreProperties>
</file>