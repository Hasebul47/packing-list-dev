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 (5)" sheetId="1" state="visible" r:id="rId1"/>
  </sheets>
  <definedNames>
    <definedName name="_xlnm.Print_Area" localSheetId="0">'Packing List (5)'!$A$1:$AD$62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0.000&quot; CBM&quot;"/>
  </numFmts>
  <fonts count="21">
    <font>
      <name val="Calibri"/>
      <family val="2"/>
      <color theme="1"/>
      <sz val="11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1"/>
      <sz val="16"/>
      <u val="single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Arial"/>
      <family val="2"/>
      <b val="1"/>
      <sz val="11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2"/>
    </font>
    <font>
      <name val="Calibri"/>
      <family val="2"/>
      <b val="1"/>
      <color theme="1"/>
      <sz val="18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sz val="11"/>
    </font>
    <font>
      <name val="Arial"/>
      <family val="2"/>
      <b val="1"/>
      <sz val="14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164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2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0" fillId="0" borderId="3" pivotButton="0" quotePrefix="0" xfId="0"/>
    <xf numFmtId="0" fontId="4" fillId="2" borderId="3" applyAlignment="1" pivotButton="0" quotePrefix="0" xfId="0">
      <alignment vertical="center"/>
    </xf>
    <xf numFmtId="0" fontId="4" fillId="2" borderId="41" applyAlignment="1" pivotButton="0" quotePrefix="0" xfId="0">
      <alignment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11" fontId="4" fillId="2" borderId="0" applyAlignment="1" pivotButton="0" quotePrefix="0" xfId="0">
      <alignment horizontal="left" vertical="center"/>
    </xf>
    <xf numFmtId="0" fontId="4" fillId="2" borderId="42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6" fillId="2" borderId="7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2" borderId="11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/>
    </xf>
    <xf numFmtId="0" fontId="0" fillId="0" borderId="13" pivotButton="0" quotePrefix="0" xfId="0"/>
    <xf numFmtId="0" fontId="4" fillId="2" borderId="14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center" vertical="center" wrapText="1"/>
    </xf>
    <xf numFmtId="0" fontId="8" fillId="2" borderId="16" applyAlignment="1" pivotButton="0" quotePrefix="0" xfId="0">
      <alignment horizontal="center" vertical="center" wrapText="1"/>
    </xf>
    <xf numFmtId="0" fontId="9" fillId="2" borderId="17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1" fillId="2" borderId="23" applyAlignment="1" pivotButton="0" quotePrefix="0" xfId="0">
      <alignment horizontal="center" vertical="center" textRotation="90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2" fillId="2" borderId="19" applyAlignment="1" pivotButton="0" quotePrefix="0" xfId="0">
      <alignment horizontal="center" vertical="center"/>
    </xf>
    <xf numFmtId="0" fontId="13" fillId="2" borderId="29" applyAlignment="1" pivotButton="0" quotePrefix="0" xfId="0">
      <alignment horizontal="center" vertical="center"/>
    </xf>
    <xf numFmtId="0" fontId="14" fillId="2" borderId="29" applyAlignment="1" pivotButton="0" quotePrefix="0" xfId="0">
      <alignment horizontal="center" vertical="center"/>
    </xf>
    <xf numFmtId="0" fontId="14" fillId="2" borderId="29" applyAlignment="1" pivotButton="0" quotePrefix="0" xfId="0">
      <alignment horizontal="center" vertical="center" wrapText="1"/>
    </xf>
    <xf numFmtId="0" fontId="15" fillId="3" borderId="29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center" vertical="center"/>
    </xf>
    <xf numFmtId="0" fontId="15" fillId="2" borderId="29" applyAlignment="1" pivotButton="0" quotePrefix="0" xfId="0">
      <alignment horizontal="center" vertical="center" wrapText="1"/>
    </xf>
    <xf numFmtId="0" fontId="0" fillId="2" borderId="29" applyAlignment="1" pivotButton="0" quotePrefix="0" xfId="0">
      <alignment horizontal="center" vertical="center"/>
    </xf>
    <xf numFmtId="0" fontId="16" fillId="2" borderId="2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16" fillId="2" borderId="29" applyAlignment="1" pivotButton="0" quotePrefix="0" xfId="0">
      <alignment vertical="center"/>
    </xf>
    <xf numFmtId="0" fontId="3" fillId="2" borderId="29" applyAlignment="1" pivotButton="0" quotePrefix="0" xfId="0">
      <alignment horizontal="center" vertical="center"/>
    </xf>
    <xf numFmtId="0" fontId="17" fillId="2" borderId="29" applyAlignment="1" pivotButton="0" quotePrefix="0" xfId="0">
      <alignment horizontal="center" vertical="center"/>
    </xf>
    <xf numFmtId="0" fontId="0" fillId="4" borderId="29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0" fillId="4" borderId="29" applyAlignment="1" pivotButton="0" quotePrefix="0" xfId="0">
      <alignment vertical="center"/>
    </xf>
    <xf numFmtId="0" fontId="4" fillId="2" borderId="17" applyAlignment="1" pivotButton="0" quotePrefix="0" xfId="0">
      <alignment horizontal="left" vertical="center"/>
    </xf>
    <xf numFmtId="0" fontId="0" fillId="0" borderId="33" pivotButton="0" quotePrefix="0" xfId="0"/>
    <xf numFmtId="0" fontId="11" fillId="2" borderId="34" applyAlignment="1" pivotButton="0" quotePrefix="0" xfId="0">
      <alignment horizontal="center" vertical="center" textRotation="90"/>
    </xf>
    <xf numFmtId="0" fontId="4" fillId="2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left" vertical="center"/>
    </xf>
    <xf numFmtId="0" fontId="3" fillId="2" borderId="24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4" fillId="2" borderId="36" applyAlignment="1" pivotButton="0" quotePrefix="0" xfId="0">
      <alignment horizontal="left" vertical="center"/>
    </xf>
    <xf numFmtId="0" fontId="4" fillId="2" borderId="30" applyAlignment="1" pivotButton="0" quotePrefix="0" xfId="0">
      <alignment horizontal="center" vertical="center"/>
    </xf>
    <xf numFmtId="0" fontId="4" fillId="2" borderId="37" applyAlignment="1" pivotButton="0" quotePrefix="0" xfId="0">
      <alignment horizontal="left" vertical="center"/>
    </xf>
    <xf numFmtId="0" fontId="0" fillId="0" borderId="38" pivotButton="0" quotePrefix="0" xfId="0"/>
    <xf numFmtId="2" fontId="19" fillId="2" borderId="39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165" fontId="4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vertic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62"/>
  <sheetViews>
    <sheetView zoomScale="80" workbookViewId="0">
      <selection activeCell="A1" sqref="A1"/>
    </sheetView>
  </sheetViews>
  <sheetFormatPr baseColWidth="8" defaultColWidth="9.140625" defaultRowHeight="15"/>
  <cols>
    <col width="10" customWidth="1" min="1" max="1"/>
    <col width="1.42578125" customWidth="1" min="2" max="2"/>
    <col width="8.85546875" customWidth="1" min="3" max="3"/>
    <col width="11.28515625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1.140625" customWidth="1" min="23" max="23"/>
    <col width="8.28515625" customWidth="1" min="24" max="24"/>
    <col width="7.28515625" customWidth="1" min="25" max="25"/>
    <col width="1.425781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</cols>
  <sheetData>
    <row r="1" ht="23.25" customHeight="1">
      <c r="A1" s="1" t="inlineStr">
        <is>
          <t>CREATIVE COLLECTIONS LTD.U-1B</t>
        </is>
      </c>
    </row>
    <row r="2" ht="20.25" customHeight="1">
      <c r="A2" s="2" t="inlineStr">
        <is>
          <t>PACKING LIST DETAILS .</t>
        </is>
      </c>
    </row>
    <row r="3" ht="13.7" customHeight="1"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4" t="n"/>
      <c r="X3" s="5" t="n"/>
      <c r="Y3" s="6" t="n"/>
    </row>
    <row r="4" ht="15.95" customHeight="1">
      <c r="A4" s="7" t="inlineStr">
        <is>
          <t>BUYER</t>
        </is>
      </c>
      <c r="B4" s="8" t="inlineStr">
        <is>
          <t>:</t>
        </is>
      </c>
      <c r="C4" s="9" t="inlineStr">
        <is>
          <t>ABERCROMBIE</t>
        </is>
      </c>
      <c r="D4" s="10" t="n"/>
      <c r="E4" s="11" t="n"/>
      <c r="F4" s="11" t="n"/>
      <c r="G4" s="11" t="n"/>
      <c r="H4" s="11" t="n"/>
      <c r="I4" s="11" t="n"/>
      <c r="J4" s="11" t="n"/>
      <c r="K4" s="11" t="n"/>
      <c r="L4" s="11" t="n"/>
      <c r="M4" s="12" t="inlineStr">
        <is>
          <t>ORDER QTY</t>
        </is>
      </c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3" t="inlineStr">
        <is>
          <t>:</t>
        </is>
      </c>
      <c r="X4" s="13">
        <f>W52</f>
        <v/>
      </c>
      <c r="Y4" s="14" t="inlineStr">
        <is>
          <t>PCS</t>
        </is>
      </c>
    </row>
    <row r="5" ht="15.95" customHeight="1">
      <c r="A5" s="15" t="inlineStr">
        <is>
          <t>STYLE</t>
        </is>
      </c>
      <c r="B5" s="16" t="inlineStr">
        <is>
          <t>:</t>
        </is>
      </c>
      <c r="C5" s="17" t="inlineStr">
        <is>
          <t>231260025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18" t="inlineStr">
        <is>
          <t>PACK QTY</t>
        </is>
      </c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19" t="inlineStr">
        <is>
          <t>:</t>
        </is>
      </c>
      <c r="X5" s="19">
        <f>W53</f>
        <v/>
      </c>
      <c r="Y5" s="20" t="inlineStr">
        <is>
          <t>PCS</t>
        </is>
      </c>
    </row>
    <row r="6" ht="15.95" customHeight="1">
      <c r="A6" s="15" t="inlineStr">
        <is>
          <t>P.O NO</t>
        </is>
      </c>
      <c r="B6" s="16" t="inlineStr">
        <is>
          <t>:</t>
        </is>
      </c>
      <c r="C6" s="21" t="inlineStr">
        <is>
          <t>3214127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18" t="inlineStr">
        <is>
          <t>EXCESS/SHORT QTY</t>
        </is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19" t="inlineStr">
        <is>
          <t>:</t>
        </is>
      </c>
      <c r="X6" s="19">
        <f>X5-X4</f>
        <v/>
      </c>
      <c r="Y6" s="20" t="inlineStr">
        <is>
          <t>PCS</t>
        </is>
      </c>
    </row>
    <row r="7" ht="15.95" customHeight="1">
      <c r="A7" s="22" t="inlineStr">
        <is>
          <t>DESCRIPTION</t>
        </is>
      </c>
      <c r="B7" s="23" t="inlineStr">
        <is>
          <t>:</t>
        </is>
      </c>
      <c r="C7" s="24" t="inlineStr">
        <is>
          <t>US1BU</t>
        </is>
      </c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5" t="inlineStr">
        <is>
          <t>PERCENTAGE</t>
        </is>
      </c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6" t="inlineStr">
        <is>
          <t>:</t>
        </is>
      </c>
      <c r="X7" s="27">
        <f>X6/X4*100</f>
        <v/>
      </c>
      <c r="Y7" s="28" t="inlineStr">
        <is>
          <t>%</t>
        </is>
      </c>
    </row>
    <row r="8" ht="9" customHeight="1"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15.95" customHeight="1">
      <c r="A9" s="29" t="inlineStr">
        <is>
          <t>CASE LABEL NO.</t>
        </is>
      </c>
      <c r="B9" s="10" t="n"/>
      <c r="C9" s="30" t="n"/>
      <c r="D9" s="31" t="inlineStr">
        <is>
          <t>COLOR</t>
        </is>
      </c>
      <c r="E9" s="32" t="inlineStr">
        <is>
          <t>SIZE</t>
        </is>
      </c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4" t="inlineStr">
        <is>
          <t>QTY/ CTN</t>
        </is>
      </c>
      <c r="X9" s="34" t="inlineStr">
        <is>
          <t>TOTAL CTN</t>
        </is>
      </c>
      <c r="Y9" s="35" t="inlineStr">
        <is>
          <t>TOTAL PCS</t>
        </is>
      </c>
      <c r="AA9" s="36" t="inlineStr">
        <is>
          <t>Grs,wt,pr ctn</t>
        </is>
      </c>
      <c r="AB9" s="36" t="inlineStr">
        <is>
          <t>Net,wt,pr ctn</t>
        </is>
      </c>
      <c r="AC9" s="36" t="inlineStr">
        <is>
          <t>total,Grs,wt</t>
        </is>
      </c>
      <c r="AD9" s="36" t="inlineStr">
        <is>
          <t>total net,wt</t>
        </is>
      </c>
      <c r="AE9" s="37" t="inlineStr">
        <is>
          <t>size wise per pcs wt</t>
        </is>
      </c>
      <c r="AF9" s="38" t="inlineStr">
        <is>
          <t>per cnt wt</t>
        </is>
      </c>
    </row>
    <row r="10" ht="94.5" customHeight="1">
      <c r="A10" s="39" t="n"/>
      <c r="B10" s="40" t="n"/>
      <c r="C10" s="41" t="n"/>
      <c r="D10" s="42" t="n"/>
      <c r="E10" s="43" t="inlineStr">
        <is>
          <t>5/6</t>
        </is>
      </c>
      <c r="F10" s="43" t="inlineStr">
        <is>
          <t>5/6 LONG</t>
        </is>
      </c>
      <c r="G10" s="43" t="inlineStr">
        <is>
          <t>7/8 SHORT</t>
        </is>
      </c>
      <c r="H10" s="43" t="inlineStr">
        <is>
          <t>7/8</t>
        </is>
      </c>
      <c r="I10" s="43" t="inlineStr">
        <is>
          <t>7/8 LONG</t>
        </is>
      </c>
      <c r="J10" s="43" t="inlineStr">
        <is>
          <t>9/10 SHORT</t>
        </is>
      </c>
      <c r="K10" s="43" t="inlineStr">
        <is>
          <t>9/10</t>
        </is>
      </c>
      <c r="L10" s="43" t="inlineStr">
        <is>
          <t>9/10 LONG</t>
        </is>
      </c>
      <c r="M10" s="43" t="inlineStr">
        <is>
          <t>11/12 SHORT</t>
        </is>
      </c>
      <c r="N10" s="43" t="inlineStr">
        <is>
          <t>11/12</t>
        </is>
      </c>
      <c r="O10" s="43" t="inlineStr">
        <is>
          <t>11/12 LONG</t>
        </is>
      </c>
      <c r="P10" s="43" t="inlineStr">
        <is>
          <t>13/14 SHORT</t>
        </is>
      </c>
      <c r="Q10" s="43" t="inlineStr">
        <is>
          <t>13/14</t>
        </is>
      </c>
      <c r="R10" s="43" t="inlineStr">
        <is>
          <t>13/14 LONG</t>
        </is>
      </c>
      <c r="S10" s="43" t="inlineStr">
        <is>
          <t>15/16 SHORT</t>
        </is>
      </c>
      <c r="T10" s="43" t="inlineStr">
        <is>
          <t>15/16</t>
        </is>
      </c>
      <c r="U10" s="43" t="inlineStr">
        <is>
          <t>15/16 LONG</t>
        </is>
      </c>
      <c r="V10" s="43" t="inlineStr">
        <is>
          <t>17/18</t>
        </is>
      </c>
      <c r="W10" s="44" t="n"/>
      <c r="X10" s="44" t="n"/>
      <c r="Y10" s="45" t="n"/>
      <c r="AA10" s="46" t="n"/>
      <c r="AB10" s="46" t="n"/>
      <c r="AC10" s="46" t="n"/>
      <c r="AD10" s="46" t="n"/>
      <c r="AE10" s="47" t="n"/>
      <c r="AF10" s="48" t="n"/>
    </row>
    <row r="11" ht="18.75" customHeight="1">
      <c r="A11" s="49" t="n">
        <v>1</v>
      </c>
      <c r="B11" s="49" t="inlineStr">
        <is>
          <t>-</t>
        </is>
      </c>
      <c r="C11" s="49">
        <f>A11-1+X11</f>
        <v/>
      </c>
      <c r="D11" s="50" t="inlineStr">
        <is>
          <t>GL451</t>
        </is>
      </c>
      <c r="E11" s="51" t="n">
        <v>20</v>
      </c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1" t="n"/>
      <c r="W11" s="52">
        <f>SUM(E11:V11)</f>
        <v/>
      </c>
      <c r="X11" s="53" t="n">
        <v>12</v>
      </c>
      <c r="Y11" s="54">
        <f>X11*W11</f>
        <v/>
      </c>
      <c r="AA11" s="55">
        <f>AB11+AF11</f>
        <v/>
      </c>
      <c r="AB11" s="55">
        <f>AE11*W11</f>
        <v/>
      </c>
      <c r="AC11" s="55">
        <f>AA11*X11</f>
        <v/>
      </c>
      <c r="AD11" s="55">
        <f>AB11*X11</f>
        <v/>
      </c>
      <c r="AE11" s="55" t="n">
        <v>0.6</v>
      </c>
      <c r="AF11" s="55" t="n">
        <v>1</v>
      </c>
    </row>
    <row r="12" ht="18.75" customHeight="1">
      <c r="A12" s="49">
        <f>C11+1</f>
        <v/>
      </c>
      <c r="B12" s="49" t="inlineStr">
        <is>
          <t>-</t>
        </is>
      </c>
      <c r="C12" s="49">
        <f>A12-1+X12</f>
        <v/>
      </c>
      <c r="D12" s="50" t="inlineStr">
        <is>
          <t>GL451</t>
        </is>
      </c>
      <c r="E12" s="51" t="n">
        <v>4</v>
      </c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1" t="n"/>
      <c r="W12" s="52">
        <f>SUM(E12:V12)</f>
        <v/>
      </c>
      <c r="X12" s="56" t="n">
        <v>1</v>
      </c>
      <c r="Y12" s="54">
        <f>X12*W12</f>
        <v/>
      </c>
      <c r="AA12" s="57">
        <f>AB12+AF12</f>
        <v/>
      </c>
      <c r="AB12" s="57">
        <f>AE12*W12</f>
        <v/>
      </c>
      <c r="AC12" s="57">
        <f>AA12*X12</f>
        <v/>
      </c>
      <c r="AD12" s="57">
        <f>AB12*X12</f>
        <v/>
      </c>
      <c r="AE12" s="55" t="n">
        <v>0.6</v>
      </c>
      <c r="AF12" s="57" t="n">
        <v>1</v>
      </c>
    </row>
    <row r="13" ht="18.75" customHeight="1">
      <c r="A13" s="49">
        <f>C12+1</f>
        <v/>
      </c>
      <c r="B13" s="49" t="inlineStr">
        <is>
          <t>-</t>
        </is>
      </c>
      <c r="C13" s="49">
        <f>A13-1+X13</f>
        <v/>
      </c>
      <c r="D13" s="50" t="inlineStr">
        <is>
          <t>GL451</t>
        </is>
      </c>
      <c r="E13" s="51" t="n"/>
      <c r="F13" s="52" t="n">
        <v>20</v>
      </c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1" t="n"/>
      <c r="W13" s="52">
        <f>SUM(E13:V13)</f>
        <v/>
      </c>
      <c r="X13" s="56" t="n">
        <v>7</v>
      </c>
      <c r="Y13" s="54">
        <f>X13*W13</f>
        <v/>
      </c>
      <c r="AA13" s="57">
        <f>AB13+AF13</f>
        <v/>
      </c>
      <c r="AB13" s="57">
        <f>AE13*W13</f>
        <v/>
      </c>
      <c r="AC13" s="57">
        <f>AA13*X13</f>
        <v/>
      </c>
      <c r="AD13" s="57">
        <f>AB13*X13</f>
        <v/>
      </c>
      <c r="AE13" s="55" t="n">
        <v>0.6</v>
      </c>
      <c r="AF13" s="57" t="n">
        <v>1</v>
      </c>
    </row>
    <row r="14" ht="18.75" customHeight="1">
      <c r="A14" s="49">
        <f>C13+1</f>
        <v/>
      </c>
      <c r="B14" s="49" t="inlineStr">
        <is>
          <t>-</t>
        </is>
      </c>
      <c r="C14" s="49">
        <f>A14-1+X14</f>
        <v/>
      </c>
      <c r="D14" s="50" t="inlineStr">
        <is>
          <t>GL451</t>
        </is>
      </c>
      <c r="E14" s="51" t="n"/>
      <c r="F14" s="52" t="n">
        <v>1</v>
      </c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1" t="n"/>
      <c r="W14" s="52">
        <f>SUM(E14:V14)</f>
        <v/>
      </c>
      <c r="X14" s="56" t="n">
        <v>1</v>
      </c>
      <c r="Y14" s="54">
        <f>X14*W14</f>
        <v/>
      </c>
      <c r="AA14" s="57">
        <f>AB14+AF14</f>
        <v/>
      </c>
      <c r="AB14" s="57">
        <f>AE14*W14</f>
        <v/>
      </c>
      <c r="AC14" s="57">
        <f>AA14*X14</f>
        <v/>
      </c>
      <c r="AD14" s="57">
        <f>AB14*X14</f>
        <v/>
      </c>
      <c r="AE14" s="55" t="n">
        <v>0.6</v>
      </c>
      <c r="AF14" s="57" t="n">
        <v>1</v>
      </c>
    </row>
    <row r="15" ht="18.75" customHeight="1">
      <c r="A15" s="49">
        <f>C14+1</f>
        <v/>
      </c>
      <c r="B15" s="49" t="inlineStr">
        <is>
          <t>-</t>
        </is>
      </c>
      <c r="C15" s="49">
        <f>A15-1+X15</f>
        <v/>
      </c>
      <c r="D15" s="50" t="inlineStr">
        <is>
          <t>GL451</t>
        </is>
      </c>
      <c r="E15" s="51" t="n"/>
      <c r="F15" s="52" t="n"/>
      <c r="G15" s="52" t="n">
        <v>20</v>
      </c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1" t="n"/>
      <c r="W15" s="52">
        <f>SUM(E15:V15)</f>
        <v/>
      </c>
      <c r="X15" s="56" t="n">
        <v>7</v>
      </c>
      <c r="Y15" s="54">
        <f>X15*W15</f>
        <v/>
      </c>
      <c r="AA15" s="57">
        <f>AB15+AF15</f>
        <v/>
      </c>
      <c r="AB15" s="57">
        <f>AE15*W15</f>
        <v/>
      </c>
      <c r="AC15" s="57">
        <f>AA15*X15</f>
        <v/>
      </c>
      <c r="AD15" s="57">
        <f>AB15*X15</f>
        <v/>
      </c>
      <c r="AE15" s="55" t="n">
        <v>0.6</v>
      </c>
      <c r="AF15" s="57" t="n">
        <v>1</v>
      </c>
    </row>
    <row r="16" ht="18.75" customHeight="1">
      <c r="A16" s="49">
        <f>C15+1</f>
        <v/>
      </c>
      <c r="B16" s="49" t="inlineStr">
        <is>
          <t>-</t>
        </is>
      </c>
      <c r="C16" s="49">
        <f>A16-1+X16</f>
        <v/>
      </c>
      <c r="D16" s="50" t="inlineStr">
        <is>
          <t>GL451</t>
        </is>
      </c>
      <c r="E16" s="51" t="n"/>
      <c r="F16" s="52" t="n"/>
      <c r="G16" s="52" t="n">
        <v>3</v>
      </c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1" t="n"/>
      <c r="W16" s="52">
        <f>SUM(E16:V16)</f>
        <v/>
      </c>
      <c r="X16" s="56" t="n">
        <v>1</v>
      </c>
      <c r="Y16" s="54">
        <f>X16*W16</f>
        <v/>
      </c>
      <c r="AA16" s="57">
        <f>AB16+AF16</f>
        <v/>
      </c>
      <c r="AB16" s="57">
        <f>AE16*W16</f>
        <v/>
      </c>
      <c r="AC16" s="57">
        <f>AA16*X16</f>
        <v/>
      </c>
      <c r="AD16" s="57">
        <f>AB16*X16</f>
        <v/>
      </c>
      <c r="AE16" s="55" t="n">
        <v>0.6</v>
      </c>
      <c r="AF16" s="57" t="n">
        <v>1</v>
      </c>
    </row>
    <row r="17" ht="18.75" customHeight="1">
      <c r="A17" s="49">
        <f>C16+1</f>
        <v/>
      </c>
      <c r="B17" s="49" t="inlineStr">
        <is>
          <t>-</t>
        </is>
      </c>
      <c r="C17" s="49">
        <f>A17-1+X17</f>
        <v/>
      </c>
      <c r="D17" s="50" t="inlineStr">
        <is>
          <t>GL451</t>
        </is>
      </c>
      <c r="E17" s="51" t="n"/>
      <c r="F17" s="52" t="n"/>
      <c r="G17" s="52" t="n"/>
      <c r="H17" s="52" t="n">
        <v>20</v>
      </c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1" t="n"/>
      <c r="W17" s="52">
        <f>SUM(E17:V17)</f>
        <v/>
      </c>
      <c r="X17" s="56" t="n">
        <v>13</v>
      </c>
      <c r="Y17" s="54">
        <f>X17*W17</f>
        <v/>
      </c>
      <c r="AA17" s="57">
        <f>AB17+AF17</f>
        <v/>
      </c>
      <c r="AB17" s="57">
        <f>AE17*W17</f>
        <v/>
      </c>
      <c r="AC17" s="57">
        <f>AA17*X17</f>
        <v/>
      </c>
      <c r="AD17" s="57">
        <f>AB17*X17</f>
        <v/>
      </c>
      <c r="AE17" s="55" t="n">
        <v>0.6</v>
      </c>
      <c r="AF17" s="57" t="n">
        <v>1</v>
      </c>
    </row>
    <row r="18" ht="18.75" customHeight="1">
      <c r="A18" s="49">
        <f>C17+1</f>
        <v/>
      </c>
      <c r="B18" s="49" t="inlineStr">
        <is>
          <t>-</t>
        </is>
      </c>
      <c r="C18" s="49">
        <f>A18-1+X18</f>
        <v/>
      </c>
      <c r="D18" s="50" t="inlineStr">
        <is>
          <t>GL451</t>
        </is>
      </c>
      <c r="E18" s="51" t="n"/>
      <c r="F18" s="52" t="n"/>
      <c r="G18" s="52" t="n"/>
      <c r="H18" s="52" t="n">
        <v>4</v>
      </c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1" t="n"/>
      <c r="W18" s="52">
        <f>SUM(E18:V18)</f>
        <v/>
      </c>
      <c r="X18" s="56" t="n">
        <v>1</v>
      </c>
      <c r="Y18" s="54">
        <f>X18*W18</f>
        <v/>
      </c>
      <c r="AA18" s="57">
        <f>AB18+AF18</f>
        <v/>
      </c>
      <c r="AB18" s="57">
        <f>AE18*W18</f>
        <v/>
      </c>
      <c r="AC18" s="57">
        <f>AA18*X18</f>
        <v/>
      </c>
      <c r="AD18" s="57">
        <f>AB18*X18</f>
        <v/>
      </c>
      <c r="AE18" s="55" t="n">
        <v>0.6</v>
      </c>
      <c r="AF18" s="57" t="n">
        <v>1</v>
      </c>
    </row>
    <row r="19" ht="18.75" customHeight="1">
      <c r="A19" s="49">
        <f>C18+1</f>
        <v/>
      </c>
      <c r="B19" s="49" t="inlineStr">
        <is>
          <t>-</t>
        </is>
      </c>
      <c r="C19" s="49">
        <f>A19-1+X19</f>
        <v/>
      </c>
      <c r="D19" s="50" t="inlineStr">
        <is>
          <t>GL451</t>
        </is>
      </c>
      <c r="E19" s="51" t="n"/>
      <c r="F19" s="52" t="n"/>
      <c r="G19" s="52" t="n"/>
      <c r="H19" s="52" t="n"/>
      <c r="I19" s="52" t="n">
        <v>20</v>
      </c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1" t="n"/>
      <c r="W19" s="52">
        <f>SUM(E19:V19)</f>
        <v/>
      </c>
      <c r="X19" s="56" t="n">
        <v>9</v>
      </c>
      <c r="Y19" s="54">
        <f>X19*W19</f>
        <v/>
      </c>
      <c r="AA19" s="57">
        <f>AB19+AF19</f>
        <v/>
      </c>
      <c r="AB19" s="57">
        <f>AE19*W19</f>
        <v/>
      </c>
      <c r="AC19" s="57">
        <f>AA19*X19</f>
        <v/>
      </c>
      <c r="AD19" s="57">
        <f>AB19*X19</f>
        <v/>
      </c>
      <c r="AE19" s="55" t="n">
        <v>0.6</v>
      </c>
      <c r="AF19" s="57" t="n">
        <v>1</v>
      </c>
    </row>
    <row r="20" ht="18.75" customHeight="1">
      <c r="A20" s="49">
        <f>C19+1</f>
        <v/>
      </c>
      <c r="B20" s="49" t="inlineStr">
        <is>
          <t>-</t>
        </is>
      </c>
      <c r="C20" s="49">
        <f>A20-1+X20</f>
        <v/>
      </c>
      <c r="D20" s="50" t="inlineStr">
        <is>
          <t>GL451</t>
        </is>
      </c>
      <c r="E20" s="51" t="n"/>
      <c r="F20" s="52" t="n"/>
      <c r="G20" s="52" t="n"/>
      <c r="H20" s="52" t="n"/>
      <c r="I20" s="52" t="n">
        <v>12</v>
      </c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1" t="n"/>
      <c r="W20" s="52">
        <f>SUM(E20:V20)</f>
        <v/>
      </c>
      <c r="X20" s="56" t="n">
        <v>1</v>
      </c>
      <c r="Y20" s="54">
        <f>X20*W20</f>
        <v/>
      </c>
      <c r="AA20" s="57">
        <f>AB20+AF20</f>
        <v/>
      </c>
      <c r="AB20" s="57">
        <f>AE20*W20</f>
        <v/>
      </c>
      <c r="AC20" s="57">
        <f>AA20*X20</f>
        <v/>
      </c>
      <c r="AD20" s="57">
        <f>AB20*X20</f>
        <v/>
      </c>
      <c r="AE20" s="55" t="n">
        <v>0.6</v>
      </c>
      <c r="AF20" s="57" t="n">
        <v>1</v>
      </c>
    </row>
    <row r="21" ht="18.75" customHeight="1">
      <c r="A21" s="49">
        <f>C20+1</f>
        <v/>
      </c>
      <c r="B21" s="49" t="inlineStr">
        <is>
          <t>-</t>
        </is>
      </c>
      <c r="C21" s="49">
        <f>A21-1+X21</f>
        <v/>
      </c>
      <c r="D21" s="50" t="inlineStr">
        <is>
          <t>GL451</t>
        </is>
      </c>
      <c r="E21" s="51" t="n"/>
      <c r="F21" s="52" t="n"/>
      <c r="G21" s="52" t="n"/>
      <c r="H21" s="52" t="n"/>
      <c r="I21" s="52" t="n"/>
      <c r="J21" s="52" t="n">
        <v>20</v>
      </c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1" t="n"/>
      <c r="W21" s="52">
        <f>SUM(E21:V21)</f>
        <v/>
      </c>
      <c r="X21" s="56" t="n">
        <v>8</v>
      </c>
      <c r="Y21" s="54">
        <f>X21*W21</f>
        <v/>
      </c>
      <c r="AA21" s="57">
        <f>AB21+AF21</f>
        <v/>
      </c>
      <c r="AB21" s="57">
        <f>AE21*W21</f>
        <v/>
      </c>
      <c r="AC21" s="57">
        <f>AA21*X21</f>
        <v/>
      </c>
      <c r="AD21" s="57">
        <f>AB21*X21</f>
        <v/>
      </c>
      <c r="AE21" s="55" t="n">
        <v>0.6</v>
      </c>
      <c r="AF21" s="57" t="n">
        <v>1</v>
      </c>
    </row>
    <row r="22" ht="18.75" customHeight="1">
      <c r="A22" s="49">
        <f>C21+1</f>
        <v/>
      </c>
      <c r="B22" s="49" t="inlineStr">
        <is>
          <t>-</t>
        </is>
      </c>
      <c r="C22" s="49">
        <f>A22-1+X22</f>
        <v/>
      </c>
      <c r="D22" s="50" t="inlineStr">
        <is>
          <t>GL451</t>
        </is>
      </c>
      <c r="E22" s="51" t="n"/>
      <c r="F22" s="52" t="n"/>
      <c r="G22" s="52" t="n"/>
      <c r="H22" s="52" t="n"/>
      <c r="I22" s="52" t="n"/>
      <c r="J22" s="52" t="n">
        <v>6</v>
      </c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1" t="n"/>
      <c r="W22" s="52">
        <f>SUM(E22:V22)</f>
        <v/>
      </c>
      <c r="X22" s="56" t="n">
        <v>1</v>
      </c>
      <c r="Y22" s="54">
        <f>X22*W22</f>
        <v/>
      </c>
      <c r="AA22" s="57">
        <f>AB22+AF22</f>
        <v/>
      </c>
      <c r="AB22" s="57">
        <f>AE22*W22</f>
        <v/>
      </c>
      <c r="AC22" s="57">
        <f>AA22*X22</f>
        <v/>
      </c>
      <c r="AD22" s="57">
        <f>AB22*X22</f>
        <v/>
      </c>
      <c r="AE22" s="55" t="n">
        <v>0.6</v>
      </c>
      <c r="AF22" s="57" t="n">
        <v>1</v>
      </c>
    </row>
    <row r="23" ht="18.75" customHeight="1">
      <c r="A23" s="49">
        <f>C22+1</f>
        <v/>
      </c>
      <c r="B23" s="49" t="inlineStr">
        <is>
          <t>-</t>
        </is>
      </c>
      <c r="C23" s="49">
        <f>A23-1+X23</f>
        <v/>
      </c>
      <c r="D23" s="50" t="inlineStr">
        <is>
          <t>GL451</t>
        </is>
      </c>
      <c r="E23" s="51" t="n"/>
      <c r="F23" s="52" t="n"/>
      <c r="G23" s="52" t="n"/>
      <c r="H23" s="52" t="n"/>
      <c r="I23" s="52" t="n"/>
      <c r="J23" s="52" t="n"/>
      <c r="K23" s="52" t="n">
        <v>20</v>
      </c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1" t="n"/>
      <c r="W23" s="52">
        <f>SUM(E23:V23)</f>
        <v/>
      </c>
      <c r="X23" s="56" t="n">
        <v>19</v>
      </c>
      <c r="Y23" s="54">
        <f>X23*W23</f>
        <v/>
      </c>
      <c r="AA23" s="57">
        <f>AB23+AF23</f>
        <v/>
      </c>
      <c r="AB23" s="57">
        <f>AE23*W23</f>
        <v/>
      </c>
      <c r="AC23" s="57">
        <f>AA23*X23</f>
        <v/>
      </c>
      <c r="AD23" s="57">
        <f>AB23*X23</f>
        <v/>
      </c>
      <c r="AE23" s="55" t="n">
        <v>0.6</v>
      </c>
      <c r="AF23" s="57" t="n">
        <v>1</v>
      </c>
    </row>
    <row r="24" ht="18.75" customHeight="1">
      <c r="A24" s="49">
        <f>C23+1</f>
        <v/>
      </c>
      <c r="B24" s="49" t="inlineStr">
        <is>
          <t>-</t>
        </is>
      </c>
      <c r="C24" s="49">
        <f>A24-1+X24</f>
        <v/>
      </c>
      <c r="D24" s="50" t="inlineStr">
        <is>
          <t>GL451</t>
        </is>
      </c>
      <c r="E24" s="51" t="n"/>
      <c r="F24" s="52" t="n"/>
      <c r="G24" s="52" t="n"/>
      <c r="H24" s="52" t="n"/>
      <c r="I24" s="52" t="n"/>
      <c r="J24" s="52" t="n"/>
      <c r="K24" s="52" t="n">
        <v>4</v>
      </c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1" t="n"/>
      <c r="W24" s="52">
        <f>SUM(E24:V24)</f>
        <v/>
      </c>
      <c r="X24" s="56" t="n">
        <v>1</v>
      </c>
      <c r="Y24" s="54">
        <f>X24*W24</f>
        <v/>
      </c>
      <c r="AA24" s="57">
        <f>AB24+AF24</f>
        <v/>
      </c>
      <c r="AB24" s="57">
        <f>AE24*W24</f>
        <v/>
      </c>
      <c r="AC24" s="57">
        <f>AA24*X24</f>
        <v/>
      </c>
      <c r="AD24" s="57">
        <f>AB24*X24</f>
        <v/>
      </c>
      <c r="AE24" s="55" t="n">
        <v>0.6</v>
      </c>
      <c r="AF24" s="57" t="n">
        <v>1</v>
      </c>
    </row>
    <row r="25" ht="18.75" customHeight="1">
      <c r="A25" s="49">
        <f>C24+1</f>
        <v/>
      </c>
      <c r="B25" s="49" t="inlineStr">
        <is>
          <t>-</t>
        </is>
      </c>
      <c r="C25" s="49">
        <f>A25-1+X25</f>
        <v/>
      </c>
      <c r="D25" s="50" t="inlineStr">
        <is>
          <t>GL451</t>
        </is>
      </c>
      <c r="E25" s="51" t="n"/>
      <c r="F25" s="52" t="n"/>
      <c r="G25" s="52" t="n"/>
      <c r="H25" s="52" t="n"/>
      <c r="I25" s="52" t="n"/>
      <c r="J25" s="52" t="n"/>
      <c r="K25" s="52" t="n"/>
      <c r="L25" s="52" t="n">
        <v>20</v>
      </c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1" t="n"/>
      <c r="W25" s="52">
        <f>SUM(E25:V25)</f>
        <v/>
      </c>
      <c r="X25" s="56" t="n">
        <v>12</v>
      </c>
      <c r="Y25" s="54">
        <f>X25*W25</f>
        <v/>
      </c>
      <c r="AA25" s="57">
        <f>AB25+AF25</f>
        <v/>
      </c>
      <c r="AB25" s="57">
        <f>AE25*W25</f>
        <v/>
      </c>
      <c r="AC25" s="57">
        <f>AA25*X25</f>
        <v/>
      </c>
      <c r="AD25" s="57">
        <f>AB25*X25</f>
        <v/>
      </c>
      <c r="AE25" s="55" t="n">
        <v>0.6</v>
      </c>
      <c r="AF25" s="57" t="n">
        <v>1</v>
      </c>
    </row>
    <row r="26" ht="18.75" customHeight="1">
      <c r="A26" s="49">
        <f>C25+1</f>
        <v/>
      </c>
      <c r="B26" s="49" t="inlineStr">
        <is>
          <t>-</t>
        </is>
      </c>
      <c r="C26" s="49">
        <f>A26-1+X26</f>
        <v/>
      </c>
      <c r="D26" s="50" t="inlineStr">
        <is>
          <t>GL451</t>
        </is>
      </c>
      <c r="E26" s="51" t="n"/>
      <c r="F26" s="52" t="n"/>
      <c r="G26" s="52" t="n"/>
      <c r="H26" s="52" t="n"/>
      <c r="I26" s="52" t="n"/>
      <c r="J26" s="52" t="n"/>
      <c r="K26" s="52" t="n"/>
      <c r="L26" s="52" t="n">
        <v>4</v>
      </c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1" t="n"/>
      <c r="W26" s="52">
        <f>SUM(E26:V26)</f>
        <v/>
      </c>
      <c r="X26" s="56" t="n">
        <v>1</v>
      </c>
      <c r="Y26" s="54">
        <f>X26*W26</f>
        <v/>
      </c>
      <c r="AA26" s="57">
        <f>AB26+AF26</f>
        <v/>
      </c>
      <c r="AB26" s="57">
        <f>AE26*W26</f>
        <v/>
      </c>
      <c r="AC26" s="57">
        <f>AA26*X26</f>
        <v/>
      </c>
      <c r="AD26" s="57">
        <f>AB26*X26</f>
        <v/>
      </c>
      <c r="AE26" s="55" t="n">
        <v>0.6</v>
      </c>
      <c r="AF26" s="57" t="n">
        <v>1</v>
      </c>
    </row>
    <row r="27" ht="18.75" customHeight="1">
      <c r="A27" s="49">
        <f>C26+1</f>
        <v/>
      </c>
      <c r="B27" s="49" t="inlineStr">
        <is>
          <t>-</t>
        </is>
      </c>
      <c r="C27" s="49">
        <f>A27-1+X27</f>
        <v/>
      </c>
      <c r="D27" s="50" t="inlineStr">
        <is>
          <t>GL451</t>
        </is>
      </c>
      <c r="E27" s="51" t="n"/>
      <c r="F27" s="52" t="n"/>
      <c r="G27" s="52" t="n"/>
      <c r="H27" s="52" t="n"/>
      <c r="I27" s="52" t="n"/>
      <c r="J27" s="52" t="n"/>
      <c r="K27" s="52" t="n"/>
      <c r="L27" s="52" t="n"/>
      <c r="M27" s="52" t="n">
        <v>20</v>
      </c>
      <c r="N27" s="52" t="n"/>
      <c r="O27" s="52" t="n"/>
      <c r="P27" s="52" t="n"/>
      <c r="Q27" s="52" t="n"/>
      <c r="R27" s="52" t="n"/>
      <c r="S27" s="52" t="n"/>
      <c r="T27" s="52" t="n"/>
      <c r="U27" s="52" t="n"/>
      <c r="V27" s="51" t="n"/>
      <c r="W27" s="52">
        <f>SUM(E27:V27)</f>
        <v/>
      </c>
      <c r="X27" s="56" t="n">
        <v>8</v>
      </c>
      <c r="Y27" s="54">
        <f>X27*W27</f>
        <v/>
      </c>
      <c r="AA27" s="57">
        <f>AB27+AF27</f>
        <v/>
      </c>
      <c r="AB27" s="57">
        <f>AE27*W27</f>
        <v/>
      </c>
      <c r="AC27" s="57">
        <f>AA27*X27</f>
        <v/>
      </c>
      <c r="AD27" s="57">
        <f>AB27*X27</f>
        <v/>
      </c>
      <c r="AE27" s="55" t="n">
        <v>0.6</v>
      </c>
      <c r="AF27" s="57" t="n">
        <v>1</v>
      </c>
    </row>
    <row r="28" ht="18.75" customHeight="1">
      <c r="A28" s="49">
        <f>C27+1</f>
        <v/>
      </c>
      <c r="B28" s="49" t="inlineStr">
        <is>
          <t>-</t>
        </is>
      </c>
      <c r="C28" s="49">
        <f>A28-1+X28</f>
        <v/>
      </c>
      <c r="D28" s="50" t="inlineStr">
        <is>
          <t>GL451</t>
        </is>
      </c>
      <c r="E28" s="51" t="n"/>
      <c r="F28" s="52" t="n"/>
      <c r="G28" s="52" t="n"/>
      <c r="H28" s="52" t="n"/>
      <c r="I28" s="52" t="n"/>
      <c r="J28" s="52" t="n"/>
      <c r="K28" s="52" t="n"/>
      <c r="L28" s="52" t="n"/>
      <c r="M28" s="52" t="n">
        <v>6</v>
      </c>
      <c r="N28" s="52" t="n"/>
      <c r="O28" s="52" t="n"/>
      <c r="P28" s="52" t="n"/>
      <c r="Q28" s="52" t="n"/>
      <c r="R28" s="52" t="n"/>
      <c r="S28" s="52" t="n"/>
      <c r="T28" s="52" t="n"/>
      <c r="U28" s="52" t="n"/>
      <c r="V28" s="51" t="n"/>
      <c r="W28" s="52">
        <f>SUM(E28:V28)</f>
        <v/>
      </c>
      <c r="X28" s="56" t="n">
        <v>1</v>
      </c>
      <c r="Y28" s="54">
        <f>X28*W28</f>
        <v/>
      </c>
      <c r="AA28" s="57">
        <f>AB28+AF28</f>
        <v/>
      </c>
      <c r="AB28" s="57">
        <f>AE28*W28</f>
        <v/>
      </c>
      <c r="AC28" s="57">
        <f>AA28*X28</f>
        <v/>
      </c>
      <c r="AD28" s="57">
        <f>AB28*X28</f>
        <v/>
      </c>
      <c r="AE28" s="55" t="n">
        <v>0.6</v>
      </c>
      <c r="AF28" s="57" t="n">
        <v>1</v>
      </c>
    </row>
    <row r="29" ht="18.75" customHeight="1">
      <c r="A29" s="49">
        <f>C28+1</f>
        <v/>
      </c>
      <c r="B29" s="49" t="inlineStr">
        <is>
          <t>-</t>
        </is>
      </c>
      <c r="C29" s="49">
        <f>A29-1+X29</f>
        <v/>
      </c>
      <c r="D29" s="50" t="inlineStr">
        <is>
          <t>GL451</t>
        </is>
      </c>
      <c r="E29" s="51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>
        <v>20</v>
      </c>
      <c r="O29" s="52" t="n"/>
      <c r="P29" s="52" t="n"/>
      <c r="Q29" s="52" t="n"/>
      <c r="R29" s="52" t="n"/>
      <c r="S29" s="52" t="n"/>
      <c r="T29" s="52" t="n"/>
      <c r="U29" s="52" t="n"/>
      <c r="V29" s="51" t="n"/>
      <c r="W29" s="52">
        <f>SUM(E29:V29)</f>
        <v/>
      </c>
      <c r="X29" s="56" t="n">
        <v>13</v>
      </c>
      <c r="Y29" s="54">
        <f>X29*W29</f>
        <v/>
      </c>
      <c r="AA29" s="57">
        <f>AB29+AF29</f>
        <v/>
      </c>
      <c r="AB29" s="57">
        <f>AE29*W29</f>
        <v/>
      </c>
      <c r="AC29" s="57">
        <f>AA29*X29</f>
        <v/>
      </c>
      <c r="AD29" s="57">
        <f>AB29*X29</f>
        <v/>
      </c>
      <c r="AE29" s="55" t="n">
        <v>0.6</v>
      </c>
      <c r="AF29" s="57" t="n">
        <v>1</v>
      </c>
    </row>
    <row r="30" ht="18.75" customHeight="1">
      <c r="A30" s="49">
        <f>C29+1</f>
        <v/>
      </c>
      <c r="B30" s="49" t="inlineStr">
        <is>
          <t>-</t>
        </is>
      </c>
      <c r="C30" s="49">
        <f>A30-1+X30</f>
        <v/>
      </c>
      <c r="D30" s="50" t="inlineStr">
        <is>
          <t>GL451</t>
        </is>
      </c>
      <c r="E30" s="51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>
        <v>8</v>
      </c>
      <c r="O30" s="52" t="n"/>
      <c r="P30" s="52" t="n"/>
      <c r="Q30" s="52" t="n"/>
      <c r="R30" s="52" t="n"/>
      <c r="S30" s="52" t="n"/>
      <c r="T30" s="52" t="n"/>
      <c r="U30" s="52" t="n"/>
      <c r="V30" s="51" t="n"/>
      <c r="W30" s="52">
        <f>SUM(E30:V30)</f>
        <v/>
      </c>
      <c r="X30" s="56" t="n">
        <v>1</v>
      </c>
      <c r="Y30" s="54">
        <f>X30*W30</f>
        <v/>
      </c>
      <c r="AA30" s="57">
        <f>AB30+AF30</f>
        <v/>
      </c>
      <c r="AB30" s="57">
        <f>AE30*W30</f>
        <v/>
      </c>
      <c r="AC30" s="57">
        <f>AA30*X30</f>
        <v/>
      </c>
      <c r="AD30" s="57">
        <f>AB30*X30</f>
        <v/>
      </c>
      <c r="AE30" s="55" t="n">
        <v>0.6</v>
      </c>
      <c r="AF30" s="57" t="n">
        <v>1</v>
      </c>
    </row>
    <row r="31" ht="18.75" customHeight="1">
      <c r="A31" s="49">
        <f>C30+1</f>
        <v/>
      </c>
      <c r="B31" s="49" t="inlineStr">
        <is>
          <t>-</t>
        </is>
      </c>
      <c r="C31" s="49">
        <f>A31-1+X31</f>
        <v/>
      </c>
      <c r="D31" s="50" t="inlineStr">
        <is>
          <t>GL451</t>
        </is>
      </c>
      <c r="E31" s="51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>
        <v>20</v>
      </c>
      <c r="P31" s="52" t="n"/>
      <c r="Q31" s="52" t="n"/>
      <c r="R31" s="52" t="n"/>
      <c r="S31" s="52" t="n"/>
      <c r="T31" s="52" t="n"/>
      <c r="U31" s="52" t="n"/>
      <c r="V31" s="51" t="n"/>
      <c r="W31" s="52">
        <f>SUM(E31:V31)</f>
        <v/>
      </c>
      <c r="X31" s="56" t="n">
        <v>15</v>
      </c>
      <c r="Y31" s="54">
        <f>X31*W31</f>
        <v/>
      </c>
      <c r="AA31" s="57">
        <f>AB31+AF31</f>
        <v/>
      </c>
      <c r="AB31" s="57">
        <f>AE31*W31</f>
        <v/>
      </c>
      <c r="AC31" s="57">
        <f>AA31*X31</f>
        <v/>
      </c>
      <c r="AD31" s="57">
        <f>AB31*X31</f>
        <v/>
      </c>
      <c r="AE31" s="55" t="n">
        <v>0.6</v>
      </c>
      <c r="AF31" s="57" t="n">
        <v>1</v>
      </c>
    </row>
    <row r="32" ht="18.75" customHeight="1">
      <c r="A32" s="49">
        <f>C31+1</f>
        <v/>
      </c>
      <c r="B32" s="49" t="inlineStr">
        <is>
          <t>-</t>
        </is>
      </c>
      <c r="C32" s="49">
        <f>A32-1+X32</f>
        <v/>
      </c>
      <c r="D32" s="50" t="inlineStr">
        <is>
          <t>GL451</t>
        </is>
      </c>
      <c r="E32" s="51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>
        <v>2</v>
      </c>
      <c r="P32" s="52" t="n"/>
      <c r="Q32" s="52" t="n"/>
      <c r="R32" s="52" t="n"/>
      <c r="S32" s="52" t="n"/>
      <c r="T32" s="52" t="n"/>
      <c r="U32" s="52" t="n"/>
      <c r="V32" s="51" t="n"/>
      <c r="W32" s="52">
        <f>SUM(E32:V32)</f>
        <v/>
      </c>
      <c r="X32" s="56" t="n">
        <v>1</v>
      </c>
      <c r="Y32" s="54">
        <f>X32*W32</f>
        <v/>
      </c>
      <c r="AA32" s="57">
        <f>AB32+AF32</f>
        <v/>
      </c>
      <c r="AB32" s="57">
        <f>AE32*W32</f>
        <v/>
      </c>
      <c r="AC32" s="57">
        <f>AA32*X32</f>
        <v/>
      </c>
      <c r="AD32" s="57">
        <f>AB32*X32</f>
        <v/>
      </c>
      <c r="AE32" s="55" t="n">
        <v>0.6</v>
      </c>
      <c r="AF32" s="57" t="n">
        <v>1</v>
      </c>
    </row>
    <row r="33" ht="18.75" customHeight="1">
      <c r="A33" s="49">
        <f>C32+1</f>
        <v/>
      </c>
      <c r="B33" s="49" t="inlineStr">
        <is>
          <t>-</t>
        </is>
      </c>
      <c r="C33" s="49">
        <f>A33-1+X33</f>
        <v/>
      </c>
      <c r="D33" s="50" t="inlineStr">
        <is>
          <t>GL451</t>
        </is>
      </c>
      <c r="E33" s="51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>
        <v>20</v>
      </c>
      <c r="Q33" s="52" t="n"/>
      <c r="R33" s="52" t="n"/>
      <c r="S33" s="52" t="n"/>
      <c r="T33" s="52" t="n"/>
      <c r="U33" s="52" t="n"/>
      <c r="V33" s="51" t="n"/>
      <c r="W33" s="52">
        <f>SUM(E33:V33)</f>
        <v/>
      </c>
      <c r="X33" s="56" t="n">
        <v>8</v>
      </c>
      <c r="Y33" s="54">
        <f>X33*W33</f>
        <v/>
      </c>
      <c r="AA33" s="57">
        <f>AB33+AF33</f>
        <v/>
      </c>
      <c r="AB33" s="57">
        <f>AE33*W33</f>
        <v/>
      </c>
      <c r="AC33" s="57">
        <f>AA33*X33</f>
        <v/>
      </c>
      <c r="AD33" s="57">
        <f>AB33*X33</f>
        <v/>
      </c>
      <c r="AE33" s="55" t="n">
        <v>0.6</v>
      </c>
      <c r="AF33" s="57" t="n">
        <v>1</v>
      </c>
    </row>
    <row r="34" ht="18.75" customHeight="1">
      <c r="A34" s="49">
        <f>C33+1</f>
        <v/>
      </c>
      <c r="B34" s="49" t="inlineStr">
        <is>
          <t>-</t>
        </is>
      </c>
      <c r="C34" s="49">
        <f>A34-1+X34</f>
        <v/>
      </c>
      <c r="D34" s="50" t="inlineStr">
        <is>
          <t>GL451</t>
        </is>
      </c>
      <c r="E34" s="51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>
        <v>11</v>
      </c>
      <c r="Q34" s="52" t="n"/>
      <c r="R34" s="52" t="n"/>
      <c r="S34" s="52" t="n"/>
      <c r="T34" s="52" t="n"/>
      <c r="U34" s="52" t="n"/>
      <c r="V34" s="51" t="n"/>
      <c r="W34" s="52">
        <f>SUM(E34:V34)</f>
        <v/>
      </c>
      <c r="X34" s="56" t="n">
        <v>1</v>
      </c>
      <c r="Y34" s="54">
        <f>X34*W34</f>
        <v/>
      </c>
      <c r="AA34" s="57">
        <f>AB34+AF34</f>
        <v/>
      </c>
      <c r="AB34" s="57">
        <f>AE34*W34</f>
        <v/>
      </c>
      <c r="AC34" s="57">
        <f>AA34*X34</f>
        <v/>
      </c>
      <c r="AD34" s="57">
        <f>AB34*X34</f>
        <v/>
      </c>
      <c r="AE34" s="55" t="n">
        <v>0.6</v>
      </c>
      <c r="AF34" s="57" t="n">
        <v>1</v>
      </c>
    </row>
    <row r="35" ht="18.75" customHeight="1">
      <c r="A35" s="49">
        <f>C34+1</f>
        <v/>
      </c>
      <c r="B35" s="49" t="inlineStr">
        <is>
          <t>-</t>
        </is>
      </c>
      <c r="C35" s="49">
        <f>A35-1+X35</f>
        <v/>
      </c>
      <c r="D35" s="50" t="inlineStr">
        <is>
          <t>GL451</t>
        </is>
      </c>
      <c r="E35" s="51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>
        <v>20</v>
      </c>
      <c r="R35" s="52" t="n"/>
      <c r="S35" s="52" t="n"/>
      <c r="T35" s="52" t="n"/>
      <c r="U35" s="52" t="n"/>
      <c r="V35" s="51" t="n"/>
      <c r="W35" s="52">
        <f>SUM(E35:V35)</f>
        <v/>
      </c>
      <c r="X35" s="56" t="n">
        <v>11</v>
      </c>
      <c r="Y35" s="54">
        <f>X35*W35</f>
        <v/>
      </c>
      <c r="AA35" s="57">
        <f>AB35+AF35</f>
        <v/>
      </c>
      <c r="AB35" s="57">
        <f>AE35*W35</f>
        <v/>
      </c>
      <c r="AC35" s="57">
        <f>AA35*X35</f>
        <v/>
      </c>
      <c r="AD35" s="57">
        <f>AB35*X35</f>
        <v/>
      </c>
      <c r="AE35" s="55" t="n">
        <v>0.6</v>
      </c>
      <c r="AF35" s="57" t="n">
        <v>1</v>
      </c>
    </row>
    <row r="36" ht="18.75" customHeight="1">
      <c r="A36" s="49">
        <f>C35+1</f>
        <v/>
      </c>
      <c r="B36" s="49" t="inlineStr">
        <is>
          <t>-</t>
        </is>
      </c>
      <c r="C36" s="49">
        <f>A36-1+X36</f>
        <v/>
      </c>
      <c r="D36" s="50" t="inlineStr">
        <is>
          <t>GL451</t>
        </is>
      </c>
      <c r="E36" s="51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>
        <v>15</v>
      </c>
      <c r="R36" s="52" t="n"/>
      <c r="S36" s="52" t="n"/>
      <c r="T36" s="52" t="n"/>
      <c r="U36" s="52" t="n"/>
      <c r="V36" s="51" t="n"/>
      <c r="W36" s="52">
        <f>SUM(E36:V36)</f>
        <v/>
      </c>
      <c r="X36" s="56" t="n">
        <v>1</v>
      </c>
      <c r="Y36" s="54">
        <f>X36*W36</f>
        <v/>
      </c>
      <c r="AA36" s="57">
        <f>AB36+AF36</f>
        <v/>
      </c>
      <c r="AB36" s="57">
        <f>AE36*W36</f>
        <v/>
      </c>
      <c r="AC36" s="57">
        <f>AA36*X36</f>
        <v/>
      </c>
      <c r="AD36" s="57">
        <f>AB36*X36</f>
        <v/>
      </c>
      <c r="AE36" s="55" t="n">
        <v>0.6</v>
      </c>
      <c r="AF36" s="57" t="n">
        <v>1</v>
      </c>
    </row>
    <row r="37" ht="18.75" customHeight="1">
      <c r="A37" s="49">
        <f>C36+1</f>
        <v/>
      </c>
      <c r="B37" s="49" t="inlineStr">
        <is>
          <t>-</t>
        </is>
      </c>
      <c r="C37" s="49">
        <f>A37-1+X37</f>
        <v/>
      </c>
      <c r="D37" s="50" t="inlineStr">
        <is>
          <t>GL451</t>
        </is>
      </c>
      <c r="E37" s="51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>
        <v>20</v>
      </c>
      <c r="S37" s="52" t="n"/>
      <c r="T37" s="52" t="n"/>
      <c r="U37" s="52" t="n"/>
      <c r="V37" s="51" t="n"/>
      <c r="W37" s="52">
        <f>SUM(E37:V37)</f>
        <v/>
      </c>
      <c r="X37" s="56" t="n">
        <v>10</v>
      </c>
      <c r="Y37" s="54">
        <f>X37*W37</f>
        <v/>
      </c>
      <c r="AA37" s="57">
        <f>AB37+AF37</f>
        <v/>
      </c>
      <c r="AB37" s="57">
        <f>AE37*W37</f>
        <v/>
      </c>
      <c r="AC37" s="57">
        <f>AA37*X37</f>
        <v/>
      </c>
      <c r="AD37" s="57">
        <f>AB37*X37</f>
        <v/>
      </c>
      <c r="AE37" s="55" t="n">
        <v>0.6</v>
      </c>
      <c r="AF37" s="57" t="n">
        <v>1</v>
      </c>
    </row>
    <row r="38" ht="18.75" customHeight="1">
      <c r="A38" s="49">
        <f>C37+1</f>
        <v/>
      </c>
      <c r="B38" s="49" t="inlineStr">
        <is>
          <t>-</t>
        </is>
      </c>
      <c r="C38" s="49">
        <f>A38-1+X38</f>
        <v/>
      </c>
      <c r="D38" s="50" t="inlineStr">
        <is>
          <t>GL451</t>
        </is>
      </c>
      <c r="E38" s="51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>
        <v>18</v>
      </c>
      <c r="S38" s="52" t="n"/>
      <c r="T38" s="52" t="n"/>
      <c r="U38" s="52" t="n"/>
      <c r="V38" s="51" t="n"/>
      <c r="W38" s="52">
        <f>SUM(E38:V38)</f>
        <v/>
      </c>
      <c r="X38" s="56" t="n">
        <v>1</v>
      </c>
      <c r="Y38" s="54">
        <f>X38*W38</f>
        <v/>
      </c>
      <c r="AA38" s="57">
        <f>AB38+AF38</f>
        <v/>
      </c>
      <c r="AB38" s="57">
        <f>AE38*W38</f>
        <v/>
      </c>
      <c r="AC38" s="57">
        <f>AA38*X38</f>
        <v/>
      </c>
      <c r="AD38" s="57">
        <f>AB38*X38</f>
        <v/>
      </c>
      <c r="AE38" s="55" t="n">
        <v>0.6</v>
      </c>
      <c r="AF38" s="57" t="n">
        <v>1</v>
      </c>
    </row>
    <row r="39" ht="18.75" customHeight="1">
      <c r="A39" s="49">
        <f>C38+1</f>
        <v/>
      </c>
      <c r="B39" s="49" t="inlineStr">
        <is>
          <t>-</t>
        </is>
      </c>
      <c r="C39" s="49">
        <f>A39-1+X39</f>
        <v/>
      </c>
      <c r="D39" s="50" t="inlineStr">
        <is>
          <t>GL451</t>
        </is>
      </c>
      <c r="E39" s="51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>
        <v>20</v>
      </c>
      <c r="T39" s="52" t="n"/>
      <c r="U39" s="52" t="n"/>
      <c r="V39" s="51" t="n"/>
      <c r="W39" s="52">
        <f>SUM(E39:V39)</f>
        <v/>
      </c>
      <c r="X39" s="56" t="n">
        <v>7</v>
      </c>
      <c r="Y39" s="54">
        <f>X39*W39</f>
        <v/>
      </c>
      <c r="AA39" s="57">
        <f>AB39+AF39</f>
        <v/>
      </c>
      <c r="AB39" s="57">
        <f>AE39*W39</f>
        <v/>
      </c>
      <c r="AC39" s="57">
        <f>AA39*X39</f>
        <v/>
      </c>
      <c r="AD39" s="57">
        <f>AB39*X39</f>
        <v/>
      </c>
      <c r="AE39" s="55" t="n">
        <v>0.6</v>
      </c>
      <c r="AF39" s="57" t="n">
        <v>1</v>
      </c>
    </row>
    <row r="40" ht="18.75" customHeight="1">
      <c r="A40" s="49">
        <f>C39+1</f>
        <v/>
      </c>
      <c r="B40" s="49" t="inlineStr">
        <is>
          <t>-</t>
        </is>
      </c>
      <c r="C40" s="49">
        <f>A40-1+X40</f>
        <v/>
      </c>
      <c r="D40" s="50" t="inlineStr">
        <is>
          <t>GL451</t>
        </is>
      </c>
      <c r="E40" s="51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>
        <v>1</v>
      </c>
      <c r="T40" s="52" t="n"/>
      <c r="U40" s="52" t="n"/>
      <c r="V40" s="51" t="n"/>
      <c r="W40" s="52">
        <f>SUM(E40:V40)</f>
        <v/>
      </c>
      <c r="X40" s="56" t="n">
        <v>1</v>
      </c>
      <c r="Y40" s="54">
        <f>X40*W40</f>
        <v/>
      </c>
      <c r="AA40" s="57">
        <f>AB40+AF40</f>
        <v/>
      </c>
      <c r="AB40" s="57">
        <f>AE40*W40</f>
        <v/>
      </c>
      <c r="AC40" s="57">
        <f>AA40*X40</f>
        <v/>
      </c>
      <c r="AD40" s="57">
        <f>AB40*X40</f>
        <v/>
      </c>
      <c r="AE40" s="55" t="n">
        <v>0.6</v>
      </c>
      <c r="AF40" s="57" t="n">
        <v>1</v>
      </c>
    </row>
    <row r="41" ht="18.75" customHeight="1">
      <c r="A41" s="49">
        <f>C40+1</f>
        <v/>
      </c>
      <c r="B41" s="49" t="inlineStr">
        <is>
          <t>-</t>
        </is>
      </c>
      <c r="C41" s="49">
        <f>A41-1+X41</f>
        <v/>
      </c>
      <c r="D41" s="50" t="inlineStr">
        <is>
          <t>GL451</t>
        </is>
      </c>
      <c r="E41" s="51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>
        <v>20</v>
      </c>
      <c r="U41" s="52" t="n"/>
      <c r="V41" s="51" t="n"/>
      <c r="W41" s="52">
        <f>SUM(E41:V41)</f>
        <v/>
      </c>
      <c r="X41" s="56" t="n">
        <v>16</v>
      </c>
      <c r="Y41" s="54">
        <f>X41*W41</f>
        <v/>
      </c>
      <c r="AA41" s="57">
        <f>AB41+AF41</f>
        <v/>
      </c>
      <c r="AB41" s="57">
        <f>AE41*W41</f>
        <v/>
      </c>
      <c r="AC41" s="57">
        <f>AA41*X41</f>
        <v/>
      </c>
      <c r="AD41" s="57">
        <f>AB41*X41</f>
        <v/>
      </c>
      <c r="AE41" s="55" t="n">
        <v>0.6</v>
      </c>
      <c r="AF41" s="57" t="n">
        <v>1</v>
      </c>
    </row>
    <row r="42" ht="18.75" customHeight="1">
      <c r="A42" s="49">
        <f>C41+1</f>
        <v/>
      </c>
      <c r="B42" s="49" t="inlineStr">
        <is>
          <t>-</t>
        </is>
      </c>
      <c r="C42" s="49">
        <f>A42-1+X42</f>
        <v/>
      </c>
      <c r="D42" s="50" t="inlineStr">
        <is>
          <t>GL451</t>
        </is>
      </c>
      <c r="E42" s="51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>
        <v>6</v>
      </c>
      <c r="U42" s="52" t="n"/>
      <c r="V42" s="51" t="n"/>
      <c r="W42" s="52">
        <f>SUM(E42:V42)</f>
        <v/>
      </c>
      <c r="X42" s="56" t="n">
        <v>1</v>
      </c>
      <c r="Y42" s="54">
        <f>X42*W42</f>
        <v/>
      </c>
      <c r="AA42" s="57">
        <f>AB42+AF42</f>
        <v/>
      </c>
      <c r="AB42" s="57">
        <f>AE42*W42</f>
        <v/>
      </c>
      <c r="AC42" s="57">
        <f>AA42*X42</f>
        <v/>
      </c>
      <c r="AD42" s="57">
        <f>AB42*X42</f>
        <v/>
      </c>
      <c r="AE42" s="55" t="n">
        <v>0.6</v>
      </c>
      <c r="AF42" s="57" t="n">
        <v>1</v>
      </c>
    </row>
    <row r="43" ht="18.75" customHeight="1">
      <c r="A43" s="49">
        <f>C42+1</f>
        <v/>
      </c>
      <c r="B43" s="49" t="inlineStr">
        <is>
          <t>-</t>
        </is>
      </c>
      <c r="C43" s="49">
        <f>A43-1+X43</f>
        <v/>
      </c>
      <c r="D43" s="50" t="inlineStr">
        <is>
          <t>GL451</t>
        </is>
      </c>
      <c r="E43" s="51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>
        <v>20</v>
      </c>
      <c r="V43" s="51" t="n"/>
      <c r="W43" s="52">
        <f>SUM(E43:V43)</f>
        <v/>
      </c>
      <c r="X43" s="56" t="n">
        <v>10</v>
      </c>
      <c r="Y43" s="54">
        <f>X43*W43</f>
        <v/>
      </c>
      <c r="AA43" s="57">
        <f>AB43+AF43</f>
        <v/>
      </c>
      <c r="AB43" s="57">
        <f>AE43*W43</f>
        <v/>
      </c>
      <c r="AC43" s="57">
        <f>AA43*X43</f>
        <v/>
      </c>
      <c r="AD43" s="57">
        <f>AB43*X43</f>
        <v/>
      </c>
      <c r="AE43" s="55" t="n">
        <v>0.6</v>
      </c>
      <c r="AF43" s="57" t="n">
        <v>1</v>
      </c>
    </row>
    <row r="44" ht="18.75" customHeight="1">
      <c r="A44" s="49">
        <f>C43+1</f>
        <v/>
      </c>
      <c r="B44" s="49" t="inlineStr">
        <is>
          <t>-</t>
        </is>
      </c>
      <c r="C44" s="49">
        <f>A44-1+X44</f>
        <v/>
      </c>
      <c r="D44" s="50" t="inlineStr">
        <is>
          <t>GL451</t>
        </is>
      </c>
      <c r="E44" s="51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>
        <v>11</v>
      </c>
      <c r="V44" s="51" t="n"/>
      <c r="W44" s="52">
        <f>SUM(E44:V44)</f>
        <v/>
      </c>
      <c r="X44" s="56" t="n">
        <v>1</v>
      </c>
      <c r="Y44" s="54">
        <f>X44*W44</f>
        <v/>
      </c>
      <c r="AA44" s="57">
        <f>AB44+AF44</f>
        <v/>
      </c>
      <c r="AB44" s="57">
        <f>AE44*W44</f>
        <v/>
      </c>
      <c r="AC44" s="57">
        <f>AA44*X44</f>
        <v/>
      </c>
      <c r="AD44" s="57">
        <f>AB44*X44</f>
        <v/>
      </c>
      <c r="AE44" s="55" t="n">
        <v>0.6</v>
      </c>
      <c r="AF44" s="57" t="n">
        <v>1</v>
      </c>
    </row>
    <row r="45" ht="18.75" customHeight="1">
      <c r="A45" s="49">
        <f>C44+1</f>
        <v/>
      </c>
      <c r="B45" s="49" t="inlineStr">
        <is>
          <t>-</t>
        </is>
      </c>
      <c r="C45" s="49">
        <f>A45-1+X45</f>
        <v/>
      </c>
      <c r="D45" s="50" t="inlineStr">
        <is>
          <t>GL451</t>
        </is>
      </c>
      <c r="E45" s="51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1" t="n">
        <v>20</v>
      </c>
      <c r="W45" s="52">
        <f>SUM(E45:V45)</f>
        <v/>
      </c>
      <c r="X45" s="56" t="n">
        <v>1</v>
      </c>
      <c r="Y45" s="54">
        <f>X45*W45</f>
        <v/>
      </c>
      <c r="AA45" s="57">
        <f>AB45+AF45</f>
        <v/>
      </c>
      <c r="AB45" s="57">
        <f>AE45*W45</f>
        <v/>
      </c>
      <c r="AC45" s="57">
        <f>AA45*X45</f>
        <v/>
      </c>
      <c r="AD45" s="57">
        <f>AB45*X45</f>
        <v/>
      </c>
      <c r="AE45" s="55" t="n">
        <v>0.6</v>
      </c>
      <c r="AF45" s="57" t="n">
        <v>1</v>
      </c>
    </row>
    <row r="46" ht="18.75" customHeight="1">
      <c r="A46" s="49">
        <f>C45+1</f>
        <v/>
      </c>
      <c r="B46" s="49" t="inlineStr">
        <is>
          <t>-</t>
        </is>
      </c>
      <c r="C46" s="49">
        <f>A46-1+X46</f>
        <v/>
      </c>
      <c r="D46" s="50" t="inlineStr">
        <is>
          <t>GL451</t>
        </is>
      </c>
      <c r="E46" s="51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1" t="n">
        <v>17</v>
      </c>
      <c r="W46" s="52">
        <f>SUM(E46:V46)</f>
        <v/>
      </c>
      <c r="X46" s="56" t="n">
        <v>1</v>
      </c>
      <c r="Y46" s="54">
        <f>X46*W46</f>
        <v/>
      </c>
      <c r="AA46" s="57">
        <f>AB46+AF46</f>
        <v/>
      </c>
      <c r="AB46" s="57">
        <f>AE46*W46</f>
        <v/>
      </c>
      <c r="AC46" s="57">
        <f>AA46*X46</f>
        <v/>
      </c>
      <c r="AD46" s="57">
        <f>AB46*X46</f>
        <v/>
      </c>
      <c r="AE46" s="55" t="n">
        <v>0.6</v>
      </c>
      <c r="AF46" s="57" t="n">
        <v>1</v>
      </c>
    </row>
    <row r="47" ht="18.75" customHeight="1">
      <c r="A47" s="58" t="inlineStr">
        <is>
          <t>TOTAL</t>
        </is>
      </c>
      <c r="B47" s="59" t="n"/>
      <c r="C47" s="59" t="n"/>
      <c r="D47" s="60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1" t="n"/>
      <c r="V47" s="62" t="n"/>
      <c r="W47" s="62" t="n"/>
      <c r="X47" s="63">
        <f>SUM(X11:X46)</f>
        <v/>
      </c>
      <c r="Y47" s="62">
        <f>SUM(Y11:Y46)</f>
        <v/>
      </c>
      <c r="AA47" s="64" t="n"/>
      <c r="AB47" s="64" t="n"/>
      <c r="AC47" s="64">
        <f>SUM(AC11:AC46)</f>
        <v/>
      </c>
      <c r="AD47" s="64">
        <f>SUM(AD11:AD46)</f>
        <v/>
      </c>
      <c r="AE47" s="57" t="n"/>
      <c r="AF47" s="57" t="n"/>
    </row>
    <row r="48" ht="18.75" customHeight="1"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18.75" customHeight="1">
      <c r="A49" s="65" t="inlineStr">
        <is>
          <t>SUMMARY : COLOR &amp; SIZEWISE BREAKDOWN</t>
        </is>
      </c>
      <c r="AA49" s="66" t="n"/>
      <c r="AB49" s="66" t="n"/>
      <c r="AC49" s="66">
        <f>AC47</f>
        <v/>
      </c>
      <c r="AD49" s="66">
        <f>AD47</f>
        <v/>
      </c>
    </row>
    <row r="50" ht="18.75" customHeight="1"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</row>
    <row r="51" ht="94.5" customHeight="1">
      <c r="C51" s="67" t="inlineStr">
        <is>
          <t>SIZE</t>
        </is>
      </c>
      <c r="D51" s="68" t="n"/>
      <c r="E51" s="69" t="inlineStr">
        <is>
          <t>5/6</t>
        </is>
      </c>
      <c r="F51" s="69" t="inlineStr">
        <is>
          <t>5/6 LONG</t>
        </is>
      </c>
      <c r="G51" s="69" t="inlineStr">
        <is>
          <t>7/8 SHORT</t>
        </is>
      </c>
      <c r="H51" s="69" t="inlineStr">
        <is>
          <t>7/8</t>
        </is>
      </c>
      <c r="I51" s="69" t="inlineStr">
        <is>
          <t>7/8 LONG</t>
        </is>
      </c>
      <c r="J51" s="69" t="inlineStr">
        <is>
          <t>9/10 SHORT</t>
        </is>
      </c>
      <c r="K51" s="69" t="inlineStr">
        <is>
          <t>9/10</t>
        </is>
      </c>
      <c r="L51" s="69" t="inlineStr">
        <is>
          <t>9/10 LONG</t>
        </is>
      </c>
      <c r="M51" s="69" t="inlineStr">
        <is>
          <t>11/12 SHORT</t>
        </is>
      </c>
      <c r="N51" s="69" t="inlineStr">
        <is>
          <t>11/12</t>
        </is>
      </c>
      <c r="O51" s="69" t="inlineStr">
        <is>
          <t>11/12 LONG</t>
        </is>
      </c>
      <c r="P51" s="69" t="inlineStr">
        <is>
          <t>13/14 SHORT</t>
        </is>
      </c>
      <c r="Q51" s="69" t="inlineStr">
        <is>
          <t>13/14</t>
        </is>
      </c>
      <c r="R51" s="69" t="inlineStr">
        <is>
          <t>13/14 LONG</t>
        </is>
      </c>
      <c r="S51" s="69" t="inlineStr">
        <is>
          <t>15/16 SHORT</t>
        </is>
      </c>
      <c r="T51" s="69" t="inlineStr">
        <is>
          <t>15/16</t>
        </is>
      </c>
      <c r="U51" s="69" t="inlineStr">
        <is>
          <t>15/16 LONG</t>
        </is>
      </c>
      <c r="V51" s="69" t="inlineStr">
        <is>
          <t>17/18</t>
        </is>
      </c>
      <c r="W51" s="70" t="inlineStr">
        <is>
          <t xml:space="preserve">TOTAL </t>
        </is>
      </c>
      <c r="X51" s="68" t="n"/>
    </row>
    <row r="52" ht="21.75" customHeight="1">
      <c r="C52" s="71" t="inlineStr">
        <is>
          <t>ORDER QTY</t>
        </is>
      </c>
      <c r="D52" s="41" t="n"/>
      <c r="E52" s="72" t="n">
        <v>244</v>
      </c>
      <c r="F52" s="72" t="n">
        <v>141</v>
      </c>
      <c r="G52" s="72" t="n">
        <v>143</v>
      </c>
      <c r="H52" s="72" t="n">
        <v>264</v>
      </c>
      <c r="I52" s="72" t="n">
        <v>192</v>
      </c>
      <c r="J52" s="72" t="n">
        <v>166</v>
      </c>
      <c r="K52" s="72" t="n">
        <v>384</v>
      </c>
      <c r="L52" s="72" t="n">
        <v>244</v>
      </c>
      <c r="M52" s="72" t="n">
        <v>166</v>
      </c>
      <c r="N52" s="72" t="n">
        <v>268</v>
      </c>
      <c r="O52" s="72" t="n">
        <v>302</v>
      </c>
      <c r="P52" s="72" t="n">
        <v>171</v>
      </c>
      <c r="Q52" s="72" t="n">
        <v>235</v>
      </c>
      <c r="R52" s="72" t="n">
        <v>218</v>
      </c>
      <c r="S52" s="72" t="n">
        <v>141</v>
      </c>
      <c r="T52" s="72" t="n">
        <v>326</v>
      </c>
      <c r="U52" s="72" t="n">
        <v>211</v>
      </c>
      <c r="V52" s="72" t="n">
        <v>37</v>
      </c>
      <c r="W52" s="72">
        <f>SUM(E52:V52)</f>
        <v/>
      </c>
      <c r="X52" s="73" t="inlineStr">
        <is>
          <t>PCS</t>
        </is>
      </c>
    </row>
    <row r="53" ht="21.75" customHeight="1">
      <c r="C53" s="74" t="inlineStr">
        <is>
          <t>SHIP QTY</t>
        </is>
      </c>
      <c r="D53" s="60" t="n"/>
      <c r="E53" s="62">
        <f>Y11+Y12</f>
        <v/>
      </c>
      <c r="F53" s="62">
        <f>Y13+Y14</f>
        <v/>
      </c>
      <c r="G53" s="62">
        <f>Y15+Y16</f>
        <v/>
      </c>
      <c r="H53" s="62">
        <f>Y17+Y18</f>
        <v/>
      </c>
      <c r="I53" s="62">
        <f>Y19+Y20</f>
        <v/>
      </c>
      <c r="J53" s="62">
        <f>Y21+Y22</f>
        <v/>
      </c>
      <c r="K53" s="62">
        <f>Y23+Y24</f>
        <v/>
      </c>
      <c r="L53" s="62">
        <f>Y25+Y26</f>
        <v/>
      </c>
      <c r="M53" s="62">
        <f>Y27+Y28</f>
        <v/>
      </c>
      <c r="N53" s="62">
        <f>Y29+Y30</f>
        <v/>
      </c>
      <c r="O53" s="62">
        <f>Y31+Y32</f>
        <v/>
      </c>
      <c r="P53" s="62">
        <f>Y33+Y34</f>
        <v/>
      </c>
      <c r="Q53" s="62">
        <f>Y35+Y36</f>
        <v/>
      </c>
      <c r="R53" s="62">
        <f>Y37+Y38</f>
        <v/>
      </c>
      <c r="S53" s="62">
        <f>Y39+Y40</f>
        <v/>
      </c>
      <c r="T53" s="62">
        <f>Y41+Y42</f>
        <v/>
      </c>
      <c r="U53" s="62">
        <f>Y43+Y44</f>
        <v/>
      </c>
      <c r="V53" s="72">
        <f>Y45+Y46</f>
        <v/>
      </c>
      <c r="W53" s="62">
        <f>SUM(E53:V53)</f>
        <v/>
      </c>
      <c r="X53" s="75" t="inlineStr">
        <is>
          <t>PCS</t>
        </is>
      </c>
    </row>
    <row r="54" ht="21.75" customHeight="1">
      <c r="C54" s="74" t="inlineStr">
        <is>
          <t>EXS/SHT QTY</t>
        </is>
      </c>
      <c r="D54" s="60" t="n"/>
      <c r="E54" s="62">
        <f>E53-E52</f>
        <v/>
      </c>
      <c r="F54" s="62">
        <f>F53-F52</f>
        <v/>
      </c>
      <c r="G54" s="62">
        <f>G53-G52</f>
        <v/>
      </c>
      <c r="H54" s="62">
        <f>H53-H52</f>
        <v/>
      </c>
      <c r="I54" s="62">
        <f>I53-I52</f>
        <v/>
      </c>
      <c r="J54" s="62">
        <f>J53-J52</f>
        <v/>
      </c>
      <c r="K54" s="62">
        <f>K53-K52</f>
        <v/>
      </c>
      <c r="L54" s="62">
        <f>L53-L52</f>
        <v/>
      </c>
      <c r="M54" s="62">
        <f>M53-M52</f>
        <v/>
      </c>
      <c r="N54" s="62">
        <f>N53-N52</f>
        <v/>
      </c>
      <c r="O54" s="62">
        <f>O53-O52</f>
        <v/>
      </c>
      <c r="P54" s="62">
        <f>P53-P52</f>
        <v/>
      </c>
      <c r="Q54" s="62">
        <f>Q53-Q52</f>
        <v/>
      </c>
      <c r="R54" s="62">
        <f>R53-R52</f>
        <v/>
      </c>
      <c r="S54" s="62">
        <f>S53-S52</f>
        <v/>
      </c>
      <c r="T54" s="62">
        <f>T53-T52</f>
        <v/>
      </c>
      <c r="U54" s="62">
        <f>U53-U52</f>
        <v/>
      </c>
      <c r="V54" s="62">
        <f>V53-V52</f>
        <v/>
      </c>
      <c r="W54" s="62">
        <f>SUM(E54:V54)</f>
        <v/>
      </c>
      <c r="X54" s="75" t="inlineStr">
        <is>
          <t>PCS</t>
        </is>
      </c>
    </row>
    <row r="55" ht="21.75" customHeight="1">
      <c r="C55" s="76" t="inlineStr">
        <is>
          <t>PERCENTAGE</t>
        </is>
      </c>
      <c r="D55" s="77" t="n"/>
      <c r="E55" s="78">
        <f>E54/E52*100</f>
        <v/>
      </c>
      <c r="F55" s="78">
        <f>F54/F52*100</f>
        <v/>
      </c>
      <c r="G55" s="78">
        <f>G54/G52*100</f>
        <v/>
      </c>
      <c r="H55" s="78">
        <f>H54/H52*100</f>
        <v/>
      </c>
      <c r="I55" s="78">
        <f>I54/I52*100</f>
        <v/>
      </c>
      <c r="J55" s="78">
        <f>J54/J52*100</f>
        <v/>
      </c>
      <c r="K55" s="78">
        <f>K54/K52*100</f>
        <v/>
      </c>
      <c r="L55" s="78">
        <f>L54/L52*100</f>
        <v/>
      </c>
      <c r="M55" s="78">
        <f>M54/M52*100</f>
        <v/>
      </c>
      <c r="N55" s="78">
        <f>N54/N52*100</f>
        <v/>
      </c>
      <c r="O55" s="78">
        <f>O54/O52*100</f>
        <v/>
      </c>
      <c r="P55" s="78">
        <f>P54/P52*100</f>
        <v/>
      </c>
      <c r="Q55" s="78">
        <f>Q54/Q52*100</f>
        <v/>
      </c>
      <c r="R55" s="78">
        <f>R54/R52*100</f>
        <v/>
      </c>
      <c r="S55" s="78">
        <f>S54/S52*100</f>
        <v/>
      </c>
      <c r="T55" s="78">
        <f>T54/T52*100</f>
        <v/>
      </c>
      <c r="U55" s="78">
        <f>U54/U52*100</f>
        <v/>
      </c>
      <c r="V55" s="78">
        <f>V54/V52*100</f>
        <v/>
      </c>
      <c r="W55" s="78">
        <f>W54/W52*100</f>
        <v/>
      </c>
      <c r="X55" s="79" t="inlineStr">
        <is>
          <t>%</t>
        </is>
      </c>
    </row>
    <row r="56"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>
      <c r="A57" s="4" t="inlineStr">
        <is>
          <t>CARTON MEASUREMENT : L 64 X W 39 X H 24 CM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80">
        <f>(64*39*24*W58+64*39*13*W59)/1000000</f>
        <v/>
      </c>
      <c r="P57" s="4" t="n"/>
      <c r="Q57" s="4" t="n"/>
      <c r="R57" s="4" t="n"/>
      <c r="S57" s="4" t="n"/>
      <c r="T57" s="4" t="n"/>
      <c r="U57" s="4" t="n"/>
      <c r="V57" s="81" t="n"/>
    </row>
    <row r="58">
      <c r="A58" s="4" t="inlineStr">
        <is>
          <t>CARTON MEASUREMENT : L 64 X W 39 X H 13 CM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82" t="inlineStr">
        <is>
          <t xml:space="preserve">Total  Carton BIG= </t>
        </is>
      </c>
      <c r="T58" s="4" t="n"/>
      <c r="U58" s="4" t="n"/>
      <c r="V58" s="82" t="n"/>
      <c r="W58" s="82">
        <f>X47-W59</f>
        <v/>
      </c>
      <c r="X58" s="82" t="n"/>
      <c r="Y58" s="82" t="n"/>
    </row>
    <row r="59">
      <c r="A59" s="4" t="n"/>
      <c r="B59" s="4" t="n"/>
      <c r="C59" s="83" t="n"/>
      <c r="E59" s="21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82" t="inlineStr">
        <is>
          <t>Total  Carton Small=</t>
        </is>
      </c>
      <c r="T59" s="19" t="n"/>
      <c r="U59" s="19" t="n"/>
      <c r="V59" s="82" t="n"/>
      <c r="W59" s="82" t="n">
        <v>18</v>
      </c>
      <c r="X59" s="82" t="n"/>
      <c r="Y59" s="84" t="n"/>
    </row>
    <row r="60">
      <c r="A60" s="4" t="n"/>
      <c r="B60" s="4" t="n"/>
      <c r="C60" s="85" t="n"/>
      <c r="E60" s="21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3" t="n"/>
      <c r="W60" s="3" t="n"/>
      <c r="X60" s="3" t="n"/>
    </row>
    <row r="61">
      <c r="A61" s="4" t="inlineStr">
        <is>
          <t>T. GROSS WEIGHT :</t>
        </is>
      </c>
      <c r="B61" s="4" t="n"/>
      <c r="C61" s="83" t="n"/>
      <c r="D61" s="86">
        <f>AC49</f>
        <v/>
      </c>
      <c r="E61" s="21" t="inlineStr">
        <is>
          <t>KGS</t>
        </is>
      </c>
    </row>
    <row r="62">
      <c r="A62" s="4" t="inlineStr">
        <is>
          <t>T. NET      WEIGHT :</t>
        </is>
      </c>
      <c r="B62" s="4" t="n"/>
      <c r="C62" s="85" t="n"/>
      <c r="D62" s="86">
        <f>AD49</f>
        <v/>
      </c>
      <c r="E62" s="21" t="inlineStr">
        <is>
          <t>KGS</t>
        </is>
      </c>
    </row>
  </sheetData>
  <mergeCells count="28">
    <mergeCell ref="A2:Y2"/>
    <mergeCell ref="C6:D6"/>
    <mergeCell ref="Y9:Y10"/>
    <mergeCell ref="AA9:AA10"/>
    <mergeCell ref="C5:D5"/>
    <mergeCell ref="AB9:AB10"/>
    <mergeCell ref="A9:C10"/>
    <mergeCell ref="E9:V9"/>
    <mergeCell ref="V57:Y57"/>
    <mergeCell ref="C4:D4"/>
    <mergeCell ref="C54:D54"/>
    <mergeCell ref="AF9:AF10"/>
    <mergeCell ref="W51:X51"/>
    <mergeCell ref="C55:D55"/>
    <mergeCell ref="M57:O57"/>
    <mergeCell ref="X3:Y3"/>
    <mergeCell ref="D9:D10"/>
    <mergeCell ref="A49:Y49"/>
    <mergeCell ref="W9:W10"/>
    <mergeCell ref="AC9:AC10"/>
    <mergeCell ref="C51:D51"/>
    <mergeCell ref="AE9:AE10"/>
    <mergeCell ref="A1:Y1"/>
    <mergeCell ref="X9:X10"/>
    <mergeCell ref="C52:D52"/>
    <mergeCell ref="AD9:AD10"/>
    <mergeCell ref="C53:D53"/>
    <mergeCell ref="A47:D4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2026-10-12T05:20:38Z</dcterms:created>
  <dcterms:modified xmlns:dcterms="http://purl.org/dc/terms/" xmlns:xsi="http://www.w3.org/2001/XMLSchema-instance" xsi:type="dcterms:W3CDTF">2026-10-12T05:20:39Z</dcterms:modified>
</cp:coreProperties>
</file>