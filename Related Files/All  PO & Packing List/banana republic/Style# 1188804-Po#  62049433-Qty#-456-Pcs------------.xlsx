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GAP PACKING LIST\BANANA\2026\Holl-26\804\"/>
    </mc:Choice>
  </mc:AlternateContent>
  <xr:revisionPtr revIDLastSave="0" documentId="13_ncr:1_{78FF79DE-C482-4969-9CAA-37948E22ED2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PKL" sheetId="3" r:id="rId1"/>
    <sheet name="sum" sheetId="2" r:id="rId2"/>
  </sheets>
  <definedNames>
    <definedName name="_xlnm.Print_Area" localSheetId="0">PKL!$A$1:$S$94</definedName>
    <definedName name="_xlnm.Print_Area" localSheetId="1">sum!$A$1:$J$58</definedName>
  </definedNames>
  <calcPr calcId="191029"/>
</workbook>
</file>

<file path=xl/calcChain.xml><?xml version="1.0" encoding="utf-8"?>
<calcChain xmlns="http://schemas.openxmlformats.org/spreadsheetml/2006/main">
  <c r="F17" i="2" l="1"/>
  <c r="G17" i="2"/>
  <c r="H17" i="2"/>
  <c r="I17" i="2"/>
  <c r="J17" i="2"/>
  <c r="E17" i="2"/>
  <c r="F15" i="2"/>
  <c r="G15" i="2"/>
  <c r="H15" i="2"/>
  <c r="I15" i="2"/>
  <c r="J15" i="2"/>
  <c r="E15" i="2"/>
  <c r="F12" i="2"/>
  <c r="G12" i="2"/>
  <c r="H12" i="2"/>
  <c r="I12" i="2"/>
  <c r="J12" i="2"/>
  <c r="E12" i="2"/>
  <c r="A72" i="3"/>
  <c r="B72" i="3" s="1"/>
  <c r="A73" i="3" s="1"/>
  <c r="B73" i="3" s="1"/>
  <c r="A74" i="3" s="1"/>
  <c r="B74" i="3" s="1"/>
  <c r="A75" i="3" s="1"/>
  <c r="B75" i="3" s="1"/>
  <c r="A60" i="3"/>
  <c r="J77" i="3"/>
  <c r="M77" i="3"/>
  <c r="P68" i="3" l="1"/>
  <c r="Q68" i="3" s="1"/>
  <c r="P75" i="3"/>
  <c r="Q75" i="3" s="1"/>
  <c r="P36" i="3"/>
  <c r="Q36" i="3" s="1"/>
  <c r="P32" i="3" l="1"/>
  <c r="P27" i="3"/>
  <c r="Q27" i="3" s="1"/>
  <c r="P28" i="3"/>
  <c r="P29" i="3"/>
  <c r="Q29" i="3" s="1"/>
  <c r="P30" i="3"/>
  <c r="Q30" i="3" s="1"/>
  <c r="P65" i="3"/>
  <c r="Q65" i="3" s="1"/>
  <c r="P66" i="3"/>
  <c r="P67" i="3"/>
  <c r="Q67" i="3" s="1"/>
  <c r="P69" i="3"/>
  <c r="P70" i="3"/>
  <c r="P71" i="3"/>
  <c r="Q71" i="3" s="1"/>
  <c r="H91" i="3"/>
  <c r="I91" i="3"/>
  <c r="J91" i="3"/>
  <c r="K91" i="3"/>
  <c r="L91" i="3"/>
  <c r="M91" i="3"/>
  <c r="N91" i="3"/>
  <c r="G91" i="3"/>
  <c r="Q69" i="3" l="1"/>
  <c r="K77" i="3" s="1"/>
  <c r="S69" i="3"/>
  <c r="R69" i="3" s="1"/>
  <c r="Q66" i="3"/>
  <c r="S66" i="3"/>
  <c r="Q70" i="3"/>
  <c r="S70" i="3"/>
  <c r="Q32" i="3"/>
  <c r="Q28" i="3"/>
  <c r="J38" i="3" s="1"/>
  <c r="L77" i="3"/>
  <c r="R66" i="3" l="1"/>
  <c r="S67" i="3"/>
  <c r="S71" i="3"/>
  <c r="R71" i="3" s="1"/>
  <c r="R70" i="3"/>
  <c r="P24" i="3"/>
  <c r="Q24" i="3" s="1"/>
  <c r="S68" i="3" l="1"/>
  <c r="R68" i="3" s="1"/>
  <c r="T68" i="3" s="1"/>
  <c r="R67" i="3"/>
  <c r="D11" i="2" l="1"/>
  <c r="D10" i="2" l="1"/>
  <c r="B10" i="2"/>
  <c r="B6" i="2"/>
  <c r="N90" i="3" l="1"/>
  <c r="L90" i="3"/>
  <c r="K90" i="3"/>
  <c r="J90" i="3"/>
  <c r="H90" i="3"/>
  <c r="M90" i="3"/>
  <c r="I90" i="3"/>
  <c r="G90" i="3"/>
  <c r="Q82" i="3"/>
  <c r="N81" i="3"/>
  <c r="M81" i="3"/>
  <c r="L81" i="3"/>
  <c r="K81" i="3"/>
  <c r="J81" i="3"/>
  <c r="I81" i="3"/>
  <c r="H81" i="3"/>
  <c r="G81" i="3"/>
  <c r="D77" i="3"/>
  <c r="P74" i="3"/>
  <c r="S74" i="3" s="1"/>
  <c r="P73" i="3"/>
  <c r="Q73" i="3" s="1"/>
  <c r="P72" i="3"/>
  <c r="S72" i="3" s="1"/>
  <c r="P64" i="3"/>
  <c r="S64" i="3" s="1"/>
  <c r="P63" i="3"/>
  <c r="Q63" i="3" s="1"/>
  <c r="P62" i="3"/>
  <c r="S62" i="3" s="1"/>
  <c r="P61" i="3"/>
  <c r="P60" i="3"/>
  <c r="S60" i="3" s="1"/>
  <c r="R60" i="3" s="1"/>
  <c r="F60" i="3"/>
  <c r="Q54" i="3" s="1"/>
  <c r="N59" i="3"/>
  <c r="N80" i="3" s="1"/>
  <c r="N89" i="3" s="1"/>
  <c r="M59" i="3"/>
  <c r="L59" i="3"/>
  <c r="K59" i="3"/>
  <c r="K80" i="3" s="1"/>
  <c r="K89" i="3" s="1"/>
  <c r="J59" i="3"/>
  <c r="J80" i="3" s="1"/>
  <c r="J89" i="3" s="1"/>
  <c r="I59" i="3"/>
  <c r="H59" i="3"/>
  <c r="G59" i="3"/>
  <c r="G80" i="3" s="1"/>
  <c r="G89" i="3" s="1"/>
  <c r="D52" i="3"/>
  <c r="Q53" i="3" s="1"/>
  <c r="Q43" i="3"/>
  <c r="N42" i="3"/>
  <c r="M42" i="3"/>
  <c r="L42" i="3"/>
  <c r="K42" i="3"/>
  <c r="J42" i="3"/>
  <c r="I42" i="3"/>
  <c r="H42" i="3"/>
  <c r="G42" i="3"/>
  <c r="N41" i="3"/>
  <c r="M41" i="3"/>
  <c r="L41" i="3"/>
  <c r="K41" i="3"/>
  <c r="J41" i="3"/>
  <c r="I41" i="3"/>
  <c r="H41" i="3"/>
  <c r="G41" i="3"/>
  <c r="D38" i="3"/>
  <c r="D14" i="3" s="1"/>
  <c r="P35" i="3"/>
  <c r="P34" i="3"/>
  <c r="Q34" i="3" s="1"/>
  <c r="P33" i="3"/>
  <c r="P31" i="3"/>
  <c r="P26" i="3"/>
  <c r="Q26" i="3" s="1"/>
  <c r="P25" i="3"/>
  <c r="P23" i="3"/>
  <c r="S23" i="3" s="1"/>
  <c r="P22" i="3"/>
  <c r="P21" i="3"/>
  <c r="S21" i="3" s="1"/>
  <c r="F21" i="3"/>
  <c r="Q12" i="3" s="1"/>
  <c r="B21" i="3"/>
  <c r="Q14" i="3"/>
  <c r="Q11" i="3"/>
  <c r="N7" i="3"/>
  <c r="M7" i="3"/>
  <c r="L7" i="3"/>
  <c r="K7" i="3"/>
  <c r="J7" i="3"/>
  <c r="I7" i="3"/>
  <c r="H7" i="3"/>
  <c r="G7" i="3"/>
  <c r="N5" i="3"/>
  <c r="M5" i="3"/>
  <c r="L5" i="3"/>
  <c r="K5" i="3"/>
  <c r="J5" i="3"/>
  <c r="I5" i="3"/>
  <c r="H5" i="3"/>
  <c r="G5" i="3"/>
  <c r="S22" i="3" l="1"/>
  <c r="R22" i="3" s="1"/>
  <c r="S75" i="3"/>
  <c r="R74" i="3"/>
  <c r="S24" i="3"/>
  <c r="R24" i="3" s="1"/>
  <c r="R23" i="3"/>
  <c r="S65" i="3"/>
  <c r="R65" i="3" s="1"/>
  <c r="R64" i="3"/>
  <c r="R62" i="3"/>
  <c r="S63" i="3"/>
  <c r="R63" i="3" s="1"/>
  <c r="S73" i="3"/>
  <c r="R72" i="3"/>
  <c r="Q61" i="3"/>
  <c r="S61" i="3"/>
  <c r="Q23" i="3"/>
  <c r="H38" i="3" s="1"/>
  <c r="D79" i="3"/>
  <c r="J11" i="2" s="1"/>
  <c r="D89" i="3"/>
  <c r="K38" i="3"/>
  <c r="K44" i="3" s="1"/>
  <c r="S29" i="3"/>
  <c r="Q31" i="3"/>
  <c r="S31" i="3"/>
  <c r="Q22" i="3"/>
  <c r="Q25" i="3"/>
  <c r="I38" i="3" s="1"/>
  <c r="I44" i="3" s="1"/>
  <c r="S25" i="3"/>
  <c r="J44" i="3"/>
  <c r="S27" i="3"/>
  <c r="Q33" i="3"/>
  <c r="M38" i="3" s="1"/>
  <c r="S33" i="3"/>
  <c r="Q35" i="3"/>
  <c r="N38" i="3" s="1"/>
  <c r="S35" i="3"/>
  <c r="Q60" i="3"/>
  <c r="Q62" i="3"/>
  <c r="H77" i="3" s="1"/>
  <c r="H83" i="3" s="1"/>
  <c r="Q64" i="3"/>
  <c r="K83" i="3"/>
  <c r="Q72" i="3"/>
  <c r="Q74" i="3"/>
  <c r="N77" i="3" s="1"/>
  <c r="J83" i="3"/>
  <c r="L83" i="3"/>
  <c r="Q21" i="3"/>
  <c r="R21" i="3"/>
  <c r="T21" i="3" s="1"/>
  <c r="A22" i="3"/>
  <c r="B22" i="3" s="1"/>
  <c r="A23" i="3" s="1"/>
  <c r="B23" i="3" s="1"/>
  <c r="D11" i="3"/>
  <c r="E10" i="2"/>
  <c r="D53" i="3"/>
  <c r="E11" i="2"/>
  <c r="D40" i="3"/>
  <c r="Q42" i="3"/>
  <c r="Q91" i="3"/>
  <c r="H80" i="3"/>
  <c r="H89" i="3" s="1"/>
  <c r="L80" i="3"/>
  <c r="L89" i="3" s="1"/>
  <c r="Q90" i="3"/>
  <c r="D56" i="3"/>
  <c r="Q81" i="3"/>
  <c r="I80" i="3"/>
  <c r="I89" i="3" s="1"/>
  <c r="M80" i="3"/>
  <c r="M89" i="3" s="1"/>
  <c r="G77" i="3" l="1"/>
  <c r="G83" i="3" s="1"/>
  <c r="S30" i="3"/>
  <c r="R30" i="3" s="1"/>
  <c r="T30" i="3" s="1"/>
  <c r="R29" i="3"/>
  <c r="R73" i="3"/>
  <c r="R35" i="3"/>
  <c r="T35" i="3" s="1"/>
  <c r="S36" i="3"/>
  <c r="S28" i="3"/>
  <c r="R28" i="3" s="1"/>
  <c r="T28" i="3" s="1"/>
  <c r="R27" i="3"/>
  <c r="T27" i="3" s="1"/>
  <c r="S32" i="3"/>
  <c r="R32" i="3" s="1"/>
  <c r="T32" i="3" s="1"/>
  <c r="R31" i="3"/>
  <c r="T31" i="3" s="1"/>
  <c r="R33" i="3"/>
  <c r="T33" i="3" s="1"/>
  <c r="S34" i="3"/>
  <c r="S26" i="3"/>
  <c r="R26" i="3" s="1"/>
  <c r="T26" i="3" s="1"/>
  <c r="R25" i="3"/>
  <c r="T25" i="3" s="1"/>
  <c r="R75" i="3"/>
  <c r="T75" i="3" s="1"/>
  <c r="R61" i="3"/>
  <c r="M44" i="3"/>
  <c r="M45" i="3" s="1"/>
  <c r="N44" i="3"/>
  <c r="N45" i="3" s="1"/>
  <c r="N46" i="3" s="1"/>
  <c r="L38" i="3"/>
  <c r="L44" i="3" s="1"/>
  <c r="M83" i="3"/>
  <c r="H44" i="3"/>
  <c r="H45" i="3" s="1"/>
  <c r="G38" i="3"/>
  <c r="G44" i="3" s="1"/>
  <c r="N83" i="3"/>
  <c r="N84" i="3" s="1"/>
  <c r="N57" i="3" s="1"/>
  <c r="T64" i="3"/>
  <c r="T65" i="3"/>
  <c r="T69" i="3"/>
  <c r="I77" i="3"/>
  <c r="I83" i="3" s="1"/>
  <c r="T71" i="3"/>
  <c r="T70" i="3"/>
  <c r="T67" i="3"/>
  <c r="T66" i="3"/>
  <c r="K84" i="3"/>
  <c r="K85" i="3" s="1"/>
  <c r="K92" i="3"/>
  <c r="K93" i="3" s="1"/>
  <c r="K94" i="3" s="1"/>
  <c r="J84" i="3"/>
  <c r="J57" i="3" s="1"/>
  <c r="J92" i="3"/>
  <c r="J93" i="3" s="1"/>
  <c r="J94" i="3" s="1"/>
  <c r="H84" i="3"/>
  <c r="H85" i="3" s="1"/>
  <c r="Q38" i="3"/>
  <c r="D12" i="3" s="1"/>
  <c r="D13" i="3" s="1"/>
  <c r="T72" i="3"/>
  <c r="Q77" i="3"/>
  <c r="D54" i="3" s="1"/>
  <c r="D55" i="3" s="1"/>
  <c r="T74" i="3"/>
  <c r="T63" i="3"/>
  <c r="T62" i="3"/>
  <c r="T29" i="3"/>
  <c r="A24" i="3"/>
  <c r="B24" i="3" s="1"/>
  <c r="A25" i="3" s="1"/>
  <c r="B25" i="3" s="1"/>
  <c r="I45" i="3"/>
  <c r="J45" i="3"/>
  <c r="J18" i="3" s="1"/>
  <c r="K45" i="3"/>
  <c r="K18" i="3" s="1"/>
  <c r="O15" i="3"/>
  <c r="J10" i="2"/>
  <c r="L84" i="3"/>
  <c r="S56" i="3"/>
  <c r="S14" i="3"/>
  <c r="R34" i="3" l="1"/>
  <c r="T34" i="3" s="1"/>
  <c r="R36" i="3"/>
  <c r="T36" i="3" s="1"/>
  <c r="M84" i="3"/>
  <c r="M85" i="3" s="1"/>
  <c r="M92" i="3"/>
  <c r="M93" i="3" s="1"/>
  <c r="M94" i="3" s="1"/>
  <c r="L92" i="3"/>
  <c r="L93" i="3" s="1"/>
  <c r="L94" i="3" s="1"/>
  <c r="L45" i="3"/>
  <c r="L46" i="3" s="1"/>
  <c r="A26" i="3"/>
  <c r="B26" i="3" s="1"/>
  <c r="A27" i="3" s="1"/>
  <c r="B27" i="3" s="1"/>
  <c r="A28" i="3" s="1"/>
  <c r="B28" i="3" s="1"/>
  <c r="A29" i="3" s="1"/>
  <c r="B29" i="3" s="1"/>
  <c r="A30" i="3" s="1"/>
  <c r="B30" i="3" s="1"/>
  <c r="A31" i="3" s="1"/>
  <c r="B31" i="3" s="1"/>
  <c r="A32" i="3" s="1"/>
  <c r="B32" i="3" s="1"/>
  <c r="A33" i="3" s="1"/>
  <c r="B33" i="3" s="1"/>
  <c r="A34" i="3" s="1"/>
  <c r="B34" i="3" s="1"/>
  <c r="A35" i="3" s="1"/>
  <c r="B35" i="3" s="1"/>
  <c r="A36" i="3" s="1"/>
  <c r="B36" i="3" s="1"/>
  <c r="H92" i="3"/>
  <c r="H93" i="3" s="1"/>
  <c r="H94" i="3" s="1"/>
  <c r="G45" i="3"/>
  <c r="Q44" i="3"/>
  <c r="F10" i="2" s="1"/>
  <c r="N92" i="3"/>
  <c r="N93" i="3" s="1"/>
  <c r="N94" i="3" s="1"/>
  <c r="G84" i="3"/>
  <c r="G57" i="3" s="1"/>
  <c r="G92" i="3"/>
  <c r="G93" i="3" s="1"/>
  <c r="Q83" i="3"/>
  <c r="F11" i="2" s="1"/>
  <c r="G11" i="2" s="1"/>
  <c r="I11" i="2" s="1"/>
  <c r="I84" i="3"/>
  <c r="I85" i="3" s="1"/>
  <c r="I92" i="3"/>
  <c r="I93" i="3" s="1"/>
  <c r="I94" i="3" s="1"/>
  <c r="K57" i="3"/>
  <c r="H57" i="3"/>
  <c r="J85" i="3"/>
  <c r="N85" i="3"/>
  <c r="T22" i="3"/>
  <c r="T73" i="3"/>
  <c r="T61" i="3"/>
  <c r="T23" i="3"/>
  <c r="T24" i="3"/>
  <c r="T60" i="3"/>
  <c r="K46" i="3"/>
  <c r="N18" i="3"/>
  <c r="J46" i="3"/>
  <c r="M18" i="3"/>
  <c r="M46" i="3"/>
  <c r="I18" i="3"/>
  <c r="I46" i="3"/>
  <c r="H46" i="3"/>
  <c r="H18" i="3"/>
  <c r="L57" i="3"/>
  <c r="L85" i="3"/>
  <c r="I57" i="3" l="1"/>
  <c r="M57" i="3"/>
  <c r="L18" i="3"/>
  <c r="Q45" i="3"/>
  <c r="Q46" i="3" s="1"/>
  <c r="G46" i="3"/>
  <c r="G18" i="3"/>
  <c r="Q92" i="3"/>
  <c r="G85" i="3"/>
  <c r="Q84" i="3"/>
  <c r="Q85" i="3" s="1"/>
  <c r="R38" i="3"/>
  <c r="T38" i="3"/>
  <c r="R77" i="3"/>
  <c r="T77" i="3"/>
  <c r="G94" i="3"/>
  <c r="Q93" i="3"/>
  <c r="Q94" i="3" s="1"/>
  <c r="Q56" i="3" l="1"/>
  <c r="B60" i="3"/>
  <c r="A61" i="3" s="1"/>
  <c r="B61" i="3" s="1"/>
  <c r="A62" i="3" s="1"/>
  <c r="B62" i="3" s="1"/>
  <c r="G10" i="2"/>
  <c r="A63" i="3" l="1"/>
  <c r="B63" i="3" s="1"/>
  <c r="A64" i="3" s="1"/>
  <c r="B64" i="3" s="1"/>
  <c r="A65" i="3" s="1"/>
  <c r="B65" i="3" s="1"/>
  <c r="A66" i="3" s="1"/>
  <c r="B66" i="3" s="1"/>
  <c r="A67" i="3" s="1"/>
  <c r="B67" i="3" s="1"/>
  <c r="A68" i="3" s="1"/>
  <c r="B68" i="3" s="1"/>
  <c r="A69" i="3" s="1"/>
  <c r="B69" i="3" s="1"/>
  <c r="A70" i="3" s="1"/>
  <c r="B70" i="3" s="1"/>
  <c r="A71" i="3" s="1"/>
  <c r="B71" i="3" s="1"/>
  <c r="I10" i="2"/>
</calcChain>
</file>

<file path=xl/sharedStrings.xml><?xml version="1.0" encoding="utf-8"?>
<sst xmlns="http://schemas.openxmlformats.org/spreadsheetml/2006/main" count="202" uniqueCount="106">
  <si>
    <t xml:space="preserve">PACKING LIST </t>
  </si>
  <si>
    <t xml:space="preserve">BUYER             : </t>
  </si>
  <si>
    <t>STYLE             :</t>
  </si>
  <si>
    <t>P. O. #             :</t>
  </si>
  <si>
    <t>O/QTY              :</t>
  </si>
  <si>
    <t>PCS</t>
  </si>
  <si>
    <t>SHIP QTY         :</t>
  </si>
  <si>
    <t>SKU / Item</t>
  </si>
  <si>
    <t>EX/SHORT        :</t>
  </si>
  <si>
    <t>CTN QTY          :</t>
  </si>
  <si>
    <t>CTNS</t>
  </si>
  <si>
    <t xml:space="preserve">CARTON </t>
  </si>
  <si>
    <t>CTN MEAS.      :</t>
  </si>
  <si>
    <t>CTN</t>
  </si>
  <si>
    <t>CTN QTY</t>
  </si>
  <si>
    <t>COLOR</t>
  </si>
  <si>
    <t>PREPACK STECKER</t>
  </si>
  <si>
    <t>SIZE</t>
  </si>
  <si>
    <t>QTY PER CTN</t>
  </si>
  <si>
    <t>TOTAL QTY</t>
  </si>
  <si>
    <t xml:space="preserve">GROSS WEIGHT </t>
  </si>
  <si>
    <t>NET WEIGHT</t>
  </si>
  <si>
    <t>NO</t>
  </si>
  <si>
    <t>TOTAL</t>
  </si>
  <si>
    <t>SUMMARY</t>
  </si>
  <si>
    <t>CUT  QTY</t>
  </si>
  <si>
    <t>ORDER  QTY</t>
  </si>
  <si>
    <t>SHIP  QTY</t>
  </si>
  <si>
    <t>EX/SHORT</t>
  </si>
  <si>
    <t>%</t>
  </si>
  <si>
    <t>Nishatnagar,Tongi,Gazipur,Dhaka.</t>
  </si>
  <si>
    <t>Nishat Nagar , Tongi , Gazipur .</t>
  </si>
  <si>
    <t>PACKING LIST SUMMARY</t>
  </si>
  <si>
    <t>PO. NO</t>
  </si>
  <si>
    <t>ORDER
QTY</t>
  </si>
  <si>
    <t>SHIPT QTY</t>
  </si>
  <si>
    <t>SHORT</t>
  </si>
  <si>
    <t>TTL CTN 
QTY</t>
  </si>
  <si>
    <t>PENDING ISSUE</t>
  </si>
  <si>
    <t>YES</t>
  </si>
  <si>
    <t>REMARKS</t>
  </si>
  <si>
    <t>PACKING INCHARGE</t>
  </si>
  <si>
    <t>DC</t>
  </si>
  <si>
    <t>BUYER</t>
  </si>
  <si>
    <t>STYLE</t>
  </si>
  <si>
    <t>DATE</t>
  </si>
  <si>
    <t>PRE %</t>
  </si>
  <si>
    <t>SERIAL NO</t>
  </si>
  <si>
    <t>%ISSUE</t>
  </si>
  <si>
    <t>GPT</t>
  </si>
  <si>
    <t>TOP</t>
  </si>
  <si>
    <t>SHADE BAND</t>
  </si>
  <si>
    <t>GTS/YTS</t>
  </si>
  <si>
    <t>UP DATE DC PO</t>
  </si>
  <si>
    <t>TRIM CARD</t>
  </si>
  <si>
    <t>FA CTN QTY</t>
  </si>
  <si>
    <t>CHECK QTY</t>
  </si>
  <si>
    <t>VSL DATE</t>
  </si>
  <si>
    <t>ITEM</t>
  </si>
  <si>
    <t>F BLACK OPP JE</t>
  </si>
  <si>
    <t>FINISHING  MANAGER</t>
  </si>
  <si>
    <t>BULK PACK</t>
  </si>
  <si>
    <t>CREATIVE COLLECTIONS LTD.3</t>
  </si>
  <si>
    <t>90/45</t>
  </si>
  <si>
    <t>MEA</t>
  </si>
  <si>
    <t>OF</t>
  </si>
  <si>
    <t>CBM</t>
  </si>
  <si>
    <t>EXCESS</t>
  </si>
  <si>
    <r>
      <t xml:space="preserve">PO </t>
    </r>
    <r>
      <rPr>
        <b/>
        <i/>
        <sz val="12"/>
        <rFont val="Arial"/>
        <family val="2"/>
      </rPr>
      <t xml:space="preserve"># </t>
    </r>
  </si>
  <si>
    <t>SEASON</t>
  </si>
  <si>
    <t>FA</t>
  </si>
  <si>
    <t>N.WT</t>
  </si>
  <si>
    <t>N.N. WT</t>
  </si>
  <si>
    <t>G.TOTAL=</t>
  </si>
  <si>
    <t>BANANA REPUBLIC</t>
  </si>
  <si>
    <t>25 R</t>
  </si>
  <si>
    <t>26 R</t>
  </si>
  <si>
    <t>27 R</t>
  </si>
  <si>
    <t>28 R</t>
  </si>
  <si>
    <t>29 R</t>
  </si>
  <si>
    <t>30 R</t>
  </si>
  <si>
    <t>31 R</t>
  </si>
  <si>
    <t>32 R</t>
  </si>
  <si>
    <t>58.67 X 38.48 X 29.72 CM-G81</t>
  </si>
  <si>
    <t>58.67 X 38.48 X 14.86 CM-G82</t>
  </si>
  <si>
    <t>38.48 X 29.34 X 14.86 CM-G84</t>
  </si>
  <si>
    <t>29.34 X 19.25 X 14.86 CM-G85</t>
  </si>
  <si>
    <t>G82</t>
  </si>
  <si>
    <t>G81</t>
  </si>
  <si>
    <t xml:space="preserve">Unit / Prepack     </t>
  </si>
  <si>
    <t>"</t>
  </si>
  <si>
    <t>Total</t>
  </si>
  <si>
    <t>G84</t>
  </si>
  <si>
    <t>G85</t>
  </si>
  <si>
    <t>Holl-26</t>
  </si>
  <si>
    <t>TRUFFLE</t>
  </si>
  <si>
    <t>LIGHT WASH</t>
  </si>
  <si>
    <t>62049433</t>
  </si>
  <si>
    <t>1188804014</t>
  </si>
  <si>
    <t>1188804004</t>
  </si>
  <si>
    <t>DC :  BDC-0015</t>
  </si>
  <si>
    <t>BDC</t>
  </si>
  <si>
    <t>GTO</t>
  </si>
  <si>
    <t>62049311</t>
  </si>
  <si>
    <t>Spring-26</t>
  </si>
  <si>
    <t>""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</si>
</sst>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1"/>
      <name val="Arial"/>
      <family val="2"/>
    </font>
    <font>
      <b/>
      <u/>
      <sz val="12"/>
      <name val="Arial"/>
      <family val="2"/>
    </font>
    <font>
      <b/>
      <sz val="14"/>
      <name val="Cambria"/>
      <family val="1"/>
      <scheme val="major"/>
    </font>
    <font>
      <b/>
      <sz val="14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b/>
      <i/>
      <sz val="12"/>
      <name val="Arial"/>
      <family val="2"/>
    </font>
    <font>
      <b/>
      <sz val="12"/>
      <name val="Cambria"/>
      <family val="1"/>
      <scheme val="major"/>
    </font>
    <font>
      <b/>
      <u/>
      <sz val="14"/>
      <name val="Arial"/>
      <family val="2"/>
    </font>
    <font>
      <u/>
      <sz val="10"/>
      <name val="Arial"/>
      <family val="2"/>
    </font>
    <font>
      <sz val="14"/>
      <name val="Arial"/>
      <family val="2"/>
    </font>
    <font>
      <b/>
      <sz val="14"/>
      <color theme="1"/>
      <name val="Arial"/>
      <family val="2"/>
    </font>
    <font>
      <b/>
      <sz val="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2">
    <xf numFmtId="0" fontId="0" fillId="0" borderId="0" xfId="0"/>
    <xf numFmtId="0" fontId="4" fillId="0" borderId="0" xfId="0" applyFont="1"/>
    <xf numFmtId="0" fontId="0" fillId="0" borderId="0" xfId="0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/>
    <xf numFmtId="0" fontId="2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" fillId="0" borderId="38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58" xfId="0" applyFont="1" applyBorder="1" applyAlignment="1">
      <alignment vertical="center"/>
    </xf>
    <xf numFmtId="0" fontId="2" fillId="0" borderId="44" xfId="0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0" fontId="2" fillId="0" borderId="62" xfId="0" applyFont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7" fillId="0" borderId="19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2" fontId="7" fillId="0" borderId="19" xfId="0" applyNumberFormat="1" applyFont="1" applyBorder="1" applyAlignment="1">
      <alignment horizontal="center" vertical="center"/>
    </xf>
    <xf numFmtId="0" fontId="2" fillId="0" borderId="0" xfId="0" applyFont="1"/>
    <xf numFmtId="2" fontId="2" fillId="0" borderId="0" xfId="0" applyNumberFormat="1" applyFont="1"/>
    <xf numFmtId="0" fontId="11" fillId="0" borderId="0" xfId="0" applyFont="1"/>
    <xf numFmtId="0" fontId="5" fillId="0" borderId="4" xfId="0" applyFont="1" applyBorder="1" applyAlignment="1">
      <alignment horizontal="center" vertical="center"/>
    </xf>
    <xf numFmtId="0" fontId="5" fillId="0" borderId="6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vertical="center" wrapText="1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 wrapText="1"/>
    </xf>
    <xf numFmtId="0" fontId="11" fillId="0" borderId="10" xfId="0" applyFont="1" applyBorder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2" fontId="5" fillId="0" borderId="16" xfId="0" applyNumberFormat="1" applyFont="1" applyBorder="1" applyAlignment="1">
      <alignment horizontal="center" vertical="center" wrapText="1"/>
    </xf>
    <xf numFmtId="2" fontId="5" fillId="0" borderId="17" xfId="0" applyNumberFormat="1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0" fontId="11" fillId="0" borderId="24" xfId="0" applyFont="1" applyBorder="1" applyAlignment="1">
      <alignment vertical="center"/>
    </xf>
    <xf numFmtId="2" fontId="5" fillId="0" borderId="24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/>
    <xf numFmtId="0" fontId="11" fillId="0" borderId="0" xfId="0" applyFont="1" applyAlignment="1">
      <alignment horizontal="right"/>
    </xf>
    <xf numFmtId="0" fontId="5" fillId="0" borderId="2" xfId="0" applyFont="1" applyBorder="1"/>
    <xf numFmtId="0" fontId="5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49" fontId="11" fillId="0" borderId="14" xfId="0" applyNumberFormat="1" applyFont="1" applyBorder="1" applyAlignment="1">
      <alignment horizontal="center"/>
    </xf>
    <xf numFmtId="0" fontId="11" fillId="0" borderId="19" xfId="0" applyFont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49" fontId="11" fillId="0" borderId="15" xfId="0" applyNumberFormat="1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1" fontId="5" fillId="0" borderId="27" xfId="0" applyNumberFormat="1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1" fontId="5" fillId="0" borderId="28" xfId="0" applyNumberFormat="1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/>
    </xf>
    <xf numFmtId="2" fontId="11" fillId="0" borderId="11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2" fontId="5" fillId="0" borderId="33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1" fillId="0" borderId="45" xfId="0" applyFont="1" applyBorder="1" applyAlignment="1">
      <alignment horizontal="left" vertical="center"/>
    </xf>
    <xf numFmtId="49" fontId="5" fillId="0" borderId="14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" fillId="0" borderId="66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2" fontId="1" fillId="0" borderId="11" xfId="0" applyNumberFormat="1" applyFont="1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 vertical="center"/>
    </xf>
    <xf numFmtId="0" fontId="5" fillId="0" borderId="0" xfId="0" quotePrefix="1" applyFont="1" applyAlignment="1">
      <alignment horizontal="left"/>
    </xf>
    <xf numFmtId="0" fontId="5" fillId="3" borderId="19" xfId="0" applyFont="1" applyFill="1" applyBorder="1" applyAlignment="1">
      <alignment horizontal="center" vertical="center" wrapText="1"/>
    </xf>
    <xf numFmtId="0" fontId="2" fillId="4" borderId="50" xfId="0" applyFont="1" applyFill="1" applyBorder="1" applyAlignment="1">
      <alignment vertical="center"/>
    </xf>
    <xf numFmtId="0" fontId="2" fillId="4" borderId="46" xfId="0" applyFont="1" applyFill="1" applyBorder="1" applyAlignment="1">
      <alignment vertical="center"/>
    </xf>
    <xf numFmtId="0" fontId="7" fillId="4" borderId="46" xfId="0" applyFont="1" applyFill="1" applyBorder="1" applyAlignment="1">
      <alignment horizontal="right" vertical="center"/>
    </xf>
    <xf numFmtId="0" fontId="7" fillId="4" borderId="46" xfId="0" applyFont="1" applyFill="1" applyBorder="1" applyAlignment="1">
      <alignment horizontal="center" vertical="center"/>
    </xf>
    <xf numFmtId="2" fontId="7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2" fontId="17" fillId="0" borderId="0" xfId="0" applyNumberFormat="1" applyFont="1" applyAlignment="1">
      <alignment horizontal="center" vertical="center"/>
    </xf>
    <xf numFmtId="0" fontId="10" fillId="0" borderId="14" xfId="0" applyFont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0" borderId="16" xfId="0" applyFont="1" applyBorder="1" applyAlignment="1">
      <alignment vertical="center" wrapText="1"/>
    </xf>
    <xf numFmtId="0" fontId="5" fillId="0" borderId="19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1" fontId="18" fillId="0" borderId="16" xfId="0" applyNumberFormat="1" applyFont="1" applyBorder="1" applyAlignment="1">
      <alignment horizontal="center" vertical="center" wrapText="1"/>
    </xf>
    <xf numFmtId="2" fontId="17" fillId="0" borderId="19" xfId="0" applyNumberFormat="1" applyFont="1" applyBorder="1" applyAlignment="1">
      <alignment horizontal="center" vertical="center" wrapText="1"/>
    </xf>
    <xf numFmtId="2" fontId="17" fillId="2" borderId="19" xfId="0" applyNumberFormat="1" applyFont="1" applyFill="1" applyBorder="1" applyAlignment="1">
      <alignment horizontal="center" vertical="center" wrapText="1"/>
    </xf>
    <xf numFmtId="2" fontId="17" fillId="0" borderId="16" xfId="0" applyNumberFormat="1" applyFont="1" applyBorder="1" applyAlignment="1">
      <alignment horizontal="center" vertical="center" wrapText="1"/>
    </xf>
    <xf numFmtId="0" fontId="10" fillId="0" borderId="48" xfId="0" applyFont="1" applyBorder="1" applyAlignment="1">
      <alignment horizontal="center" vertical="center" wrapText="1"/>
    </xf>
    <xf numFmtId="0" fontId="10" fillId="0" borderId="19" xfId="0" quotePrefix="1" applyFont="1" applyBorder="1" applyAlignment="1">
      <alignment horizontal="center" vertical="center" wrapText="1"/>
    </xf>
    <xf numFmtId="2" fontId="1" fillId="0" borderId="10" xfId="0" applyNumberFormat="1" applyFont="1" applyBorder="1" applyAlignment="1">
      <alignment horizontal="center" vertical="center"/>
    </xf>
    <xf numFmtId="0" fontId="10" fillId="4" borderId="57" xfId="0" applyFont="1" applyFill="1" applyBorder="1" applyAlignment="1">
      <alignment horizontal="center" vertical="center" wrapText="1"/>
    </xf>
    <xf numFmtId="0" fontId="10" fillId="4" borderId="16" xfId="0" quotePrefix="1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1" fillId="0" borderId="3" xfId="0" applyFont="1" applyBorder="1" applyAlignment="1">
      <alignment horizontal="left"/>
    </xf>
    <xf numFmtId="0" fontId="5" fillId="0" borderId="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2" borderId="41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/>
    </xf>
    <xf numFmtId="0" fontId="2" fillId="2" borderId="46" xfId="0" applyFont="1" applyFill="1" applyBorder="1" applyAlignment="1">
      <alignment horizontal="center" vertical="center"/>
    </xf>
    <xf numFmtId="0" fontId="2" fillId="2" borderId="43" xfId="0" applyFont="1" applyFill="1" applyBorder="1" applyAlignment="1">
      <alignment horizontal="center" vertical="center" wrapText="1"/>
    </xf>
    <xf numFmtId="0" fontId="2" fillId="2" borderId="47" xfId="0" applyFont="1" applyFill="1" applyBorder="1" applyAlignment="1">
      <alignment horizontal="center" vertical="center"/>
    </xf>
    <xf numFmtId="164" fontId="7" fillId="0" borderId="20" xfId="0" applyNumberFormat="1" applyFont="1" applyBorder="1" applyAlignment="1">
      <alignment horizontal="center" vertical="center"/>
    </xf>
    <xf numFmtId="164" fontId="7" fillId="0" borderId="22" xfId="0" applyNumberFormat="1" applyFont="1" applyBorder="1" applyAlignment="1">
      <alignment horizontal="center" vertical="center"/>
    </xf>
    <xf numFmtId="164" fontId="7" fillId="0" borderId="25" xfId="0" applyNumberFormat="1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2" fillId="2" borderId="41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X159"/>
  <sheetViews>
    <sheetView view="pageBreakPreview" topLeftCell="A3" zoomScale="70" zoomScaleNormal="100" zoomScaleSheetLayoutView="70" workbookViewId="0">
      <pane ySplit="5" topLeftCell="A8" activePane="bottomLeft" state="frozen"/>
      <selection activeCell="A3" sqref="A3"/>
      <selection pane="bottomLeft" activeCell="I12" sqref="I12"/>
    </sheetView>
  </sheetViews>
  <sheetFormatPr defaultRowHeight="18" x14ac:dyDescent="0.2"/>
  <cols>
    <col min="1" max="2" width="7.5703125" customWidth="1"/>
    <col min="3" max="3" width="10.140625" customWidth="1"/>
    <col min="4" max="4" width="8.85546875" customWidth="1"/>
    <col min="5" max="5" width="16.7109375" customWidth="1"/>
    <col min="6" max="6" width="18.140625" customWidth="1"/>
    <col min="7" max="14" width="13.140625" customWidth="1"/>
    <col min="15" max="15" width="6.85546875" customWidth="1"/>
    <col min="16" max="16" width="6.42578125" customWidth="1"/>
    <col min="17" max="17" width="9.7109375" customWidth="1"/>
    <col min="18" max="18" width="13.5703125" customWidth="1"/>
    <col min="19" max="19" width="9.85546875" customWidth="1"/>
    <col min="20" max="20" width="11.7109375" style="112" customWidth="1"/>
  </cols>
  <sheetData>
    <row r="1" spans="1:19" ht="17.25" customHeight="1" x14ac:dyDescent="0.2">
      <c r="A1" s="153" t="s">
        <v>62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</row>
    <row r="2" spans="1:19" ht="15" customHeight="1" x14ac:dyDescent="0.25">
      <c r="A2" s="154" t="s">
        <v>30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</row>
    <row r="3" spans="1:19" ht="18.75" customHeight="1" x14ac:dyDescent="0.2">
      <c r="A3" s="152" t="s">
        <v>0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</row>
    <row r="4" spans="1:19" ht="16.5" customHeight="1" x14ac:dyDescent="0.2">
      <c r="A4" s="152" t="s">
        <v>61</v>
      </c>
      <c r="B4" s="152"/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</row>
    <row r="5" spans="1:19" ht="28.5" customHeight="1" x14ac:dyDescent="0.2">
      <c r="A5" s="118"/>
      <c r="B5" s="118"/>
      <c r="C5" s="118"/>
      <c r="D5" s="118"/>
      <c r="E5" s="118"/>
      <c r="F5" s="119" t="s">
        <v>17</v>
      </c>
      <c r="G5" s="120" t="str">
        <f t="shared" ref="G5:N5" si="0">G20</f>
        <v>25 R</v>
      </c>
      <c r="H5" s="120" t="str">
        <f t="shared" si="0"/>
        <v>26 R</v>
      </c>
      <c r="I5" s="120" t="str">
        <f t="shared" si="0"/>
        <v>27 R</v>
      </c>
      <c r="J5" s="120" t="str">
        <f t="shared" si="0"/>
        <v>28 R</v>
      </c>
      <c r="K5" s="120" t="str">
        <f t="shared" si="0"/>
        <v>29 R</v>
      </c>
      <c r="L5" s="120" t="str">
        <f t="shared" si="0"/>
        <v>30 R</v>
      </c>
      <c r="M5" s="120" t="str">
        <f t="shared" si="0"/>
        <v>31 R</v>
      </c>
      <c r="N5" s="120" t="str">
        <f t="shared" si="0"/>
        <v>32 R</v>
      </c>
      <c r="O5" s="118"/>
      <c r="P5" s="118"/>
      <c r="Q5" s="118"/>
      <c r="R5" s="118"/>
      <c r="S5" s="118"/>
    </row>
    <row r="6" spans="1:19" ht="28.5" customHeight="1" x14ac:dyDescent="0.2">
      <c r="A6" s="118"/>
      <c r="B6" s="118"/>
      <c r="C6" s="118"/>
      <c r="D6" s="118"/>
      <c r="E6" s="118"/>
      <c r="F6" s="119" t="s">
        <v>71</v>
      </c>
      <c r="G6" s="121">
        <v>0.75</v>
      </c>
      <c r="H6" s="122">
        <v>0.77</v>
      </c>
      <c r="I6" s="122">
        <v>0.79</v>
      </c>
      <c r="J6" s="122">
        <v>0.83</v>
      </c>
      <c r="K6" s="122">
        <v>0.86</v>
      </c>
      <c r="L6" s="121">
        <v>0.89</v>
      </c>
      <c r="M6" s="121">
        <v>0.92</v>
      </c>
      <c r="N6" s="121">
        <v>0.94</v>
      </c>
      <c r="O6" s="118"/>
      <c r="P6" s="118"/>
      <c r="Q6" s="118"/>
      <c r="R6" s="118"/>
      <c r="S6" s="118"/>
    </row>
    <row r="7" spans="1:19" ht="28.5" customHeight="1" x14ac:dyDescent="0.2">
      <c r="A7" s="118"/>
      <c r="B7" s="118"/>
      <c r="C7" s="118"/>
      <c r="D7" s="118"/>
      <c r="E7" s="118"/>
      <c r="F7" s="119" t="s">
        <v>72</v>
      </c>
      <c r="G7" s="123">
        <f>+G6-0.03</f>
        <v>0.72</v>
      </c>
      <c r="H7" s="123">
        <f t="shared" ref="H7:N7" si="1">+H6-0.03</f>
        <v>0.74</v>
      </c>
      <c r="I7" s="123">
        <f t="shared" si="1"/>
        <v>0.76</v>
      </c>
      <c r="J7" s="123">
        <f t="shared" si="1"/>
        <v>0.79999999999999993</v>
      </c>
      <c r="K7" s="123">
        <f t="shared" si="1"/>
        <v>0.83</v>
      </c>
      <c r="L7" s="123">
        <f t="shared" si="1"/>
        <v>0.86</v>
      </c>
      <c r="M7" s="123">
        <f t="shared" si="1"/>
        <v>0.89</v>
      </c>
      <c r="N7" s="123">
        <f t="shared" si="1"/>
        <v>0.90999999999999992</v>
      </c>
      <c r="O7" s="118"/>
      <c r="P7" s="118"/>
      <c r="Q7" s="118"/>
      <c r="R7" s="118"/>
      <c r="S7" s="118"/>
    </row>
    <row r="8" spans="1:19" x14ac:dyDescent="0.25">
      <c r="A8" s="58" t="s">
        <v>1</v>
      </c>
      <c r="B8" s="58"/>
      <c r="C8" s="58"/>
      <c r="D8" s="58" t="s">
        <v>74</v>
      </c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</row>
    <row r="9" spans="1:19" x14ac:dyDescent="0.25">
      <c r="A9" s="58" t="s">
        <v>2</v>
      </c>
      <c r="B9" s="58"/>
      <c r="C9" s="58"/>
      <c r="D9" s="104" t="s">
        <v>98</v>
      </c>
      <c r="E9" s="5"/>
      <c r="F9" s="5"/>
      <c r="G9" s="5"/>
      <c r="H9" s="5"/>
      <c r="I9" s="60"/>
      <c r="J9" s="5"/>
      <c r="K9" s="5"/>
      <c r="L9" s="5"/>
      <c r="M9" s="5"/>
      <c r="N9" s="55"/>
      <c r="O9" s="55"/>
      <c r="P9" s="55"/>
      <c r="Q9" s="55"/>
      <c r="R9" s="55"/>
      <c r="S9" s="5"/>
    </row>
    <row r="10" spans="1:19" x14ac:dyDescent="0.25">
      <c r="A10" s="58" t="s">
        <v>3</v>
      </c>
      <c r="B10" s="58"/>
      <c r="C10" s="58"/>
      <c r="D10" s="104" t="s">
        <v>97</v>
      </c>
      <c r="E10" s="5"/>
      <c r="F10" s="5"/>
      <c r="G10" s="5"/>
      <c r="H10" s="5"/>
      <c r="I10" s="33"/>
      <c r="J10" s="33"/>
      <c r="K10" s="5"/>
      <c r="L10" s="5"/>
      <c r="M10" s="5"/>
      <c r="N10" s="5"/>
      <c r="O10" s="5"/>
      <c r="P10" s="5"/>
      <c r="Q10" s="5"/>
      <c r="R10" s="5"/>
      <c r="S10" s="33"/>
    </row>
    <row r="11" spans="1:19" x14ac:dyDescent="0.25">
      <c r="A11" s="58" t="s">
        <v>4</v>
      </c>
      <c r="B11" s="58"/>
      <c r="C11" s="58"/>
      <c r="D11" s="55">
        <f>Q43</f>
        <v>228</v>
      </c>
      <c r="E11" s="5" t="s">
        <v>5</v>
      </c>
      <c r="F11" s="5"/>
      <c r="G11" s="5"/>
      <c r="H11" s="5"/>
      <c r="I11" s="33"/>
      <c r="J11" s="33"/>
      <c r="K11" s="33"/>
      <c r="L11" s="33"/>
      <c r="M11" s="33"/>
      <c r="N11" s="5" t="s">
        <v>68</v>
      </c>
      <c r="O11" s="5"/>
      <c r="P11" s="5"/>
      <c r="Q11" s="144" t="str">
        <f>D10</f>
        <v>62049433</v>
      </c>
      <c r="R11" s="144"/>
      <c r="S11" s="33"/>
    </row>
    <row r="12" spans="1:19" x14ac:dyDescent="0.25">
      <c r="A12" s="58" t="s">
        <v>6</v>
      </c>
      <c r="B12" s="58"/>
      <c r="C12" s="58"/>
      <c r="D12" s="55">
        <f>Q38</f>
        <v>228</v>
      </c>
      <c r="E12" s="5" t="s">
        <v>5</v>
      </c>
      <c r="F12" s="5"/>
      <c r="G12" s="5"/>
      <c r="H12" s="5"/>
      <c r="I12" s="33"/>
      <c r="J12" s="33"/>
      <c r="K12" s="33"/>
      <c r="L12" s="33"/>
      <c r="M12" s="33"/>
      <c r="N12" s="5" t="s">
        <v>7</v>
      </c>
      <c r="O12" s="5"/>
      <c r="P12" s="5"/>
      <c r="Q12" s="145" t="str">
        <f>F21</f>
        <v>1188804014</v>
      </c>
      <c r="R12" s="145"/>
      <c r="S12" s="61"/>
    </row>
    <row r="13" spans="1:19" x14ac:dyDescent="0.25">
      <c r="A13" s="58" t="s">
        <v>8</v>
      </c>
      <c r="B13" s="58"/>
      <c r="C13" s="58"/>
      <c r="D13" s="55">
        <f>D12-D11</f>
        <v>0</v>
      </c>
      <c r="E13" s="5" t="s">
        <v>5</v>
      </c>
      <c r="F13" s="5"/>
      <c r="G13" s="5"/>
      <c r="H13" s="5"/>
      <c r="I13" s="33"/>
      <c r="J13" s="33"/>
      <c r="K13" s="33"/>
      <c r="L13" s="33"/>
      <c r="M13" s="33"/>
      <c r="N13" s="5" t="s">
        <v>89</v>
      </c>
      <c r="O13" s="5"/>
      <c r="P13" s="5"/>
      <c r="Q13" s="145" t="s">
        <v>63</v>
      </c>
      <c r="R13" s="145"/>
      <c r="S13" s="61"/>
    </row>
    <row r="14" spans="1:19" x14ac:dyDescent="0.25">
      <c r="A14" s="58" t="s">
        <v>9</v>
      </c>
      <c r="B14" s="58"/>
      <c r="C14" s="58"/>
      <c r="D14" s="55">
        <f>D38</f>
        <v>16</v>
      </c>
      <c r="E14" s="5" t="s">
        <v>10</v>
      </c>
      <c r="F14" s="5"/>
      <c r="G14" s="5"/>
      <c r="H14" s="5"/>
      <c r="I14" s="33"/>
      <c r="J14" s="33"/>
      <c r="K14" s="33"/>
      <c r="L14" s="33"/>
      <c r="M14" s="33"/>
      <c r="N14" s="5" t="s">
        <v>11</v>
      </c>
      <c r="O14" s="5"/>
      <c r="P14" s="5"/>
      <c r="Q14" s="62">
        <f>A21</f>
        <v>1</v>
      </c>
      <c r="R14" s="62" t="s">
        <v>65</v>
      </c>
      <c r="S14" s="63">
        <f>D89</f>
        <v>32</v>
      </c>
    </row>
    <row r="15" spans="1:19" x14ac:dyDescent="0.25">
      <c r="A15" s="58" t="s">
        <v>12</v>
      </c>
      <c r="B15" s="58"/>
      <c r="C15" s="58"/>
      <c r="D15" s="5" t="s">
        <v>83</v>
      </c>
      <c r="E15" s="64"/>
      <c r="F15" s="64"/>
      <c r="G15" s="5"/>
      <c r="H15" s="5"/>
      <c r="I15" s="33"/>
      <c r="J15" s="33"/>
      <c r="K15" s="33"/>
      <c r="L15" s="33"/>
      <c r="M15" s="33"/>
      <c r="N15" s="31" t="s">
        <v>66</v>
      </c>
      <c r="O15" s="110">
        <f>0.59*0.39*0.3*D40</f>
        <v>1.1044799999999999</v>
      </c>
      <c r="P15" s="1"/>
      <c r="Q15" s="33"/>
      <c r="R15" s="33"/>
      <c r="S15" s="33"/>
    </row>
    <row r="16" spans="1:19" x14ac:dyDescent="0.25">
      <c r="A16" s="58"/>
      <c r="B16" s="58"/>
      <c r="C16" s="58"/>
      <c r="D16" s="5" t="s">
        <v>84</v>
      </c>
      <c r="E16" s="64"/>
      <c r="F16" s="64"/>
      <c r="G16" s="5"/>
      <c r="H16" s="5"/>
      <c r="I16" s="33"/>
      <c r="J16" s="33"/>
      <c r="K16" s="33"/>
      <c r="L16" s="33"/>
      <c r="M16" s="33"/>
      <c r="N16" s="31"/>
      <c r="O16" s="32"/>
      <c r="P16" s="1"/>
      <c r="Q16" s="33"/>
      <c r="R16" s="33"/>
      <c r="S16" s="33"/>
    </row>
    <row r="17" spans="1:24" ht="23.25" x14ac:dyDescent="0.25">
      <c r="A17" s="58"/>
      <c r="B17" s="58"/>
      <c r="C17" s="58"/>
      <c r="D17" s="5" t="s">
        <v>85</v>
      </c>
      <c r="E17" s="64"/>
      <c r="F17" s="64"/>
      <c r="G17" s="5"/>
      <c r="H17" s="5"/>
      <c r="I17" s="33"/>
      <c r="J17" s="33"/>
      <c r="K17" s="33"/>
      <c r="L17" s="33"/>
      <c r="M17" s="33"/>
      <c r="N17" s="1"/>
      <c r="O17" s="1"/>
      <c r="P17" s="111" t="s">
        <v>100</v>
      </c>
      <c r="Q17" s="33"/>
      <c r="R17" s="33"/>
      <c r="S17" s="33"/>
    </row>
    <row r="18" spans="1:24" ht="18.75" thickBot="1" x14ac:dyDescent="0.3">
      <c r="A18" s="146"/>
      <c r="B18" s="146"/>
      <c r="C18" s="146"/>
      <c r="D18" s="5" t="s">
        <v>86</v>
      </c>
      <c r="E18" s="64"/>
      <c r="F18" s="64"/>
      <c r="G18" s="103">
        <f t="shared" ref="G18:N18" si="2">+G45</f>
        <v>0</v>
      </c>
      <c r="H18" s="103">
        <f t="shared" si="2"/>
        <v>0</v>
      </c>
      <c r="I18" s="103">
        <f t="shared" si="2"/>
        <v>0</v>
      </c>
      <c r="J18" s="103">
        <f t="shared" si="2"/>
        <v>0</v>
      </c>
      <c r="K18" s="103">
        <f t="shared" si="2"/>
        <v>0</v>
      </c>
      <c r="L18" s="103">
        <f t="shared" si="2"/>
        <v>0</v>
      </c>
      <c r="M18" s="103">
        <f t="shared" si="2"/>
        <v>0</v>
      </c>
      <c r="N18" s="103">
        <f t="shared" si="2"/>
        <v>0</v>
      </c>
      <c r="O18" s="33"/>
      <c r="P18" s="33"/>
      <c r="Q18" s="33"/>
      <c r="R18" s="33"/>
      <c r="S18" s="33"/>
    </row>
    <row r="19" spans="1:24" ht="19.5" customHeight="1" x14ac:dyDescent="0.2">
      <c r="A19" s="34" t="s">
        <v>13</v>
      </c>
      <c r="B19" s="35"/>
      <c r="C19" s="36" t="s">
        <v>13</v>
      </c>
      <c r="D19" s="147" t="s">
        <v>14</v>
      </c>
      <c r="E19" s="147" t="s">
        <v>15</v>
      </c>
      <c r="F19" s="147" t="s">
        <v>16</v>
      </c>
      <c r="G19" s="149" t="s">
        <v>17</v>
      </c>
      <c r="H19" s="150"/>
      <c r="I19" s="150"/>
      <c r="J19" s="150"/>
      <c r="K19" s="150"/>
      <c r="L19" s="150"/>
      <c r="M19" s="150"/>
      <c r="N19" s="151"/>
      <c r="O19" s="37"/>
      <c r="P19" s="147" t="s">
        <v>18</v>
      </c>
      <c r="Q19" s="147" t="s">
        <v>19</v>
      </c>
      <c r="R19" s="147" t="s">
        <v>20</v>
      </c>
      <c r="S19" s="140" t="s">
        <v>21</v>
      </c>
    </row>
    <row r="20" spans="1:24" ht="28.5" customHeight="1" thickBot="1" x14ac:dyDescent="0.25">
      <c r="A20" s="38" t="s">
        <v>22</v>
      </c>
      <c r="B20" s="39"/>
      <c r="C20" s="40" t="s">
        <v>64</v>
      </c>
      <c r="D20" s="148"/>
      <c r="E20" s="148"/>
      <c r="F20" s="148"/>
      <c r="G20" s="41" t="s">
        <v>75</v>
      </c>
      <c r="H20" s="41" t="s">
        <v>76</v>
      </c>
      <c r="I20" s="41" t="s">
        <v>77</v>
      </c>
      <c r="J20" s="41" t="s">
        <v>78</v>
      </c>
      <c r="K20" s="41" t="s">
        <v>79</v>
      </c>
      <c r="L20" s="41" t="s">
        <v>80</v>
      </c>
      <c r="M20" s="41" t="s">
        <v>81</v>
      </c>
      <c r="N20" s="41" t="s">
        <v>82</v>
      </c>
      <c r="O20" s="42"/>
      <c r="P20" s="148"/>
      <c r="Q20" s="148"/>
      <c r="R20" s="148"/>
      <c r="S20" s="141"/>
    </row>
    <row r="21" spans="1:24" ht="26.25" customHeight="1" x14ac:dyDescent="0.2">
      <c r="A21" s="43">
        <v>1</v>
      </c>
      <c r="B21" s="44">
        <f t="shared" ref="B21:B22" si="3">D21+A21-1</f>
        <v>1</v>
      </c>
      <c r="C21" s="94" t="s">
        <v>88</v>
      </c>
      <c r="D21" s="45">
        <v>1</v>
      </c>
      <c r="E21" s="142" t="s">
        <v>96</v>
      </c>
      <c r="F21" s="114" t="str">
        <f>+D9</f>
        <v>1188804014</v>
      </c>
      <c r="G21" s="46">
        <v>22</v>
      </c>
      <c r="H21" s="46"/>
      <c r="I21" s="46"/>
      <c r="J21" s="47"/>
      <c r="K21" s="46"/>
      <c r="L21" s="46"/>
      <c r="M21" s="46"/>
      <c r="N21" s="46"/>
      <c r="O21" s="46"/>
      <c r="P21" s="48">
        <f>SUM(G21:N21)</f>
        <v>22</v>
      </c>
      <c r="Q21" s="46">
        <f>P21*D21</f>
        <v>22</v>
      </c>
      <c r="R21" s="49">
        <f>S21+0.91</f>
        <v>17.41</v>
      </c>
      <c r="S21" s="50">
        <f>+G6*P21</f>
        <v>16.5</v>
      </c>
      <c r="T21" s="113">
        <f>+R21*D21</f>
        <v>17.41</v>
      </c>
      <c r="X21">
        <v>1</v>
      </c>
    </row>
    <row r="22" spans="1:24" ht="26.25" customHeight="1" x14ac:dyDescent="0.2">
      <c r="A22" s="43">
        <f>+B21+1</f>
        <v>2</v>
      </c>
      <c r="B22" s="44">
        <f t="shared" si="3"/>
        <v>2</v>
      </c>
      <c r="C22" s="94" t="s">
        <v>87</v>
      </c>
      <c r="D22" s="45">
        <v>1</v>
      </c>
      <c r="E22" s="143"/>
      <c r="F22" s="114"/>
      <c r="G22" s="46">
        <v>0</v>
      </c>
      <c r="H22" s="46"/>
      <c r="I22" s="46"/>
      <c r="J22" s="47"/>
      <c r="K22" s="46"/>
      <c r="L22" s="46"/>
      <c r="M22" s="46"/>
      <c r="N22" s="46"/>
      <c r="O22" s="46"/>
      <c r="P22" s="48">
        <f t="shared" ref="P22:P35" si="4">SUM(G22:N22)</f>
        <v>0</v>
      </c>
      <c r="Q22" s="46">
        <f t="shared" ref="Q22:Q35" si="5">P22*D22</f>
        <v>0</v>
      </c>
      <c r="R22" s="49">
        <f>S22+0.72</f>
        <v>0.72</v>
      </c>
      <c r="S22" s="50">
        <f>+S21/P21*P22</f>
        <v>0</v>
      </c>
      <c r="T22" s="113">
        <f t="shared" ref="T22:T36" si="6">+R22*D22</f>
        <v>0.72</v>
      </c>
    </row>
    <row r="23" spans="1:24" ht="26.25" customHeight="1" x14ac:dyDescent="0.2">
      <c r="A23" s="43">
        <f t="shared" ref="A23" si="7">+B22+1</f>
        <v>3</v>
      </c>
      <c r="B23" s="44">
        <f t="shared" ref="B23" si="8">D23+A23-1</f>
        <v>3</v>
      </c>
      <c r="C23" s="94" t="s">
        <v>88</v>
      </c>
      <c r="D23" s="45">
        <v>1</v>
      </c>
      <c r="E23" s="116"/>
      <c r="F23" s="114"/>
      <c r="G23" s="46"/>
      <c r="H23" s="46">
        <v>24</v>
      </c>
      <c r="I23" s="46"/>
      <c r="J23" s="47"/>
      <c r="K23" s="46"/>
      <c r="L23" s="46"/>
      <c r="M23" s="46"/>
      <c r="N23" s="46"/>
      <c r="O23" s="46"/>
      <c r="P23" s="48">
        <f t="shared" si="4"/>
        <v>24</v>
      </c>
      <c r="Q23" s="46">
        <f t="shared" si="5"/>
        <v>24</v>
      </c>
      <c r="R23" s="49">
        <f t="shared" ref="R23:R35" si="9">S23+0.91</f>
        <v>19.39</v>
      </c>
      <c r="S23" s="50">
        <f>++H6*P23</f>
        <v>18.48</v>
      </c>
      <c r="T23" s="113">
        <f t="shared" si="6"/>
        <v>19.39</v>
      </c>
    </row>
    <row r="24" spans="1:24" ht="26.25" customHeight="1" x14ac:dyDescent="0.2">
      <c r="A24" s="43">
        <f t="shared" ref="A24:A25" si="10">+B23+1</f>
        <v>4</v>
      </c>
      <c r="B24" s="44">
        <f t="shared" ref="B24:B25" si="11">D24+A24-1</f>
        <v>4</v>
      </c>
      <c r="C24" s="94" t="s">
        <v>88</v>
      </c>
      <c r="D24" s="45">
        <v>1</v>
      </c>
      <c r="E24" s="116"/>
      <c r="F24" s="114"/>
      <c r="G24" s="46"/>
      <c r="H24" s="46">
        <v>5</v>
      </c>
      <c r="I24" s="46"/>
      <c r="J24" s="47"/>
      <c r="K24" s="46"/>
      <c r="L24" s="46"/>
      <c r="M24" s="46"/>
      <c r="N24" s="46"/>
      <c r="O24" s="46"/>
      <c r="P24" s="48">
        <f t="shared" ref="P24" si="12">SUM(G24:N24)</f>
        <v>5</v>
      </c>
      <c r="Q24" s="46">
        <f t="shared" ref="Q24" si="13">P24*D24</f>
        <v>5</v>
      </c>
      <c r="R24" s="49">
        <f t="shared" si="9"/>
        <v>4.76</v>
      </c>
      <c r="S24" s="50">
        <f>+S23/P23*P24</f>
        <v>3.85</v>
      </c>
      <c r="T24" s="113">
        <f t="shared" ref="T24" si="14">+R24*D24</f>
        <v>4.76</v>
      </c>
    </row>
    <row r="25" spans="1:24" ht="26.25" customHeight="1" x14ac:dyDescent="0.2">
      <c r="A25" s="43">
        <f t="shared" si="10"/>
        <v>5</v>
      </c>
      <c r="B25" s="44">
        <f t="shared" si="11"/>
        <v>5</v>
      </c>
      <c r="C25" s="94" t="s">
        <v>88</v>
      </c>
      <c r="D25" s="45">
        <v>1</v>
      </c>
      <c r="E25" s="116"/>
      <c r="F25" s="114"/>
      <c r="G25" s="46"/>
      <c r="H25" s="46"/>
      <c r="I25" s="46">
        <v>24</v>
      </c>
      <c r="J25" s="47"/>
      <c r="K25" s="46"/>
      <c r="L25" s="46"/>
      <c r="M25" s="46"/>
      <c r="N25" s="46"/>
      <c r="O25" s="46"/>
      <c r="P25" s="48">
        <f t="shared" si="4"/>
        <v>24</v>
      </c>
      <c r="Q25" s="46">
        <f t="shared" si="5"/>
        <v>24</v>
      </c>
      <c r="R25" s="49">
        <f t="shared" si="9"/>
        <v>19.87</v>
      </c>
      <c r="S25" s="50">
        <f>+I6*P25</f>
        <v>18.96</v>
      </c>
      <c r="T25" s="113">
        <f t="shared" si="6"/>
        <v>19.87</v>
      </c>
    </row>
    <row r="26" spans="1:24" ht="26.25" customHeight="1" x14ac:dyDescent="0.2">
      <c r="A26" s="43">
        <f t="shared" ref="A26:A32" si="15">+B25+1</f>
        <v>6</v>
      </c>
      <c r="B26" s="44">
        <f t="shared" ref="B26:B32" si="16">D26+A26-1</f>
        <v>6</v>
      </c>
      <c r="C26" s="94" t="s">
        <v>93</v>
      </c>
      <c r="D26" s="45">
        <v>1</v>
      </c>
      <c r="E26" s="116"/>
      <c r="F26" s="114"/>
      <c r="G26" s="46"/>
      <c r="H26" s="46"/>
      <c r="I26" s="46">
        <v>14</v>
      </c>
      <c r="J26" s="47"/>
      <c r="K26" s="46"/>
      <c r="L26" s="46"/>
      <c r="M26" s="46"/>
      <c r="N26" s="46"/>
      <c r="O26" s="46"/>
      <c r="P26" s="48">
        <f t="shared" si="4"/>
        <v>14</v>
      </c>
      <c r="Q26" s="46">
        <f t="shared" si="5"/>
        <v>14</v>
      </c>
      <c r="R26" s="49">
        <f>S26+0.41</f>
        <v>11.47</v>
      </c>
      <c r="S26" s="50">
        <f>+S25/P25*P26</f>
        <v>11.06</v>
      </c>
      <c r="T26" s="113">
        <f t="shared" si="6"/>
        <v>11.47</v>
      </c>
    </row>
    <row r="27" spans="1:24" ht="26.25" customHeight="1" x14ac:dyDescent="0.2">
      <c r="A27" s="43">
        <f t="shared" si="15"/>
        <v>7</v>
      </c>
      <c r="B27" s="44">
        <f t="shared" si="16"/>
        <v>7</v>
      </c>
      <c r="C27" s="94" t="s">
        <v>88</v>
      </c>
      <c r="D27" s="45">
        <v>1</v>
      </c>
      <c r="E27" s="116"/>
      <c r="F27" s="114"/>
      <c r="G27" s="46"/>
      <c r="H27" s="46"/>
      <c r="I27" s="46"/>
      <c r="J27" s="47">
        <v>24</v>
      </c>
      <c r="K27" s="46"/>
      <c r="L27" s="46"/>
      <c r="M27" s="46"/>
      <c r="N27" s="46"/>
      <c r="O27" s="46"/>
      <c r="P27" s="48">
        <f t="shared" ref="P27:P30" si="17">SUM(G27:N27)</f>
        <v>24</v>
      </c>
      <c r="Q27" s="46">
        <f t="shared" ref="Q27:Q30" si="18">P27*D27</f>
        <v>24</v>
      </c>
      <c r="R27" s="49">
        <f t="shared" si="9"/>
        <v>20.83</v>
      </c>
      <c r="S27" s="50">
        <f>+J6*P27</f>
        <v>19.919999999999998</v>
      </c>
      <c r="T27" s="113">
        <f t="shared" si="6"/>
        <v>20.83</v>
      </c>
    </row>
    <row r="28" spans="1:24" ht="26.25" customHeight="1" x14ac:dyDescent="0.2">
      <c r="A28" s="43">
        <f t="shared" si="15"/>
        <v>8</v>
      </c>
      <c r="B28" s="44">
        <f t="shared" si="16"/>
        <v>8</v>
      </c>
      <c r="C28" s="94" t="s">
        <v>92</v>
      </c>
      <c r="D28" s="45">
        <v>1</v>
      </c>
      <c r="E28" s="116"/>
      <c r="F28" s="114"/>
      <c r="G28" s="46"/>
      <c r="H28" s="46"/>
      <c r="I28" s="46"/>
      <c r="J28" s="47">
        <v>13</v>
      </c>
      <c r="K28" s="46"/>
      <c r="L28" s="46"/>
      <c r="M28" s="46"/>
      <c r="N28" s="46"/>
      <c r="O28" s="46"/>
      <c r="P28" s="48">
        <f t="shared" si="17"/>
        <v>13</v>
      </c>
      <c r="Q28" s="46">
        <f t="shared" si="18"/>
        <v>13</v>
      </c>
      <c r="R28" s="49">
        <f>S28+0.41</f>
        <v>11.2</v>
      </c>
      <c r="S28" s="50">
        <f>+S27/P27*P28</f>
        <v>10.79</v>
      </c>
      <c r="T28" s="113">
        <f t="shared" ref="T28:T35" si="19">+R28*D28</f>
        <v>11.2</v>
      </c>
    </row>
    <row r="29" spans="1:24" ht="26.25" customHeight="1" x14ac:dyDescent="0.2">
      <c r="A29" s="43">
        <f t="shared" si="15"/>
        <v>9</v>
      </c>
      <c r="B29" s="44">
        <f t="shared" si="16"/>
        <v>9</v>
      </c>
      <c r="C29" s="94" t="s">
        <v>88</v>
      </c>
      <c r="D29" s="45">
        <v>1</v>
      </c>
      <c r="E29" s="116"/>
      <c r="F29" s="114"/>
      <c r="G29" s="46"/>
      <c r="H29" s="46"/>
      <c r="I29" s="46"/>
      <c r="J29" s="47"/>
      <c r="K29" s="46">
        <v>22</v>
      </c>
      <c r="L29" s="46"/>
      <c r="M29" s="46"/>
      <c r="N29" s="46"/>
      <c r="O29" s="46"/>
      <c r="P29" s="48">
        <f t="shared" si="17"/>
        <v>22</v>
      </c>
      <c r="Q29" s="46">
        <f t="shared" si="18"/>
        <v>22</v>
      </c>
      <c r="R29" s="49">
        <f t="shared" si="9"/>
        <v>19.829999999999998</v>
      </c>
      <c r="S29" s="50">
        <f>+K6*P29</f>
        <v>18.919999999999998</v>
      </c>
      <c r="T29" s="113">
        <f t="shared" si="19"/>
        <v>19.829999999999998</v>
      </c>
    </row>
    <row r="30" spans="1:24" ht="26.25" customHeight="1" x14ac:dyDescent="0.2">
      <c r="A30" s="43">
        <f t="shared" si="15"/>
        <v>10</v>
      </c>
      <c r="B30" s="44">
        <f t="shared" si="16"/>
        <v>10</v>
      </c>
      <c r="C30" s="94" t="s">
        <v>88</v>
      </c>
      <c r="D30" s="45">
        <v>1</v>
      </c>
      <c r="E30" s="116"/>
      <c r="F30" s="114"/>
      <c r="G30" s="46"/>
      <c r="H30" s="46"/>
      <c r="I30" s="46"/>
      <c r="J30" s="47"/>
      <c r="K30" s="46">
        <v>14</v>
      </c>
      <c r="L30" s="46"/>
      <c r="M30" s="46"/>
      <c r="N30" s="46"/>
      <c r="O30" s="46"/>
      <c r="P30" s="48">
        <f t="shared" si="17"/>
        <v>14</v>
      </c>
      <c r="Q30" s="46">
        <f t="shared" si="18"/>
        <v>14</v>
      </c>
      <c r="R30" s="49">
        <f t="shared" si="9"/>
        <v>12.95</v>
      </c>
      <c r="S30" s="50">
        <f>+S29/P29*P30</f>
        <v>12.04</v>
      </c>
      <c r="T30" s="113">
        <f t="shared" si="19"/>
        <v>12.95</v>
      </c>
    </row>
    <row r="31" spans="1:24" ht="26.25" customHeight="1" x14ac:dyDescent="0.2">
      <c r="A31" s="43">
        <f t="shared" si="15"/>
        <v>11</v>
      </c>
      <c r="B31" s="44">
        <f t="shared" si="16"/>
        <v>11</v>
      </c>
      <c r="C31" s="94" t="s">
        <v>88</v>
      </c>
      <c r="D31" s="45">
        <v>1</v>
      </c>
      <c r="E31" s="116"/>
      <c r="F31" s="114"/>
      <c r="G31" s="46"/>
      <c r="H31" s="46"/>
      <c r="I31" s="46"/>
      <c r="J31" s="47"/>
      <c r="K31" s="46"/>
      <c r="L31" s="46">
        <v>22</v>
      </c>
      <c r="M31" s="46"/>
      <c r="N31" s="46"/>
      <c r="O31" s="46"/>
      <c r="P31" s="48">
        <f t="shared" si="4"/>
        <v>22</v>
      </c>
      <c r="Q31" s="46">
        <f t="shared" si="5"/>
        <v>22</v>
      </c>
      <c r="R31" s="49">
        <f t="shared" si="9"/>
        <v>20.490000000000002</v>
      </c>
      <c r="S31" s="50">
        <f>+L6*P31</f>
        <v>19.580000000000002</v>
      </c>
      <c r="T31" s="113">
        <f t="shared" si="19"/>
        <v>20.490000000000002</v>
      </c>
    </row>
    <row r="32" spans="1:24" ht="26.25" customHeight="1" x14ac:dyDescent="0.2">
      <c r="A32" s="43">
        <f t="shared" si="15"/>
        <v>12</v>
      </c>
      <c r="B32" s="44">
        <f t="shared" si="16"/>
        <v>12</v>
      </c>
      <c r="C32" s="94" t="s">
        <v>92</v>
      </c>
      <c r="D32" s="45">
        <v>1</v>
      </c>
      <c r="E32" s="116"/>
      <c r="F32" s="114"/>
      <c r="G32" s="46"/>
      <c r="H32" s="46"/>
      <c r="I32" s="46"/>
      <c r="J32" s="47"/>
      <c r="K32" s="46"/>
      <c r="L32" s="46">
        <v>5</v>
      </c>
      <c r="M32" s="46"/>
      <c r="N32" s="46"/>
      <c r="O32" s="46"/>
      <c r="P32" s="48">
        <f t="shared" ref="P32" si="20">SUM(G32:N32)</f>
        <v>5</v>
      </c>
      <c r="Q32" s="46">
        <f t="shared" ref="Q32" si="21">P32*D32</f>
        <v>5</v>
      </c>
      <c r="R32" s="49">
        <f>S32+0.41</f>
        <v>4.8600000000000012</v>
      </c>
      <c r="S32" s="50">
        <f>+S31/P31*P32</f>
        <v>4.4500000000000011</v>
      </c>
      <c r="T32" s="113">
        <f t="shared" si="19"/>
        <v>4.8600000000000012</v>
      </c>
    </row>
    <row r="33" spans="1:24" ht="26.25" customHeight="1" x14ac:dyDescent="0.2">
      <c r="A33" s="43">
        <f t="shared" ref="A33:A36" si="22">+B32+1</f>
        <v>13</v>
      </c>
      <c r="B33" s="44">
        <f t="shared" ref="B33:B36" si="23">D33+A33-1</f>
        <v>13</v>
      </c>
      <c r="C33" s="94" t="s">
        <v>88</v>
      </c>
      <c r="D33" s="45">
        <v>1</v>
      </c>
      <c r="E33" s="116"/>
      <c r="F33" s="114"/>
      <c r="G33" s="46"/>
      <c r="H33" s="46"/>
      <c r="I33" s="46"/>
      <c r="J33" s="47"/>
      <c r="K33" s="46"/>
      <c r="L33" s="46"/>
      <c r="M33" s="46">
        <v>21</v>
      </c>
      <c r="N33" s="46"/>
      <c r="O33" s="46"/>
      <c r="P33" s="48">
        <f t="shared" si="4"/>
        <v>21</v>
      </c>
      <c r="Q33" s="46">
        <f t="shared" si="5"/>
        <v>21</v>
      </c>
      <c r="R33" s="49">
        <f t="shared" si="9"/>
        <v>20.23</v>
      </c>
      <c r="S33" s="50">
        <f>+M6*P33</f>
        <v>19.32</v>
      </c>
      <c r="T33" s="113">
        <f t="shared" si="19"/>
        <v>20.23</v>
      </c>
    </row>
    <row r="34" spans="1:24" ht="26.25" customHeight="1" x14ac:dyDescent="0.2">
      <c r="A34" s="43">
        <f t="shared" si="22"/>
        <v>14</v>
      </c>
      <c r="B34" s="44">
        <f t="shared" si="23"/>
        <v>14</v>
      </c>
      <c r="C34" s="94" t="s">
        <v>87</v>
      </c>
      <c r="D34" s="45">
        <v>1</v>
      </c>
      <c r="E34" s="116"/>
      <c r="F34" s="114"/>
      <c r="G34" s="46"/>
      <c r="H34" s="46"/>
      <c r="I34" s="46"/>
      <c r="J34" s="47"/>
      <c r="K34" s="46"/>
      <c r="L34" s="46"/>
      <c r="M34" s="46">
        <v>0</v>
      </c>
      <c r="N34" s="46"/>
      <c r="O34" s="46"/>
      <c r="P34" s="48">
        <f t="shared" si="4"/>
        <v>0</v>
      </c>
      <c r="Q34" s="46">
        <f t="shared" si="5"/>
        <v>0</v>
      </c>
      <c r="R34" s="49">
        <f>S34+0.72</f>
        <v>0.72</v>
      </c>
      <c r="S34" s="50">
        <f>+S33/P33*P34</f>
        <v>0</v>
      </c>
      <c r="T34" s="113">
        <f t="shared" si="19"/>
        <v>0.72</v>
      </c>
    </row>
    <row r="35" spans="1:24" ht="26.25" customHeight="1" x14ac:dyDescent="0.2">
      <c r="A35" s="43">
        <f t="shared" si="22"/>
        <v>15</v>
      </c>
      <c r="B35" s="44">
        <f t="shared" si="23"/>
        <v>15</v>
      </c>
      <c r="C35" s="94" t="s">
        <v>88</v>
      </c>
      <c r="D35" s="45">
        <v>1</v>
      </c>
      <c r="E35" s="116"/>
      <c r="F35" s="114"/>
      <c r="G35" s="46"/>
      <c r="H35" s="46"/>
      <c r="I35" s="46"/>
      <c r="J35" s="47"/>
      <c r="K35" s="46"/>
      <c r="L35" s="46"/>
      <c r="M35" s="46"/>
      <c r="N35" s="46">
        <v>18</v>
      </c>
      <c r="O35" s="46"/>
      <c r="P35" s="48">
        <f t="shared" si="4"/>
        <v>18</v>
      </c>
      <c r="Q35" s="46">
        <f t="shared" si="5"/>
        <v>18</v>
      </c>
      <c r="R35" s="49">
        <f t="shared" si="9"/>
        <v>17.829999999999998</v>
      </c>
      <c r="S35" s="50">
        <f>+N6*P35</f>
        <v>16.919999999999998</v>
      </c>
      <c r="T35" s="113">
        <f t="shared" si="19"/>
        <v>17.829999999999998</v>
      </c>
    </row>
    <row r="36" spans="1:24" ht="26.25" customHeight="1" x14ac:dyDescent="0.2">
      <c r="A36" s="43">
        <f t="shared" si="22"/>
        <v>16</v>
      </c>
      <c r="B36" s="44">
        <f t="shared" si="23"/>
        <v>16</v>
      </c>
      <c r="C36" s="94" t="s">
        <v>87</v>
      </c>
      <c r="D36" s="45">
        <v>1</v>
      </c>
      <c r="E36" s="116"/>
      <c r="F36" s="114"/>
      <c r="G36" s="46"/>
      <c r="H36" s="46"/>
      <c r="I36" s="46"/>
      <c r="J36" s="47"/>
      <c r="K36" s="46"/>
      <c r="L36" s="46"/>
      <c r="M36" s="46"/>
      <c r="N36" s="46">
        <v>0</v>
      </c>
      <c r="O36" s="46"/>
      <c r="P36" s="48">
        <f t="shared" ref="P36" si="24">SUM(G36:N36)</f>
        <v>0</v>
      </c>
      <c r="Q36" s="46">
        <f t="shared" ref="Q36" si="25">P36*D36</f>
        <v>0</v>
      </c>
      <c r="R36" s="49">
        <f>S36+0.72</f>
        <v>0.72</v>
      </c>
      <c r="S36" s="50">
        <f>+S35/P35*P36</f>
        <v>0</v>
      </c>
      <c r="T36" s="113">
        <f t="shared" si="6"/>
        <v>0.72</v>
      </c>
    </row>
    <row r="37" spans="1:24" ht="19.5" customHeight="1" thickBot="1" x14ac:dyDescent="0.25">
      <c r="A37" s="69"/>
      <c r="B37" s="70"/>
      <c r="C37" s="65"/>
      <c r="D37" s="45"/>
      <c r="E37" s="71"/>
      <c r="F37" s="67"/>
      <c r="G37" s="68"/>
      <c r="H37" s="68"/>
      <c r="I37" s="68"/>
      <c r="J37" s="68"/>
      <c r="K37" s="68"/>
      <c r="L37" s="68"/>
      <c r="M37" s="68"/>
      <c r="N37" s="68"/>
      <c r="O37" s="46"/>
      <c r="P37" s="48"/>
      <c r="Q37" s="46"/>
      <c r="R37" s="49"/>
      <c r="S37" s="50"/>
      <c r="X37">
        <v>3</v>
      </c>
    </row>
    <row r="38" spans="1:24" ht="26.25" customHeight="1" thickBot="1" x14ac:dyDescent="0.25">
      <c r="A38" s="132" t="s">
        <v>23</v>
      </c>
      <c r="B38" s="133"/>
      <c r="C38" s="135"/>
      <c r="D38" s="51">
        <f>SUM(D21:D37)</f>
        <v>16</v>
      </c>
      <c r="E38" s="51" t="s">
        <v>10</v>
      </c>
      <c r="F38" s="52"/>
      <c r="G38" s="51">
        <f>+Q21+Q22</f>
        <v>22</v>
      </c>
      <c r="H38" s="51">
        <f>+Q23+Q24</f>
        <v>29</v>
      </c>
      <c r="I38" s="51">
        <f>+Q25+Q26</f>
        <v>38</v>
      </c>
      <c r="J38" s="51">
        <f>+Q27+Q28</f>
        <v>37</v>
      </c>
      <c r="K38" s="51">
        <f>+Q29+Q30</f>
        <v>36</v>
      </c>
      <c r="L38" s="51">
        <f>+Q31+Q32</f>
        <v>27</v>
      </c>
      <c r="M38" s="51">
        <f>+Q33+Q34</f>
        <v>21</v>
      </c>
      <c r="N38" s="51">
        <f>+Q35+Q36</f>
        <v>18</v>
      </c>
      <c r="O38" s="51"/>
      <c r="P38" s="51"/>
      <c r="Q38" s="51">
        <f>SUM(Q21:Q37)</f>
        <v>228</v>
      </c>
      <c r="R38" s="53">
        <f>SUM(R21:R37)</f>
        <v>203.28</v>
      </c>
      <c r="S38" s="54"/>
      <c r="T38" s="113">
        <f>SUM(T21:T37)</f>
        <v>203.28</v>
      </c>
      <c r="X38">
        <v>1</v>
      </c>
    </row>
    <row r="39" spans="1:24" ht="20.25" customHeight="1" thickBot="1" x14ac:dyDescent="0.3">
      <c r="A39" s="33"/>
      <c r="B39" s="33"/>
      <c r="C39" s="33"/>
      <c r="D39" s="33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7"/>
      <c r="R39" s="55"/>
      <c r="S39" s="33"/>
      <c r="X39">
        <v>2</v>
      </c>
    </row>
    <row r="40" spans="1:24" ht="18" customHeight="1" thickBot="1" x14ac:dyDescent="0.3">
      <c r="A40" s="33"/>
      <c r="B40" s="33"/>
      <c r="C40" s="33"/>
      <c r="D40" s="33">
        <f>D38</f>
        <v>16</v>
      </c>
      <c r="E40" s="132" t="s">
        <v>24</v>
      </c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4"/>
      <c r="R40" s="55"/>
      <c r="S40" s="33"/>
      <c r="T40" s="113"/>
      <c r="U40">
        <v>124</v>
      </c>
      <c r="X40">
        <v>1</v>
      </c>
    </row>
    <row r="41" spans="1:24" ht="27.75" customHeight="1" thickBot="1" x14ac:dyDescent="0.3">
      <c r="A41" s="33"/>
      <c r="B41" s="33"/>
      <c r="C41" s="33"/>
      <c r="D41" s="33"/>
      <c r="E41" s="132" t="s">
        <v>17</v>
      </c>
      <c r="F41" s="135"/>
      <c r="G41" s="41" t="str">
        <f t="shared" ref="G41:N41" si="26">G20</f>
        <v>25 R</v>
      </c>
      <c r="H41" s="41" t="str">
        <f t="shared" si="26"/>
        <v>26 R</v>
      </c>
      <c r="I41" s="41" t="str">
        <f t="shared" si="26"/>
        <v>27 R</v>
      </c>
      <c r="J41" s="41" t="str">
        <f t="shared" si="26"/>
        <v>28 R</v>
      </c>
      <c r="K41" s="41" t="str">
        <f t="shared" si="26"/>
        <v>29 R</v>
      </c>
      <c r="L41" s="41" t="str">
        <f t="shared" si="26"/>
        <v>30 R</v>
      </c>
      <c r="M41" s="41" t="str">
        <f t="shared" si="26"/>
        <v>31 R</v>
      </c>
      <c r="N41" s="41" t="str">
        <f t="shared" si="26"/>
        <v>32 R</v>
      </c>
      <c r="O41" s="73"/>
      <c r="P41" s="73"/>
      <c r="Q41" s="54" t="s">
        <v>23</v>
      </c>
      <c r="R41" s="55"/>
      <c r="S41" s="33"/>
      <c r="U41">
        <v>160</v>
      </c>
      <c r="X41">
        <v>1</v>
      </c>
    </row>
    <row r="42" spans="1:24" ht="27.75" customHeight="1" x14ac:dyDescent="0.25">
      <c r="A42" s="33"/>
      <c r="B42" s="33"/>
      <c r="C42" s="33"/>
      <c r="D42" s="33"/>
      <c r="E42" s="136" t="s">
        <v>25</v>
      </c>
      <c r="F42" s="137"/>
      <c r="G42" s="74">
        <f>G43*2%+G43</f>
        <v>22.44</v>
      </c>
      <c r="H42" s="74">
        <f t="shared" ref="H42:N42" si="27">H43*2%+H43</f>
        <v>29.58</v>
      </c>
      <c r="I42" s="74">
        <f t="shared" si="27"/>
        <v>38.76</v>
      </c>
      <c r="J42" s="74">
        <f t="shared" si="27"/>
        <v>37.74</v>
      </c>
      <c r="K42" s="74">
        <f t="shared" si="27"/>
        <v>36.72</v>
      </c>
      <c r="L42" s="74">
        <f t="shared" si="27"/>
        <v>27.54</v>
      </c>
      <c r="M42" s="74">
        <f t="shared" si="27"/>
        <v>21.42</v>
      </c>
      <c r="N42" s="74">
        <f t="shared" si="27"/>
        <v>18.36</v>
      </c>
      <c r="O42" s="75"/>
      <c r="P42" s="75"/>
      <c r="Q42" s="76">
        <f>SUM(G42:P42)</f>
        <v>232.56</v>
      </c>
      <c r="R42" s="55"/>
      <c r="S42" s="33"/>
      <c r="U42">
        <v>204</v>
      </c>
      <c r="X42">
        <v>1</v>
      </c>
    </row>
    <row r="43" spans="1:24" ht="27.75" customHeight="1" x14ac:dyDescent="0.25">
      <c r="A43" s="33"/>
      <c r="B43" s="33"/>
      <c r="C43" s="33"/>
      <c r="D43" s="33"/>
      <c r="E43" s="136" t="s">
        <v>26</v>
      </c>
      <c r="F43" s="137"/>
      <c r="G43" s="105">
        <v>22</v>
      </c>
      <c r="H43" s="105">
        <v>29</v>
      </c>
      <c r="I43" s="105">
        <v>38</v>
      </c>
      <c r="J43" s="105">
        <v>37</v>
      </c>
      <c r="K43" s="105">
        <v>36</v>
      </c>
      <c r="L43" s="105">
        <v>27</v>
      </c>
      <c r="M43" s="105">
        <v>21</v>
      </c>
      <c r="N43" s="105">
        <v>18</v>
      </c>
      <c r="O43" s="66"/>
      <c r="P43" s="117"/>
      <c r="Q43" s="77">
        <f>SUM(G43:P43)</f>
        <v>228</v>
      </c>
      <c r="R43" s="55"/>
      <c r="S43" s="33"/>
      <c r="U43">
        <v>202</v>
      </c>
    </row>
    <row r="44" spans="1:24" ht="27.75" customHeight="1" x14ac:dyDescent="0.25">
      <c r="A44" s="33"/>
      <c r="B44" s="33"/>
      <c r="C44" s="33"/>
      <c r="D44" s="33"/>
      <c r="E44" s="138" t="s">
        <v>27</v>
      </c>
      <c r="F44" s="139"/>
      <c r="G44" s="117">
        <f t="shared" ref="G44:N44" si="28">G38</f>
        <v>22</v>
      </c>
      <c r="H44" s="117">
        <f t="shared" si="28"/>
        <v>29</v>
      </c>
      <c r="I44" s="117">
        <f t="shared" si="28"/>
        <v>38</v>
      </c>
      <c r="J44" s="117">
        <f t="shared" si="28"/>
        <v>37</v>
      </c>
      <c r="K44" s="117">
        <f t="shared" si="28"/>
        <v>36</v>
      </c>
      <c r="L44" s="117">
        <f t="shared" si="28"/>
        <v>27</v>
      </c>
      <c r="M44" s="117">
        <f t="shared" si="28"/>
        <v>21</v>
      </c>
      <c r="N44" s="117">
        <f t="shared" si="28"/>
        <v>18</v>
      </c>
      <c r="O44" s="78"/>
      <c r="P44" s="72"/>
      <c r="Q44" s="79">
        <f>SUM(G44:P44)</f>
        <v>228</v>
      </c>
      <c r="R44" s="55"/>
      <c r="S44" s="33"/>
      <c r="U44">
        <v>154</v>
      </c>
    </row>
    <row r="45" spans="1:24" ht="27.75" customHeight="1" x14ac:dyDescent="0.25">
      <c r="A45" s="33"/>
      <c r="B45" s="33"/>
      <c r="C45" s="33"/>
      <c r="D45" s="33"/>
      <c r="E45" s="138" t="s">
        <v>28</v>
      </c>
      <c r="F45" s="139"/>
      <c r="G45" s="80">
        <f t="shared" ref="G45:N45" si="29">G44-G43</f>
        <v>0</v>
      </c>
      <c r="H45" s="80">
        <f t="shared" si="29"/>
        <v>0</v>
      </c>
      <c r="I45" s="80">
        <f t="shared" si="29"/>
        <v>0</v>
      </c>
      <c r="J45" s="80">
        <f t="shared" si="29"/>
        <v>0</v>
      </c>
      <c r="K45" s="80">
        <f t="shared" si="29"/>
        <v>0</v>
      </c>
      <c r="L45" s="80">
        <f t="shared" si="29"/>
        <v>0</v>
      </c>
      <c r="M45" s="80">
        <f t="shared" si="29"/>
        <v>0</v>
      </c>
      <c r="N45" s="80">
        <f t="shared" si="29"/>
        <v>0</v>
      </c>
      <c r="O45" s="80"/>
      <c r="P45" s="72"/>
      <c r="Q45" s="79">
        <f>SUM(G45:P45)</f>
        <v>0</v>
      </c>
      <c r="R45" s="55"/>
      <c r="S45" s="33"/>
      <c r="U45">
        <v>141</v>
      </c>
    </row>
    <row r="46" spans="1:24" ht="27.75" customHeight="1" thickBot="1" x14ac:dyDescent="0.3">
      <c r="A46" s="33"/>
      <c r="B46" s="33"/>
      <c r="C46" s="33"/>
      <c r="D46" s="33"/>
      <c r="E46" s="130" t="s">
        <v>29</v>
      </c>
      <c r="F46" s="131"/>
      <c r="G46" s="100">
        <f t="shared" ref="G46:N46" si="30">G45/G43*100</f>
        <v>0</v>
      </c>
      <c r="H46" s="100">
        <f t="shared" si="30"/>
        <v>0</v>
      </c>
      <c r="I46" s="100">
        <f t="shared" si="30"/>
        <v>0</v>
      </c>
      <c r="J46" s="81">
        <f t="shared" si="30"/>
        <v>0</v>
      </c>
      <c r="K46" s="81">
        <f t="shared" si="30"/>
        <v>0</v>
      </c>
      <c r="L46" s="81">
        <f t="shared" si="30"/>
        <v>0</v>
      </c>
      <c r="M46" s="81">
        <f t="shared" si="30"/>
        <v>0</v>
      </c>
      <c r="N46" s="81">
        <f t="shared" si="30"/>
        <v>0</v>
      </c>
      <c r="O46" s="82"/>
      <c r="P46" s="83"/>
      <c r="Q46" s="84">
        <f>Q45/Q43*100</f>
        <v>0</v>
      </c>
      <c r="R46" s="55"/>
      <c r="S46" s="33"/>
      <c r="U46">
        <v>128</v>
      </c>
    </row>
    <row r="47" spans="1:24" x14ac:dyDescent="0.2">
      <c r="U47">
        <v>107</v>
      </c>
    </row>
    <row r="48" spans="1:24" ht="18.75" customHeight="1" x14ac:dyDescent="0.2">
      <c r="A48" s="152" t="s">
        <v>0</v>
      </c>
      <c r="B48" s="152"/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/>
    </row>
    <row r="49" spans="1:22" ht="16.5" customHeight="1" x14ac:dyDescent="0.2">
      <c r="A49" s="152" t="s">
        <v>61</v>
      </c>
      <c r="B49" s="152"/>
      <c r="C49" s="152"/>
      <c r="D49" s="152"/>
      <c r="E49" s="152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/>
    </row>
    <row r="50" spans="1:22" ht="15.75" x14ac:dyDescent="0.25">
      <c r="A50" s="58" t="s">
        <v>1</v>
      </c>
      <c r="B50" s="58"/>
      <c r="C50" s="58"/>
      <c r="D50" s="58" t="s">
        <v>74</v>
      </c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/>
    </row>
    <row r="51" spans="1:22" ht="15.75" x14ac:dyDescent="0.25">
      <c r="A51" s="58" t="s">
        <v>2</v>
      </c>
      <c r="B51" s="58"/>
      <c r="C51" s="58"/>
      <c r="D51" s="104" t="s">
        <v>99</v>
      </c>
      <c r="E51" s="5"/>
      <c r="F51" s="5"/>
      <c r="G51" s="5"/>
      <c r="H51" s="5"/>
      <c r="I51" s="60"/>
      <c r="J51" s="5"/>
      <c r="K51" s="5"/>
      <c r="L51" s="5"/>
      <c r="M51" s="5"/>
      <c r="N51" s="55"/>
      <c r="O51" s="55"/>
      <c r="P51" s="55"/>
      <c r="Q51" s="55"/>
      <c r="R51" s="55"/>
      <c r="S51" s="5"/>
      <c r="T51"/>
    </row>
    <row r="52" spans="1:22" ht="15.75" x14ac:dyDescent="0.25">
      <c r="A52" s="58" t="s">
        <v>3</v>
      </c>
      <c r="B52" s="58"/>
      <c r="C52" s="58"/>
      <c r="D52" s="104" t="str">
        <f>+D10</f>
        <v>62049433</v>
      </c>
      <c r="E52" s="5"/>
      <c r="F52" s="5"/>
      <c r="G52" s="5"/>
      <c r="H52" s="5"/>
      <c r="I52" s="33"/>
      <c r="J52" s="33"/>
      <c r="K52" s="5"/>
      <c r="L52" s="5"/>
      <c r="M52" s="5"/>
      <c r="N52" s="5"/>
      <c r="O52" s="5"/>
      <c r="P52" s="5"/>
      <c r="Q52" s="5"/>
      <c r="R52" s="5"/>
      <c r="S52" s="33"/>
      <c r="T52"/>
    </row>
    <row r="53" spans="1:22" ht="15.75" x14ac:dyDescent="0.25">
      <c r="A53" s="58" t="s">
        <v>4</v>
      </c>
      <c r="B53" s="58"/>
      <c r="C53" s="58"/>
      <c r="D53" s="55">
        <f>Q82</f>
        <v>228</v>
      </c>
      <c r="E53" s="5" t="s">
        <v>5</v>
      </c>
      <c r="F53" s="5"/>
      <c r="G53" s="5"/>
      <c r="H53" s="5"/>
      <c r="I53" s="33"/>
      <c r="J53" s="33"/>
      <c r="K53" s="33"/>
      <c r="L53" s="33"/>
      <c r="M53" s="33"/>
      <c r="N53" s="5" t="s">
        <v>68</v>
      </c>
      <c r="O53" s="5"/>
      <c r="P53" s="5"/>
      <c r="Q53" s="144" t="str">
        <f>D52</f>
        <v>62049433</v>
      </c>
      <c r="R53" s="144"/>
      <c r="S53" s="33"/>
      <c r="T53"/>
    </row>
    <row r="54" spans="1:22" ht="15.75" x14ac:dyDescent="0.25">
      <c r="A54" s="58" t="s">
        <v>6</v>
      </c>
      <c r="B54" s="58"/>
      <c r="C54" s="58"/>
      <c r="D54" s="55">
        <f>Q77</f>
        <v>228</v>
      </c>
      <c r="E54" s="5" t="s">
        <v>5</v>
      </c>
      <c r="F54" s="5"/>
      <c r="G54" s="5"/>
      <c r="H54" s="5"/>
      <c r="I54" s="33"/>
      <c r="J54" s="33"/>
      <c r="K54" s="33"/>
      <c r="L54" s="33"/>
      <c r="M54" s="33"/>
      <c r="N54" s="5" t="s">
        <v>7</v>
      </c>
      <c r="O54" s="5"/>
      <c r="P54" s="5"/>
      <c r="Q54" s="145" t="str">
        <f>F60</f>
        <v>1188804004</v>
      </c>
      <c r="R54" s="145"/>
      <c r="S54" s="61"/>
      <c r="T54"/>
    </row>
    <row r="55" spans="1:22" ht="15.75" x14ac:dyDescent="0.25">
      <c r="A55" s="58" t="s">
        <v>8</v>
      </c>
      <c r="B55" s="58"/>
      <c r="C55" s="58"/>
      <c r="D55" s="55">
        <f>D54-D53</f>
        <v>0</v>
      </c>
      <c r="E55" s="5" t="s">
        <v>5</v>
      </c>
      <c r="F55" s="5"/>
      <c r="G55" s="5"/>
      <c r="H55" s="5"/>
      <c r="I55" s="33"/>
      <c r="J55" s="33"/>
      <c r="K55" s="33"/>
      <c r="L55" s="33"/>
      <c r="M55" s="33"/>
      <c r="N55" s="5" t="s">
        <v>89</v>
      </c>
      <c r="O55" s="5"/>
      <c r="P55" s="5"/>
      <c r="Q55" s="145" t="s">
        <v>63</v>
      </c>
      <c r="R55" s="145"/>
      <c r="S55" s="61"/>
      <c r="T55"/>
    </row>
    <row r="56" spans="1:22" ht="15.75" x14ac:dyDescent="0.25">
      <c r="A56" s="58" t="s">
        <v>9</v>
      </c>
      <c r="B56" s="58"/>
      <c r="C56" s="58"/>
      <c r="D56" s="55">
        <f>D77</f>
        <v>16</v>
      </c>
      <c r="E56" s="5" t="s">
        <v>10</v>
      </c>
      <c r="F56" s="5"/>
      <c r="G56" s="5"/>
      <c r="H56" s="5"/>
      <c r="I56" s="33"/>
      <c r="J56" s="33"/>
      <c r="K56" s="33"/>
      <c r="L56" s="33"/>
      <c r="M56" s="33"/>
      <c r="N56" s="5" t="s">
        <v>11</v>
      </c>
      <c r="O56" s="5"/>
      <c r="P56" s="5"/>
      <c r="Q56" s="62">
        <f>A60</f>
        <v>17</v>
      </c>
      <c r="R56" s="62" t="s">
        <v>65</v>
      </c>
      <c r="S56" s="63">
        <f>+D89</f>
        <v>32</v>
      </c>
      <c r="T56"/>
    </row>
    <row r="57" spans="1:22" ht="16.5" thickBot="1" x14ac:dyDescent="0.3">
      <c r="A57" s="146"/>
      <c r="B57" s="146"/>
      <c r="C57" s="146"/>
      <c r="D57" s="5"/>
      <c r="E57" s="64"/>
      <c r="F57" s="64"/>
      <c r="G57" s="103">
        <f t="shared" ref="G57:M57" si="31">+G84</f>
        <v>0</v>
      </c>
      <c r="H57" s="103">
        <f t="shared" si="31"/>
        <v>0</v>
      </c>
      <c r="I57" s="103">
        <f t="shared" si="31"/>
        <v>0</v>
      </c>
      <c r="J57" s="103">
        <f t="shared" si="31"/>
        <v>0</v>
      </c>
      <c r="K57" s="103">
        <f t="shared" si="31"/>
        <v>0</v>
      </c>
      <c r="L57" s="103">
        <f t="shared" si="31"/>
        <v>0</v>
      </c>
      <c r="M57" s="103">
        <f t="shared" si="31"/>
        <v>0</v>
      </c>
      <c r="N57" s="103">
        <f>+N84</f>
        <v>0</v>
      </c>
      <c r="O57" s="33"/>
      <c r="P57" s="33"/>
      <c r="Q57" s="33"/>
      <c r="R57" s="33"/>
      <c r="S57" s="33"/>
      <c r="T57"/>
    </row>
    <row r="58" spans="1:22" ht="19.5" customHeight="1" x14ac:dyDescent="0.2">
      <c r="A58" s="34" t="s">
        <v>13</v>
      </c>
      <c r="B58" s="35"/>
      <c r="C58" s="36" t="s">
        <v>13</v>
      </c>
      <c r="D58" s="147" t="s">
        <v>14</v>
      </c>
      <c r="E58" s="147" t="s">
        <v>15</v>
      </c>
      <c r="F58" s="147" t="s">
        <v>16</v>
      </c>
      <c r="G58" s="149" t="s">
        <v>17</v>
      </c>
      <c r="H58" s="150"/>
      <c r="I58" s="150"/>
      <c r="J58" s="150"/>
      <c r="K58" s="150"/>
      <c r="L58" s="150"/>
      <c r="M58" s="150"/>
      <c r="N58" s="151"/>
      <c r="O58" s="37"/>
      <c r="P58" s="147" t="s">
        <v>18</v>
      </c>
      <c r="Q58" s="147" t="s">
        <v>19</v>
      </c>
      <c r="R58" s="147" t="s">
        <v>20</v>
      </c>
      <c r="S58" s="140" t="s">
        <v>21</v>
      </c>
      <c r="T58"/>
    </row>
    <row r="59" spans="1:22" ht="28.5" customHeight="1" thickBot="1" x14ac:dyDescent="0.25">
      <c r="A59" s="38" t="s">
        <v>22</v>
      </c>
      <c r="B59" s="39"/>
      <c r="C59" s="40" t="s">
        <v>64</v>
      </c>
      <c r="D59" s="148"/>
      <c r="E59" s="148"/>
      <c r="F59" s="148"/>
      <c r="G59" s="41" t="str">
        <f t="shared" ref="G59:N59" si="32">+G20</f>
        <v>25 R</v>
      </c>
      <c r="H59" s="41" t="str">
        <f t="shared" si="32"/>
        <v>26 R</v>
      </c>
      <c r="I59" s="41" t="str">
        <f t="shared" si="32"/>
        <v>27 R</v>
      </c>
      <c r="J59" s="41" t="str">
        <f t="shared" si="32"/>
        <v>28 R</v>
      </c>
      <c r="K59" s="41" t="str">
        <f t="shared" si="32"/>
        <v>29 R</v>
      </c>
      <c r="L59" s="41" t="str">
        <f t="shared" si="32"/>
        <v>30 R</v>
      </c>
      <c r="M59" s="41" t="str">
        <f t="shared" si="32"/>
        <v>31 R</v>
      </c>
      <c r="N59" s="41" t="str">
        <f t="shared" si="32"/>
        <v>32 R</v>
      </c>
      <c r="O59" s="42"/>
      <c r="P59" s="148"/>
      <c r="Q59" s="148"/>
      <c r="R59" s="148"/>
      <c r="S59" s="141"/>
      <c r="T59"/>
    </row>
    <row r="60" spans="1:22" ht="26.25" customHeight="1" x14ac:dyDescent="0.2">
      <c r="A60" s="43">
        <f>B36+1</f>
        <v>17</v>
      </c>
      <c r="B60" s="44">
        <f t="shared" ref="B60:B61" si="33">D60+A60-1</f>
        <v>17</v>
      </c>
      <c r="C60" s="94" t="s">
        <v>88</v>
      </c>
      <c r="D60" s="45">
        <v>1</v>
      </c>
      <c r="E60" s="142" t="s">
        <v>95</v>
      </c>
      <c r="F60" s="114" t="str">
        <f>+D51</f>
        <v>1188804004</v>
      </c>
      <c r="G60" s="46">
        <v>22</v>
      </c>
      <c r="H60" s="46"/>
      <c r="I60" s="46"/>
      <c r="J60" s="47"/>
      <c r="K60" s="46"/>
      <c r="L60" s="46"/>
      <c r="M60" s="46"/>
      <c r="N60" s="46"/>
      <c r="O60" s="46"/>
      <c r="P60" s="48">
        <f>SUM(G60:N60)</f>
        <v>22</v>
      </c>
      <c r="Q60" s="46">
        <f>P60*D60</f>
        <v>22</v>
      </c>
      <c r="R60" s="49">
        <f>S60+0.91</f>
        <v>17.41</v>
      </c>
      <c r="S60" s="50">
        <f>+G6*P60</f>
        <v>16.5</v>
      </c>
      <c r="T60" s="113">
        <f>+R60*D60</f>
        <v>17.41</v>
      </c>
    </row>
    <row r="61" spans="1:22" ht="26.25" customHeight="1" x14ac:dyDescent="0.2">
      <c r="A61" s="43">
        <f>+B60+1</f>
        <v>18</v>
      </c>
      <c r="B61" s="44">
        <f t="shared" si="33"/>
        <v>18</v>
      </c>
      <c r="C61" s="94" t="s">
        <v>87</v>
      </c>
      <c r="D61" s="45">
        <v>1</v>
      </c>
      <c r="E61" s="143"/>
      <c r="F61" s="114"/>
      <c r="G61" s="46">
        <v>0</v>
      </c>
      <c r="H61" s="46"/>
      <c r="I61" s="46"/>
      <c r="J61" s="47"/>
      <c r="K61" s="46"/>
      <c r="L61" s="46"/>
      <c r="M61" s="46"/>
      <c r="N61" s="46"/>
      <c r="O61" s="46"/>
      <c r="P61" s="48">
        <f>SUM(G61:N61)</f>
        <v>0</v>
      </c>
      <c r="Q61" s="46">
        <f>P61*D61</f>
        <v>0</v>
      </c>
      <c r="R61" s="49">
        <f>S61+0.72</f>
        <v>0.72</v>
      </c>
      <c r="S61" s="50">
        <f>+S60/P60*P61</f>
        <v>0</v>
      </c>
      <c r="T61" s="113">
        <f>+R61*D61</f>
        <v>0.72</v>
      </c>
      <c r="V61">
        <v>1</v>
      </c>
    </row>
    <row r="62" spans="1:22" ht="26.25" customHeight="1" x14ac:dyDescent="0.2">
      <c r="A62" s="43">
        <f>+B61+1</f>
        <v>19</v>
      </c>
      <c r="B62" s="44">
        <f t="shared" ref="B62" si="34">D62+A62-1</f>
        <v>19</v>
      </c>
      <c r="C62" s="94" t="s">
        <v>88</v>
      </c>
      <c r="D62" s="45">
        <v>1</v>
      </c>
      <c r="E62" s="117"/>
      <c r="F62" s="114"/>
      <c r="G62" s="46"/>
      <c r="H62" s="46">
        <v>24</v>
      </c>
      <c r="I62" s="46"/>
      <c r="J62" s="47"/>
      <c r="K62" s="46"/>
      <c r="L62" s="46"/>
      <c r="M62" s="46"/>
      <c r="N62" s="46"/>
      <c r="O62" s="46"/>
      <c r="P62" s="48">
        <f>SUM(G62:N62)</f>
        <v>24</v>
      </c>
      <c r="Q62" s="46">
        <f>P62*D62</f>
        <v>24</v>
      </c>
      <c r="R62" s="49">
        <f t="shared" ref="R62:R74" si="35">S62+0.91</f>
        <v>19.39</v>
      </c>
      <c r="S62" s="50">
        <f>+H6*P62</f>
        <v>18.48</v>
      </c>
      <c r="T62" s="113">
        <f t="shared" ref="T62:T68" si="36">+R62*D62</f>
        <v>19.39</v>
      </c>
      <c r="V62">
        <v>1</v>
      </c>
    </row>
    <row r="63" spans="1:22" ht="26.25" customHeight="1" x14ac:dyDescent="0.2">
      <c r="A63" s="43">
        <f t="shared" ref="A63:A71" si="37">+B62+1</f>
        <v>20</v>
      </c>
      <c r="B63" s="44">
        <f t="shared" ref="B63:B68" si="38">D63+A63-1</f>
        <v>20</v>
      </c>
      <c r="C63" s="94" t="s">
        <v>88</v>
      </c>
      <c r="D63" s="45">
        <v>1</v>
      </c>
      <c r="E63" s="117"/>
      <c r="F63" s="114"/>
      <c r="G63" s="46"/>
      <c r="H63" s="46">
        <v>5</v>
      </c>
      <c r="I63" s="46"/>
      <c r="J63" s="47"/>
      <c r="K63" s="46"/>
      <c r="L63" s="46"/>
      <c r="M63" s="46"/>
      <c r="N63" s="46"/>
      <c r="O63" s="46"/>
      <c r="P63" s="48">
        <f t="shared" ref="P63:P74" si="39">SUM(G63:N63)</f>
        <v>5</v>
      </c>
      <c r="Q63" s="46">
        <f t="shared" ref="Q63:Q74" si="40">P63*D63</f>
        <v>5</v>
      </c>
      <c r="R63" s="49">
        <f t="shared" si="35"/>
        <v>4.76</v>
      </c>
      <c r="S63" s="50">
        <f>+S62/P62*P63</f>
        <v>3.85</v>
      </c>
      <c r="T63" s="113">
        <f t="shared" si="36"/>
        <v>4.76</v>
      </c>
    </row>
    <row r="64" spans="1:22" ht="26.25" customHeight="1" x14ac:dyDescent="0.2">
      <c r="A64" s="43">
        <f t="shared" si="37"/>
        <v>21</v>
      </c>
      <c r="B64" s="44">
        <f t="shared" si="38"/>
        <v>21</v>
      </c>
      <c r="C64" s="94" t="s">
        <v>88</v>
      </c>
      <c r="D64" s="45">
        <v>1</v>
      </c>
      <c r="E64" s="117"/>
      <c r="F64" s="114"/>
      <c r="G64" s="46"/>
      <c r="H64" s="46"/>
      <c r="I64" s="46">
        <v>24</v>
      </c>
      <c r="J64" s="47"/>
      <c r="K64" s="46"/>
      <c r="L64" s="46"/>
      <c r="M64" s="46"/>
      <c r="N64" s="46"/>
      <c r="O64" s="46"/>
      <c r="P64" s="48">
        <f t="shared" si="39"/>
        <v>24</v>
      </c>
      <c r="Q64" s="46">
        <f t="shared" si="40"/>
        <v>24</v>
      </c>
      <c r="R64" s="49">
        <f t="shared" si="35"/>
        <v>19.87</v>
      </c>
      <c r="S64" s="50">
        <f>+I6*P64</f>
        <v>18.96</v>
      </c>
      <c r="T64" s="113">
        <f t="shared" si="36"/>
        <v>19.87</v>
      </c>
    </row>
    <row r="65" spans="1:21" ht="26.25" customHeight="1" x14ac:dyDescent="0.2">
      <c r="A65" s="43">
        <f t="shared" si="37"/>
        <v>22</v>
      </c>
      <c r="B65" s="44">
        <f t="shared" si="38"/>
        <v>22</v>
      </c>
      <c r="C65" s="94" t="s">
        <v>92</v>
      </c>
      <c r="D65" s="45">
        <v>1</v>
      </c>
      <c r="E65" s="117"/>
      <c r="F65" s="114"/>
      <c r="G65" s="46"/>
      <c r="H65" s="46"/>
      <c r="I65" s="46">
        <v>14</v>
      </c>
      <c r="J65" s="47"/>
      <c r="K65" s="46"/>
      <c r="L65" s="46"/>
      <c r="M65" s="46"/>
      <c r="N65" s="46"/>
      <c r="O65" s="46"/>
      <c r="P65" s="48">
        <f t="shared" ref="P65:P71" si="41">SUM(G65:N65)</f>
        <v>14</v>
      </c>
      <c r="Q65" s="46">
        <f t="shared" ref="Q65:Q71" si="42">P65*D65</f>
        <v>14</v>
      </c>
      <c r="R65" s="49">
        <f>S65+0.41</f>
        <v>11.47</v>
      </c>
      <c r="S65" s="50">
        <f>+S64/P64*P65</f>
        <v>11.06</v>
      </c>
      <c r="T65" s="113">
        <f t="shared" si="36"/>
        <v>11.47</v>
      </c>
    </row>
    <row r="66" spans="1:21" ht="26.25" customHeight="1" x14ac:dyDescent="0.2">
      <c r="A66" s="43">
        <f t="shared" si="37"/>
        <v>23</v>
      </c>
      <c r="B66" s="44">
        <f t="shared" si="38"/>
        <v>23</v>
      </c>
      <c r="C66" s="94" t="s">
        <v>88</v>
      </c>
      <c r="D66" s="45">
        <v>1</v>
      </c>
      <c r="E66" s="117"/>
      <c r="F66" s="114"/>
      <c r="G66" s="46"/>
      <c r="H66" s="46"/>
      <c r="I66" s="46"/>
      <c r="J66" s="47">
        <v>24</v>
      </c>
      <c r="K66" s="46"/>
      <c r="L66" s="46"/>
      <c r="M66" s="46"/>
      <c r="N66" s="46"/>
      <c r="O66" s="46"/>
      <c r="P66" s="48">
        <f t="shared" si="41"/>
        <v>24</v>
      </c>
      <c r="Q66" s="46">
        <f t="shared" si="42"/>
        <v>24</v>
      </c>
      <c r="R66" s="49">
        <f t="shared" si="35"/>
        <v>20.83</v>
      </c>
      <c r="S66" s="50">
        <f>+J6*P66</f>
        <v>19.919999999999998</v>
      </c>
      <c r="T66" s="113">
        <f t="shared" si="36"/>
        <v>20.83</v>
      </c>
    </row>
    <row r="67" spans="1:21" ht="26.25" customHeight="1" x14ac:dyDescent="0.2">
      <c r="A67" s="43">
        <f t="shared" si="37"/>
        <v>24</v>
      </c>
      <c r="B67" s="44">
        <f t="shared" si="38"/>
        <v>24</v>
      </c>
      <c r="C67" s="94" t="s">
        <v>87</v>
      </c>
      <c r="D67" s="45">
        <v>1</v>
      </c>
      <c r="E67" s="117"/>
      <c r="F67" s="114"/>
      <c r="G67" s="46"/>
      <c r="H67" s="46"/>
      <c r="I67" s="46"/>
      <c r="J67" s="47">
        <v>13</v>
      </c>
      <c r="K67" s="46"/>
      <c r="L67" s="46"/>
      <c r="M67" s="46"/>
      <c r="N67" s="46"/>
      <c r="O67" s="46"/>
      <c r="P67" s="48">
        <f t="shared" si="41"/>
        <v>13</v>
      </c>
      <c r="Q67" s="46">
        <f t="shared" si="42"/>
        <v>13</v>
      </c>
      <c r="R67" s="49">
        <f>S67+0.72</f>
        <v>11.51</v>
      </c>
      <c r="S67" s="50">
        <f>+S66/P66*P67</f>
        <v>10.79</v>
      </c>
      <c r="T67" s="113">
        <f t="shared" si="36"/>
        <v>11.51</v>
      </c>
    </row>
    <row r="68" spans="1:21" ht="26.25" customHeight="1" x14ac:dyDescent="0.2">
      <c r="A68" s="43">
        <f t="shared" si="37"/>
        <v>25</v>
      </c>
      <c r="B68" s="44">
        <f t="shared" si="38"/>
        <v>25</v>
      </c>
      <c r="C68" s="94" t="s">
        <v>92</v>
      </c>
      <c r="D68" s="45">
        <v>1</v>
      </c>
      <c r="E68" s="117"/>
      <c r="F68" s="114"/>
      <c r="G68" s="46"/>
      <c r="H68" s="46"/>
      <c r="I68" s="46"/>
      <c r="J68" s="47"/>
      <c r="K68" s="46">
        <v>22</v>
      </c>
      <c r="L68" s="46"/>
      <c r="M68" s="46"/>
      <c r="N68" s="46"/>
      <c r="O68" s="46"/>
      <c r="P68" s="48">
        <f t="shared" ref="P68" si="43">SUM(G68:N68)</f>
        <v>22</v>
      </c>
      <c r="Q68" s="46">
        <f t="shared" ref="Q68" si="44">P68*D68</f>
        <v>22</v>
      </c>
      <c r="R68" s="49">
        <f>S68+0.41</f>
        <v>18.669999999999998</v>
      </c>
      <c r="S68" s="50">
        <f>+S67/P67*P68</f>
        <v>18.259999999999998</v>
      </c>
      <c r="T68" s="113">
        <f t="shared" si="36"/>
        <v>18.669999999999998</v>
      </c>
    </row>
    <row r="69" spans="1:21" ht="26.25" customHeight="1" x14ac:dyDescent="0.2">
      <c r="A69" s="43">
        <f t="shared" si="37"/>
        <v>26</v>
      </c>
      <c r="B69" s="44">
        <f t="shared" ref="B69:B71" si="45">D69+A69-1</f>
        <v>26</v>
      </c>
      <c r="C69" s="94" t="s">
        <v>88</v>
      </c>
      <c r="D69" s="45">
        <v>1</v>
      </c>
      <c r="E69" s="117"/>
      <c r="F69" s="114"/>
      <c r="G69" s="46"/>
      <c r="H69" s="46"/>
      <c r="I69" s="46"/>
      <c r="J69" s="47"/>
      <c r="K69" s="46">
        <v>14</v>
      </c>
      <c r="L69" s="46"/>
      <c r="M69" s="46"/>
      <c r="N69" s="46"/>
      <c r="O69" s="46"/>
      <c r="P69" s="48">
        <f t="shared" si="41"/>
        <v>14</v>
      </c>
      <c r="Q69" s="46">
        <f t="shared" si="42"/>
        <v>14</v>
      </c>
      <c r="R69" s="49">
        <f t="shared" si="35"/>
        <v>12.95</v>
      </c>
      <c r="S69" s="50">
        <f>+K6*P69</f>
        <v>12.04</v>
      </c>
      <c r="T69" s="113">
        <f t="shared" ref="T69:T75" si="46">+R69*D69</f>
        <v>12.95</v>
      </c>
    </row>
    <row r="70" spans="1:21" ht="26.25" customHeight="1" x14ac:dyDescent="0.2">
      <c r="A70" s="43">
        <f t="shared" si="37"/>
        <v>27</v>
      </c>
      <c r="B70" s="44">
        <f t="shared" si="45"/>
        <v>27</v>
      </c>
      <c r="C70" s="94" t="s">
        <v>88</v>
      </c>
      <c r="D70" s="45">
        <v>1</v>
      </c>
      <c r="E70" s="117"/>
      <c r="F70" s="114"/>
      <c r="G70" s="46"/>
      <c r="H70" s="46"/>
      <c r="I70" s="46"/>
      <c r="J70" s="47"/>
      <c r="K70" s="46"/>
      <c r="L70" s="46">
        <v>22</v>
      </c>
      <c r="M70" s="46"/>
      <c r="N70" s="46"/>
      <c r="O70" s="46"/>
      <c r="P70" s="48">
        <f t="shared" si="41"/>
        <v>22</v>
      </c>
      <c r="Q70" s="46">
        <f t="shared" si="42"/>
        <v>22</v>
      </c>
      <c r="R70" s="49">
        <f t="shared" si="35"/>
        <v>20.490000000000002</v>
      </c>
      <c r="S70" s="50">
        <f>+L6*P70</f>
        <v>19.580000000000002</v>
      </c>
      <c r="T70" s="113">
        <f t="shared" si="46"/>
        <v>20.490000000000002</v>
      </c>
    </row>
    <row r="71" spans="1:21" ht="26.25" customHeight="1" x14ac:dyDescent="0.2">
      <c r="A71" s="43">
        <f t="shared" si="37"/>
        <v>28</v>
      </c>
      <c r="B71" s="44">
        <f t="shared" si="45"/>
        <v>28</v>
      </c>
      <c r="C71" s="94" t="s">
        <v>92</v>
      </c>
      <c r="D71" s="45">
        <v>1</v>
      </c>
      <c r="E71" s="117"/>
      <c r="F71" s="114"/>
      <c r="G71" s="46"/>
      <c r="H71" s="46"/>
      <c r="I71" s="46"/>
      <c r="J71" s="47"/>
      <c r="K71" s="46"/>
      <c r="L71" s="46">
        <v>5</v>
      </c>
      <c r="M71" s="46"/>
      <c r="N71" s="46"/>
      <c r="O71" s="46"/>
      <c r="P71" s="48">
        <f t="shared" si="41"/>
        <v>5</v>
      </c>
      <c r="Q71" s="46">
        <f t="shared" si="42"/>
        <v>5</v>
      </c>
      <c r="R71" s="49">
        <f>S71+0.41</f>
        <v>4.8600000000000012</v>
      </c>
      <c r="S71" s="50">
        <f>+S70/P70*P71</f>
        <v>4.4500000000000011</v>
      </c>
      <c r="T71" s="113">
        <f t="shared" si="46"/>
        <v>4.8600000000000012</v>
      </c>
    </row>
    <row r="72" spans="1:21" ht="26.25" customHeight="1" x14ac:dyDescent="0.2">
      <c r="A72" s="43">
        <f t="shared" ref="A72:A75" si="47">+B71+1</f>
        <v>29</v>
      </c>
      <c r="B72" s="44">
        <f t="shared" ref="B72:B75" si="48">D72+A72-1</f>
        <v>29</v>
      </c>
      <c r="C72" s="94" t="s">
        <v>88</v>
      </c>
      <c r="D72" s="45">
        <v>1</v>
      </c>
      <c r="E72" s="117"/>
      <c r="F72" s="114"/>
      <c r="G72" s="46"/>
      <c r="H72" s="46"/>
      <c r="I72" s="46"/>
      <c r="J72" s="47"/>
      <c r="K72" s="46"/>
      <c r="L72" s="46"/>
      <c r="M72" s="46">
        <v>21</v>
      </c>
      <c r="N72" s="46"/>
      <c r="O72" s="46"/>
      <c r="P72" s="48">
        <f t="shared" si="39"/>
        <v>21</v>
      </c>
      <c r="Q72" s="46">
        <f t="shared" si="40"/>
        <v>21</v>
      </c>
      <c r="R72" s="49">
        <f t="shared" si="35"/>
        <v>20.23</v>
      </c>
      <c r="S72" s="50">
        <f>+M6*P72</f>
        <v>19.32</v>
      </c>
      <c r="T72" s="113">
        <f t="shared" si="46"/>
        <v>20.23</v>
      </c>
    </row>
    <row r="73" spans="1:21" ht="26.25" customHeight="1" x14ac:dyDescent="0.2">
      <c r="A73" s="43">
        <f t="shared" si="47"/>
        <v>30</v>
      </c>
      <c r="B73" s="44">
        <f t="shared" si="48"/>
        <v>30</v>
      </c>
      <c r="C73" s="94" t="s">
        <v>87</v>
      </c>
      <c r="D73" s="45">
        <v>1</v>
      </c>
      <c r="E73" s="117"/>
      <c r="F73" s="114"/>
      <c r="G73" s="46"/>
      <c r="H73" s="46"/>
      <c r="I73" s="46"/>
      <c r="J73" s="47"/>
      <c r="K73" s="46"/>
      <c r="L73" s="46"/>
      <c r="M73" s="46">
        <v>0</v>
      </c>
      <c r="N73" s="46"/>
      <c r="O73" s="46"/>
      <c r="P73" s="48">
        <f t="shared" si="39"/>
        <v>0</v>
      </c>
      <c r="Q73" s="46">
        <f t="shared" si="40"/>
        <v>0</v>
      </c>
      <c r="R73" s="49">
        <f>S73+0.72</f>
        <v>0.72</v>
      </c>
      <c r="S73" s="50">
        <f>+S72/P72*P73</f>
        <v>0</v>
      </c>
      <c r="T73" s="113">
        <f t="shared" si="46"/>
        <v>0.72</v>
      </c>
    </row>
    <row r="74" spans="1:21" ht="26.25" customHeight="1" x14ac:dyDescent="0.2">
      <c r="A74" s="43">
        <f t="shared" si="47"/>
        <v>31</v>
      </c>
      <c r="B74" s="44">
        <f t="shared" si="48"/>
        <v>31</v>
      </c>
      <c r="C74" s="94" t="s">
        <v>88</v>
      </c>
      <c r="D74" s="45">
        <v>1</v>
      </c>
      <c r="E74" s="117"/>
      <c r="F74" s="114"/>
      <c r="G74" s="46"/>
      <c r="H74" s="46"/>
      <c r="I74" s="46"/>
      <c r="J74" s="47"/>
      <c r="K74" s="46"/>
      <c r="L74" s="46"/>
      <c r="M74" s="46"/>
      <c r="N74" s="46">
        <v>18</v>
      </c>
      <c r="O74" s="46"/>
      <c r="P74" s="48">
        <f t="shared" si="39"/>
        <v>18</v>
      </c>
      <c r="Q74" s="46">
        <f t="shared" si="40"/>
        <v>18</v>
      </c>
      <c r="R74" s="49">
        <f t="shared" si="35"/>
        <v>17.829999999999998</v>
      </c>
      <c r="S74" s="50">
        <f>+N6*P74</f>
        <v>16.919999999999998</v>
      </c>
      <c r="T74" s="113">
        <f t="shared" si="46"/>
        <v>17.829999999999998</v>
      </c>
    </row>
    <row r="75" spans="1:21" ht="26.25" customHeight="1" x14ac:dyDescent="0.2">
      <c r="A75" s="43">
        <f t="shared" si="47"/>
        <v>32</v>
      </c>
      <c r="B75" s="44">
        <f t="shared" si="48"/>
        <v>32</v>
      </c>
      <c r="C75" s="94" t="s">
        <v>87</v>
      </c>
      <c r="D75" s="45">
        <v>1</v>
      </c>
      <c r="E75" s="117"/>
      <c r="F75" s="114"/>
      <c r="G75" s="46"/>
      <c r="H75" s="46"/>
      <c r="I75" s="46"/>
      <c r="J75" s="47"/>
      <c r="K75" s="46"/>
      <c r="L75" s="46"/>
      <c r="M75" s="46"/>
      <c r="N75" s="46">
        <v>0</v>
      </c>
      <c r="O75" s="46"/>
      <c r="P75" s="48">
        <f t="shared" ref="P75" si="49">SUM(G75:N75)</f>
        <v>0</v>
      </c>
      <c r="Q75" s="46">
        <f t="shared" ref="Q75" si="50">P75*D75</f>
        <v>0</v>
      </c>
      <c r="R75" s="49">
        <f>S75+0.72</f>
        <v>0.72</v>
      </c>
      <c r="S75" s="50">
        <f>+S74/P74*P75</f>
        <v>0</v>
      </c>
      <c r="T75" s="113">
        <f t="shared" si="46"/>
        <v>0.72</v>
      </c>
    </row>
    <row r="76" spans="1:21" ht="19.5" customHeight="1" thickBot="1" x14ac:dyDescent="0.25">
      <c r="A76" s="69"/>
      <c r="B76" s="70"/>
      <c r="C76" s="65"/>
      <c r="D76" s="45"/>
      <c r="E76" s="71"/>
      <c r="F76" s="67"/>
      <c r="G76" s="68"/>
      <c r="H76" s="68"/>
      <c r="I76" s="68"/>
      <c r="J76" s="68"/>
      <c r="K76" s="68"/>
      <c r="L76" s="68"/>
      <c r="M76" s="68"/>
      <c r="N76" s="68"/>
      <c r="O76" s="46"/>
      <c r="P76" s="48"/>
      <c r="Q76" s="46"/>
      <c r="R76" s="49"/>
      <c r="S76" s="50"/>
    </row>
    <row r="77" spans="1:21" ht="26.25" customHeight="1" thickBot="1" x14ac:dyDescent="0.25">
      <c r="A77" s="132" t="s">
        <v>23</v>
      </c>
      <c r="B77" s="133"/>
      <c r="C77" s="135"/>
      <c r="D77" s="51">
        <f>SUM(D60:D76)</f>
        <v>16</v>
      </c>
      <c r="E77" s="51" t="s">
        <v>10</v>
      </c>
      <c r="F77" s="52"/>
      <c r="G77" s="51">
        <f>+Q60+Q61</f>
        <v>22</v>
      </c>
      <c r="H77" s="51">
        <f>+Q62+Q63</f>
        <v>29</v>
      </c>
      <c r="I77" s="51">
        <f>+Q64+Q65</f>
        <v>38</v>
      </c>
      <c r="J77" s="51">
        <f>Q66+Q67</f>
        <v>37</v>
      </c>
      <c r="K77" s="51">
        <f>Q68+Q69</f>
        <v>36</v>
      </c>
      <c r="L77" s="51">
        <f>+Q70+Q71</f>
        <v>27</v>
      </c>
      <c r="M77" s="51">
        <f>Q72+Q73</f>
        <v>21</v>
      </c>
      <c r="N77" s="51">
        <f>Q74+Q75</f>
        <v>18</v>
      </c>
      <c r="O77" s="51"/>
      <c r="P77" s="51"/>
      <c r="Q77" s="51">
        <f>SUM(Q60:Q76)</f>
        <v>228</v>
      </c>
      <c r="R77" s="53">
        <f>SUM(R60:R76)</f>
        <v>202.42999999999998</v>
      </c>
      <c r="S77" s="54"/>
      <c r="T77" s="113">
        <f>SUM(T60:T76)</f>
        <v>202.42999999999998</v>
      </c>
    </row>
    <row r="78" spans="1:21" ht="29.25" customHeight="1" thickBot="1" x14ac:dyDescent="0.3">
      <c r="A78" s="33"/>
      <c r="B78" s="33"/>
      <c r="C78" s="33"/>
      <c r="D78" s="33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7"/>
      <c r="R78" s="55"/>
      <c r="S78" s="33"/>
    </row>
    <row r="79" spans="1:21" ht="30.75" customHeight="1" thickBot="1" x14ac:dyDescent="0.3">
      <c r="A79" s="33"/>
      <c r="B79" s="33"/>
      <c r="C79" s="33"/>
      <c r="D79" s="33">
        <f>D77</f>
        <v>16</v>
      </c>
      <c r="E79" s="132" t="s">
        <v>24</v>
      </c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4"/>
      <c r="R79" s="55"/>
      <c r="S79" s="33"/>
      <c r="T79" s="113"/>
      <c r="U79" s="2">
        <v>124</v>
      </c>
    </row>
    <row r="80" spans="1:21" ht="29.25" customHeight="1" thickBot="1" x14ac:dyDescent="0.3">
      <c r="A80" s="33"/>
      <c r="B80" s="33"/>
      <c r="C80" s="33"/>
      <c r="D80" s="33"/>
      <c r="E80" s="132" t="s">
        <v>17</v>
      </c>
      <c r="F80" s="135"/>
      <c r="G80" s="41" t="str">
        <f t="shared" ref="G80:N80" si="51">G59</f>
        <v>25 R</v>
      </c>
      <c r="H80" s="41" t="str">
        <f t="shared" si="51"/>
        <v>26 R</v>
      </c>
      <c r="I80" s="41" t="str">
        <f t="shared" si="51"/>
        <v>27 R</v>
      </c>
      <c r="J80" s="41" t="str">
        <f t="shared" si="51"/>
        <v>28 R</v>
      </c>
      <c r="K80" s="41" t="str">
        <f t="shared" si="51"/>
        <v>29 R</v>
      </c>
      <c r="L80" s="41" t="str">
        <f t="shared" si="51"/>
        <v>30 R</v>
      </c>
      <c r="M80" s="41" t="str">
        <f t="shared" si="51"/>
        <v>31 R</v>
      </c>
      <c r="N80" s="41" t="str">
        <f t="shared" si="51"/>
        <v>32 R</v>
      </c>
      <c r="O80" s="73"/>
      <c r="P80" s="73"/>
      <c r="Q80" s="54" t="s">
        <v>23</v>
      </c>
      <c r="R80" s="55"/>
      <c r="S80" s="33"/>
      <c r="U80" s="2">
        <v>159</v>
      </c>
    </row>
    <row r="81" spans="1:21" ht="27.75" customHeight="1" x14ac:dyDescent="0.25">
      <c r="A81" s="33"/>
      <c r="B81" s="33"/>
      <c r="C81" s="33"/>
      <c r="D81" s="33"/>
      <c r="E81" s="136" t="s">
        <v>25</v>
      </c>
      <c r="F81" s="137"/>
      <c r="G81" s="74">
        <f>G82*2%+G82</f>
        <v>22.44</v>
      </c>
      <c r="H81" s="74">
        <f t="shared" ref="H81:N81" si="52">H82*2%+H82</f>
        <v>29.58</v>
      </c>
      <c r="I81" s="74">
        <f t="shared" si="52"/>
        <v>38.76</v>
      </c>
      <c r="J81" s="74">
        <f t="shared" si="52"/>
        <v>37.74</v>
      </c>
      <c r="K81" s="74">
        <f t="shared" si="52"/>
        <v>36.72</v>
      </c>
      <c r="L81" s="74">
        <f t="shared" si="52"/>
        <v>27.54</v>
      </c>
      <c r="M81" s="74">
        <f t="shared" si="52"/>
        <v>21.42</v>
      </c>
      <c r="N81" s="74">
        <f t="shared" si="52"/>
        <v>18.36</v>
      </c>
      <c r="O81" s="75"/>
      <c r="P81" s="75"/>
      <c r="Q81" s="76">
        <f>SUM(G81:P81)</f>
        <v>232.56</v>
      </c>
      <c r="R81" s="55"/>
      <c r="S81" s="33"/>
      <c r="U81" s="2">
        <v>204</v>
      </c>
    </row>
    <row r="82" spans="1:21" ht="27.75" customHeight="1" x14ac:dyDescent="0.25">
      <c r="A82" s="33"/>
      <c r="B82" s="33"/>
      <c r="C82" s="33"/>
      <c r="D82" s="33"/>
      <c r="E82" s="136" t="s">
        <v>26</v>
      </c>
      <c r="F82" s="137"/>
      <c r="G82" s="105">
        <v>22</v>
      </c>
      <c r="H82" s="105">
        <v>29</v>
      </c>
      <c r="I82" s="105">
        <v>38</v>
      </c>
      <c r="J82" s="105">
        <v>37</v>
      </c>
      <c r="K82" s="105">
        <v>36</v>
      </c>
      <c r="L82" s="105">
        <v>27</v>
      </c>
      <c r="M82" s="105">
        <v>21</v>
      </c>
      <c r="N82" s="105">
        <v>18</v>
      </c>
      <c r="O82" s="66"/>
      <c r="P82" s="117"/>
      <c r="Q82" s="77">
        <f>SUM(G82:P82)</f>
        <v>228</v>
      </c>
      <c r="R82" s="55"/>
      <c r="S82" s="33"/>
      <c r="U82" s="2">
        <v>201</v>
      </c>
    </row>
    <row r="83" spans="1:21" ht="27.75" customHeight="1" x14ac:dyDescent="0.25">
      <c r="A83" s="33"/>
      <c r="B83" s="33"/>
      <c r="C83" s="33"/>
      <c r="D83" s="33"/>
      <c r="E83" s="138" t="s">
        <v>27</v>
      </c>
      <c r="F83" s="139"/>
      <c r="G83" s="117">
        <f t="shared" ref="G83:N83" si="53">G77</f>
        <v>22</v>
      </c>
      <c r="H83" s="117">
        <f t="shared" si="53"/>
        <v>29</v>
      </c>
      <c r="I83" s="117">
        <f t="shared" si="53"/>
        <v>38</v>
      </c>
      <c r="J83" s="117">
        <f t="shared" si="53"/>
        <v>37</v>
      </c>
      <c r="K83" s="117">
        <f t="shared" si="53"/>
        <v>36</v>
      </c>
      <c r="L83" s="117">
        <f t="shared" si="53"/>
        <v>27</v>
      </c>
      <c r="M83" s="117">
        <f t="shared" si="53"/>
        <v>21</v>
      </c>
      <c r="N83" s="117">
        <f t="shared" si="53"/>
        <v>18</v>
      </c>
      <c r="O83" s="78"/>
      <c r="P83" s="72"/>
      <c r="Q83" s="79">
        <f>SUM(G83:P83)</f>
        <v>228</v>
      </c>
      <c r="R83" s="55"/>
      <c r="S83" s="33"/>
      <c r="U83" s="2">
        <v>154</v>
      </c>
    </row>
    <row r="84" spans="1:21" ht="27.75" customHeight="1" x14ac:dyDescent="0.25">
      <c r="A84" s="33"/>
      <c r="B84" s="33"/>
      <c r="C84" s="33"/>
      <c r="D84" s="33"/>
      <c r="E84" s="138" t="s">
        <v>28</v>
      </c>
      <c r="F84" s="139"/>
      <c r="G84" s="80">
        <f t="shared" ref="G84:N84" si="54">G83-G82</f>
        <v>0</v>
      </c>
      <c r="H84" s="80">
        <f t="shared" si="54"/>
        <v>0</v>
      </c>
      <c r="I84" s="80">
        <f t="shared" si="54"/>
        <v>0</v>
      </c>
      <c r="J84" s="80">
        <f t="shared" si="54"/>
        <v>0</v>
      </c>
      <c r="K84" s="80">
        <f t="shared" si="54"/>
        <v>0</v>
      </c>
      <c r="L84" s="80">
        <f t="shared" si="54"/>
        <v>0</v>
      </c>
      <c r="M84" s="80">
        <f t="shared" si="54"/>
        <v>0</v>
      </c>
      <c r="N84" s="80">
        <f t="shared" si="54"/>
        <v>0</v>
      </c>
      <c r="O84" s="80"/>
      <c r="P84" s="72"/>
      <c r="Q84" s="79">
        <f>SUM(G84:P84)</f>
        <v>0</v>
      </c>
      <c r="R84" s="55"/>
      <c r="S84" s="33"/>
      <c r="U84" s="2">
        <v>141</v>
      </c>
    </row>
    <row r="85" spans="1:21" ht="27.75" customHeight="1" thickBot="1" x14ac:dyDescent="0.3">
      <c r="A85" s="33"/>
      <c r="B85" s="33"/>
      <c r="C85" s="33"/>
      <c r="D85" s="33"/>
      <c r="E85" s="130" t="s">
        <v>29</v>
      </c>
      <c r="F85" s="131"/>
      <c r="G85" s="81">
        <f t="shared" ref="G85:N85" si="55">G84/G82*100</f>
        <v>0</v>
      </c>
      <c r="H85" s="81">
        <f t="shared" si="55"/>
        <v>0</v>
      </c>
      <c r="I85" s="81">
        <f t="shared" si="55"/>
        <v>0</v>
      </c>
      <c r="J85" s="81">
        <f t="shared" si="55"/>
        <v>0</v>
      </c>
      <c r="K85" s="81">
        <f t="shared" si="55"/>
        <v>0</v>
      </c>
      <c r="L85" s="81">
        <f t="shared" si="55"/>
        <v>0</v>
      </c>
      <c r="M85" s="81">
        <f t="shared" si="55"/>
        <v>0</v>
      </c>
      <c r="N85" s="81">
        <f t="shared" si="55"/>
        <v>0</v>
      </c>
      <c r="O85" s="82"/>
      <c r="P85" s="83"/>
      <c r="Q85" s="84">
        <f>Q84/Q82*100</f>
        <v>0</v>
      </c>
      <c r="R85" s="55"/>
      <c r="S85" s="33"/>
      <c r="T85"/>
      <c r="U85" s="2">
        <v>128</v>
      </c>
    </row>
    <row r="86" spans="1:21" x14ac:dyDescent="0.2">
      <c r="U86" s="2">
        <v>107</v>
      </c>
    </row>
    <row r="87" spans="1:21" ht="13.5" thickBot="1" x14ac:dyDescent="0.25">
      <c r="T87"/>
    </row>
    <row r="88" spans="1:21" ht="16.5" thickBot="1" x14ac:dyDescent="0.25">
      <c r="E88" s="132" t="s">
        <v>24</v>
      </c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4"/>
      <c r="T88"/>
    </row>
    <row r="89" spans="1:21" ht="23.25" customHeight="1" thickBot="1" x14ac:dyDescent="0.25">
      <c r="D89" s="33">
        <f>+D77+D38</f>
        <v>32</v>
      </c>
      <c r="E89" s="132" t="s">
        <v>17</v>
      </c>
      <c r="F89" s="135"/>
      <c r="G89" s="41" t="str">
        <f t="shared" ref="G89:N89" si="56">+G80</f>
        <v>25 R</v>
      </c>
      <c r="H89" s="41" t="str">
        <f t="shared" si="56"/>
        <v>26 R</v>
      </c>
      <c r="I89" s="41" t="str">
        <f t="shared" si="56"/>
        <v>27 R</v>
      </c>
      <c r="J89" s="41" t="str">
        <f t="shared" si="56"/>
        <v>28 R</v>
      </c>
      <c r="K89" s="41" t="str">
        <f t="shared" si="56"/>
        <v>29 R</v>
      </c>
      <c r="L89" s="41" t="str">
        <f t="shared" si="56"/>
        <v>30 R</v>
      </c>
      <c r="M89" s="41" t="str">
        <f t="shared" si="56"/>
        <v>31 R</v>
      </c>
      <c r="N89" s="41" t="str">
        <f t="shared" si="56"/>
        <v>32 R</v>
      </c>
      <c r="O89" s="73"/>
      <c r="P89" s="73"/>
      <c r="Q89" s="54" t="s">
        <v>23</v>
      </c>
      <c r="T89"/>
    </row>
    <row r="90" spans="1:21" ht="23.25" customHeight="1" x14ac:dyDescent="0.2">
      <c r="E90" s="136" t="s">
        <v>25</v>
      </c>
      <c r="F90" s="137"/>
      <c r="G90" s="74">
        <f>G91*2%+G91</f>
        <v>44.88</v>
      </c>
      <c r="H90" s="74">
        <f t="shared" ref="H90:N90" si="57">H91*2%+H91</f>
        <v>59.16</v>
      </c>
      <c r="I90" s="74">
        <f t="shared" si="57"/>
        <v>77.52</v>
      </c>
      <c r="J90" s="74">
        <f t="shared" si="57"/>
        <v>75.48</v>
      </c>
      <c r="K90" s="74">
        <f t="shared" si="57"/>
        <v>73.44</v>
      </c>
      <c r="L90" s="74">
        <f t="shared" si="57"/>
        <v>55.08</v>
      </c>
      <c r="M90" s="74">
        <f t="shared" si="57"/>
        <v>42.84</v>
      </c>
      <c r="N90" s="74">
        <f t="shared" si="57"/>
        <v>36.72</v>
      </c>
      <c r="O90" s="75"/>
      <c r="P90" s="75"/>
      <c r="Q90" s="76">
        <f>SUM(G90:P90)</f>
        <v>465.12</v>
      </c>
      <c r="T90"/>
    </row>
    <row r="91" spans="1:21" ht="23.25" customHeight="1" x14ac:dyDescent="0.2">
      <c r="E91" s="136" t="s">
        <v>26</v>
      </c>
      <c r="F91" s="137"/>
      <c r="G91" s="105">
        <f t="shared" ref="G91:N92" si="58">+G82+G43</f>
        <v>44</v>
      </c>
      <c r="H91" s="105">
        <f t="shared" si="58"/>
        <v>58</v>
      </c>
      <c r="I91" s="105">
        <f t="shared" si="58"/>
        <v>76</v>
      </c>
      <c r="J91" s="105">
        <f t="shared" si="58"/>
        <v>74</v>
      </c>
      <c r="K91" s="105">
        <f t="shared" si="58"/>
        <v>72</v>
      </c>
      <c r="L91" s="105">
        <f t="shared" si="58"/>
        <v>54</v>
      </c>
      <c r="M91" s="105">
        <f t="shared" si="58"/>
        <v>42</v>
      </c>
      <c r="N91" s="105">
        <f t="shared" si="58"/>
        <v>36</v>
      </c>
      <c r="O91" s="66"/>
      <c r="P91" s="117"/>
      <c r="Q91" s="77">
        <f>SUM(G91:P91)</f>
        <v>456</v>
      </c>
      <c r="T91"/>
    </row>
    <row r="92" spans="1:21" ht="23.25" customHeight="1" x14ac:dyDescent="0.2">
      <c r="E92" s="138" t="s">
        <v>27</v>
      </c>
      <c r="F92" s="139"/>
      <c r="G92" s="115">
        <f t="shared" si="58"/>
        <v>44</v>
      </c>
      <c r="H92" s="115">
        <f t="shared" si="58"/>
        <v>58</v>
      </c>
      <c r="I92" s="115">
        <f t="shared" si="58"/>
        <v>76</v>
      </c>
      <c r="J92" s="115">
        <f t="shared" si="58"/>
        <v>74</v>
      </c>
      <c r="K92" s="115">
        <f t="shared" si="58"/>
        <v>72</v>
      </c>
      <c r="L92" s="115">
        <f t="shared" si="58"/>
        <v>54</v>
      </c>
      <c r="M92" s="115">
        <f t="shared" si="58"/>
        <v>42</v>
      </c>
      <c r="N92" s="115">
        <f t="shared" si="58"/>
        <v>36</v>
      </c>
      <c r="O92" s="78"/>
      <c r="P92" s="72"/>
      <c r="Q92" s="79">
        <f>SUM(G92:P92)</f>
        <v>456</v>
      </c>
      <c r="T92"/>
    </row>
    <row r="93" spans="1:21" ht="23.25" customHeight="1" x14ac:dyDescent="0.2">
      <c r="E93" s="138" t="s">
        <v>28</v>
      </c>
      <c r="F93" s="139"/>
      <c r="G93" s="80">
        <f t="shared" ref="G93:N93" si="59">G92-G91</f>
        <v>0</v>
      </c>
      <c r="H93" s="80">
        <f t="shared" si="59"/>
        <v>0</v>
      </c>
      <c r="I93" s="80">
        <f t="shared" si="59"/>
        <v>0</v>
      </c>
      <c r="J93" s="80">
        <f t="shared" si="59"/>
        <v>0</v>
      </c>
      <c r="K93" s="80">
        <f t="shared" si="59"/>
        <v>0</v>
      </c>
      <c r="L93" s="80">
        <f t="shared" si="59"/>
        <v>0</v>
      </c>
      <c r="M93" s="80">
        <f t="shared" si="59"/>
        <v>0</v>
      </c>
      <c r="N93" s="80">
        <f t="shared" si="59"/>
        <v>0</v>
      </c>
      <c r="O93" s="80"/>
      <c r="P93" s="72"/>
      <c r="Q93" s="79">
        <f>SUM(G93:P93)</f>
        <v>0</v>
      </c>
      <c r="T93"/>
    </row>
    <row r="94" spans="1:21" ht="23.25" customHeight="1" thickBot="1" x14ac:dyDescent="0.25">
      <c r="E94" s="130" t="s">
        <v>29</v>
      </c>
      <c r="F94" s="131"/>
      <c r="G94" s="81">
        <f t="shared" ref="G94:N94" si="60">G93/G91*100</f>
        <v>0</v>
      </c>
      <c r="H94" s="81">
        <f t="shared" si="60"/>
        <v>0</v>
      </c>
      <c r="I94" s="81">
        <f t="shared" si="60"/>
        <v>0</v>
      </c>
      <c r="J94" s="81">
        <f t="shared" si="60"/>
        <v>0</v>
      </c>
      <c r="K94" s="81">
        <f t="shared" si="60"/>
        <v>0</v>
      </c>
      <c r="L94" s="81">
        <f t="shared" si="60"/>
        <v>0</v>
      </c>
      <c r="M94" s="81">
        <f t="shared" si="60"/>
        <v>0</v>
      </c>
      <c r="N94" s="81">
        <f t="shared" si="60"/>
        <v>0</v>
      </c>
      <c r="O94" s="82"/>
      <c r="P94" s="83"/>
      <c r="Q94" s="84">
        <f>Q93/Q91*100</f>
        <v>0</v>
      </c>
      <c r="T94"/>
    </row>
    <row r="98" spans="9:20" ht="12.75" x14ac:dyDescent="0.2">
      <c r="I98" s="2"/>
      <c r="J98">
        <v>4</v>
      </c>
      <c r="T98"/>
    </row>
    <row r="99" spans="9:20" ht="12.75" x14ac:dyDescent="0.2">
      <c r="I99" s="2"/>
      <c r="J99">
        <v>3</v>
      </c>
      <c r="T99"/>
    </row>
    <row r="100" spans="9:20" ht="12.75" x14ac:dyDescent="0.2">
      <c r="I100" s="2"/>
      <c r="J100">
        <v>8</v>
      </c>
      <c r="T100"/>
    </row>
    <row r="101" spans="9:20" ht="12.75" x14ac:dyDescent="0.2">
      <c r="I101" s="2"/>
      <c r="J101">
        <v>6</v>
      </c>
      <c r="T101"/>
    </row>
    <row r="102" spans="9:20" ht="12.75" x14ac:dyDescent="0.2">
      <c r="I102" s="2"/>
      <c r="J102">
        <v>12</v>
      </c>
      <c r="T102"/>
    </row>
    <row r="103" spans="9:20" ht="12.75" x14ac:dyDescent="0.2">
      <c r="I103" s="2"/>
      <c r="J103">
        <v>10</v>
      </c>
      <c r="T103"/>
    </row>
    <row r="104" spans="9:20" ht="12.75" x14ac:dyDescent="0.2">
      <c r="I104" s="2"/>
      <c r="J104">
        <v>13</v>
      </c>
      <c r="T104"/>
    </row>
    <row r="105" spans="9:20" ht="12.75" x14ac:dyDescent="0.2">
      <c r="I105" s="2"/>
      <c r="J105">
        <v>17</v>
      </c>
      <c r="T105"/>
    </row>
    <row r="106" spans="9:20" ht="12.75" x14ac:dyDescent="0.2">
      <c r="I106" s="2"/>
      <c r="J106">
        <v>9</v>
      </c>
      <c r="T106"/>
    </row>
    <row r="107" spans="9:20" ht="12.75" x14ac:dyDescent="0.2">
      <c r="I107" s="2"/>
      <c r="J107">
        <v>11</v>
      </c>
      <c r="T107"/>
    </row>
    <row r="108" spans="9:20" ht="12.75" x14ac:dyDescent="0.2">
      <c r="I108" s="2"/>
      <c r="J108">
        <v>19</v>
      </c>
      <c r="T108"/>
    </row>
    <row r="109" spans="9:20" ht="12.75" x14ac:dyDescent="0.2">
      <c r="I109" s="2"/>
      <c r="J109">
        <v>8</v>
      </c>
      <c r="T109"/>
    </row>
    <row r="110" spans="9:20" ht="12.75" x14ac:dyDescent="0.2">
      <c r="I110" s="2"/>
      <c r="J110">
        <v>9</v>
      </c>
      <c r="T110"/>
    </row>
    <row r="111" spans="9:20" ht="12.75" x14ac:dyDescent="0.2">
      <c r="I111" s="2"/>
      <c r="J111">
        <v>20</v>
      </c>
      <c r="T111"/>
    </row>
    <row r="112" spans="9:20" ht="12.75" x14ac:dyDescent="0.2">
      <c r="I112" s="2"/>
      <c r="J112">
        <v>8</v>
      </c>
      <c r="T112"/>
    </row>
    <row r="113" spans="9:20" ht="12.75" x14ac:dyDescent="0.2">
      <c r="I113" s="2"/>
      <c r="J113">
        <v>10</v>
      </c>
      <c r="T113"/>
    </row>
    <row r="114" spans="9:20" ht="12.75" x14ac:dyDescent="0.2">
      <c r="I114" s="2"/>
      <c r="J114">
        <v>16</v>
      </c>
      <c r="T114"/>
    </row>
    <row r="115" spans="9:20" ht="12.75" x14ac:dyDescent="0.2">
      <c r="I115" s="2"/>
      <c r="J115">
        <v>6</v>
      </c>
      <c r="T115"/>
    </row>
    <row r="116" spans="9:20" ht="12.75" x14ac:dyDescent="0.2">
      <c r="I116" s="2"/>
      <c r="J116">
        <v>15</v>
      </c>
      <c r="T116"/>
    </row>
    <row r="117" spans="9:20" ht="12.75" x14ac:dyDescent="0.2">
      <c r="I117" s="2"/>
      <c r="J117">
        <v>6</v>
      </c>
      <c r="T117"/>
    </row>
    <row r="118" spans="9:20" ht="12.75" x14ac:dyDescent="0.2">
      <c r="I118" s="2"/>
      <c r="J118">
        <v>11</v>
      </c>
      <c r="T118"/>
    </row>
    <row r="119" spans="9:20" ht="12.75" x14ac:dyDescent="0.2">
      <c r="I119" s="2"/>
      <c r="J119">
        <v>10</v>
      </c>
      <c r="T119"/>
    </row>
    <row r="120" spans="9:20" ht="12.75" x14ac:dyDescent="0.2">
      <c r="I120" s="2"/>
      <c r="J120">
        <v>8</v>
      </c>
      <c r="T120"/>
    </row>
    <row r="121" spans="9:20" ht="12.75" x14ac:dyDescent="0.2">
      <c r="I121" s="2"/>
      <c r="J121">
        <v>5</v>
      </c>
      <c r="T121"/>
    </row>
    <row r="122" spans="9:20" ht="12.75" x14ac:dyDescent="0.2">
      <c r="I122" s="2"/>
      <c r="T122"/>
    </row>
    <row r="123" spans="9:20" ht="12.75" x14ac:dyDescent="0.2">
      <c r="I123" s="2"/>
      <c r="T123"/>
    </row>
    <row r="124" spans="9:20" ht="12.75" x14ac:dyDescent="0.2">
      <c r="I124" s="2"/>
      <c r="T124"/>
    </row>
    <row r="125" spans="9:20" ht="12.75" x14ac:dyDescent="0.2">
      <c r="I125" s="2"/>
      <c r="T125"/>
    </row>
    <row r="126" spans="9:20" ht="12.75" x14ac:dyDescent="0.2">
      <c r="I126" s="2"/>
      <c r="T126"/>
    </row>
    <row r="127" spans="9:20" ht="12.75" x14ac:dyDescent="0.2">
      <c r="I127" s="2"/>
      <c r="T127"/>
    </row>
    <row r="128" spans="9:20" ht="12.75" x14ac:dyDescent="0.2">
      <c r="I128" s="2"/>
      <c r="T128"/>
    </row>
    <row r="129" spans="9:20" ht="12.75" x14ac:dyDescent="0.2">
      <c r="I129" s="2"/>
      <c r="T129"/>
    </row>
    <row r="130" spans="9:20" ht="12.75" x14ac:dyDescent="0.2">
      <c r="I130" s="2"/>
      <c r="T130"/>
    </row>
    <row r="131" spans="9:20" ht="12.75" x14ac:dyDescent="0.2">
      <c r="I131" s="2"/>
      <c r="T131"/>
    </row>
    <row r="132" spans="9:20" ht="12.75" x14ac:dyDescent="0.2">
      <c r="I132" s="102"/>
      <c r="T132"/>
    </row>
    <row r="133" spans="9:20" ht="12.75" x14ac:dyDescent="0.2">
      <c r="I133" s="102"/>
      <c r="T133"/>
    </row>
    <row r="134" spans="9:20" ht="12.75" x14ac:dyDescent="0.2">
      <c r="I134" s="102"/>
      <c r="T134"/>
    </row>
    <row r="135" spans="9:20" ht="12.75" x14ac:dyDescent="0.2">
      <c r="I135" s="102"/>
      <c r="T135"/>
    </row>
    <row r="136" spans="9:20" ht="12.75" x14ac:dyDescent="0.2">
      <c r="I136" s="102"/>
      <c r="T136"/>
    </row>
    <row r="137" spans="9:20" ht="12.75" x14ac:dyDescent="0.2">
      <c r="I137" s="102"/>
      <c r="T137"/>
    </row>
    <row r="138" spans="9:20" ht="12.75" x14ac:dyDescent="0.2">
      <c r="I138" s="102"/>
      <c r="T138"/>
    </row>
    <row r="139" spans="9:20" ht="12.75" x14ac:dyDescent="0.2">
      <c r="I139" s="102"/>
      <c r="T139"/>
    </row>
    <row r="140" spans="9:20" ht="12.75" x14ac:dyDescent="0.2">
      <c r="I140" s="102"/>
      <c r="T140"/>
    </row>
    <row r="141" spans="9:20" ht="12.75" x14ac:dyDescent="0.2">
      <c r="I141" s="102"/>
      <c r="T141"/>
    </row>
    <row r="142" spans="9:20" ht="12.75" x14ac:dyDescent="0.2">
      <c r="I142" s="102"/>
      <c r="T142"/>
    </row>
    <row r="143" spans="9:20" ht="12.75" x14ac:dyDescent="0.2">
      <c r="I143" s="102"/>
      <c r="T143"/>
    </row>
    <row r="144" spans="9:20" ht="12.75" x14ac:dyDescent="0.2">
      <c r="I144" s="102"/>
      <c r="T144"/>
    </row>
    <row r="145" spans="9:20" ht="12.75" x14ac:dyDescent="0.2">
      <c r="I145" s="102"/>
      <c r="T145"/>
    </row>
    <row r="146" spans="9:20" ht="12.75" x14ac:dyDescent="0.2">
      <c r="I146" s="102"/>
      <c r="T146"/>
    </row>
    <row r="147" spans="9:20" ht="12.75" x14ac:dyDescent="0.2">
      <c r="I147" s="102"/>
      <c r="T147"/>
    </row>
    <row r="148" spans="9:20" ht="12.75" x14ac:dyDescent="0.2">
      <c r="I148" s="102"/>
      <c r="T148"/>
    </row>
    <row r="149" spans="9:20" ht="12.75" x14ac:dyDescent="0.2">
      <c r="I149" s="102"/>
      <c r="T149"/>
    </row>
    <row r="150" spans="9:20" ht="12.75" x14ac:dyDescent="0.2">
      <c r="I150" s="102"/>
      <c r="T150"/>
    </row>
    <row r="151" spans="9:20" ht="12.75" x14ac:dyDescent="0.2">
      <c r="I151" s="102"/>
      <c r="T151"/>
    </row>
    <row r="152" spans="9:20" ht="12.75" x14ac:dyDescent="0.2">
      <c r="I152" s="102"/>
      <c r="T152"/>
    </row>
    <row r="153" spans="9:20" ht="12.75" x14ac:dyDescent="0.2">
      <c r="I153" s="102"/>
      <c r="T153"/>
    </row>
    <row r="154" spans="9:20" ht="12.75" x14ac:dyDescent="0.2">
      <c r="I154" s="102"/>
      <c r="T154"/>
    </row>
    <row r="155" spans="9:20" ht="12.75" x14ac:dyDescent="0.2">
      <c r="I155" s="102"/>
      <c r="T155"/>
    </row>
    <row r="156" spans="9:20" ht="12.75" x14ac:dyDescent="0.2">
      <c r="I156" s="102"/>
      <c r="T156"/>
    </row>
    <row r="157" spans="9:20" ht="12.75" x14ac:dyDescent="0.2">
      <c r="I157" s="102"/>
      <c r="T157"/>
    </row>
    <row r="158" spans="9:20" ht="12.75" x14ac:dyDescent="0.2">
      <c r="I158" s="102"/>
      <c r="T158"/>
    </row>
    <row r="159" spans="9:20" ht="12.75" x14ac:dyDescent="0.2">
      <c r="I159" s="102"/>
      <c r="T159"/>
    </row>
  </sheetData>
  <mergeCells count="55">
    <mergeCell ref="A1:S1"/>
    <mergeCell ref="A2:S2"/>
    <mergeCell ref="A3:S3"/>
    <mergeCell ref="A4:S4"/>
    <mergeCell ref="Q11:R11"/>
    <mergeCell ref="Q12:R12"/>
    <mergeCell ref="Q13:R13"/>
    <mergeCell ref="A18:C18"/>
    <mergeCell ref="D19:D20"/>
    <mergeCell ref="E19:E20"/>
    <mergeCell ref="F19:F20"/>
    <mergeCell ref="G19:N19"/>
    <mergeCell ref="P19:P20"/>
    <mergeCell ref="Q19:Q20"/>
    <mergeCell ref="R19:R20"/>
    <mergeCell ref="A49:S49"/>
    <mergeCell ref="S19:S20"/>
    <mergeCell ref="E21:E22"/>
    <mergeCell ref="A38:C38"/>
    <mergeCell ref="E40:Q40"/>
    <mergeCell ref="E41:F41"/>
    <mergeCell ref="E42:F42"/>
    <mergeCell ref="E43:F43"/>
    <mergeCell ref="E44:F44"/>
    <mergeCell ref="E45:F45"/>
    <mergeCell ref="E46:F46"/>
    <mergeCell ref="A48:S48"/>
    <mergeCell ref="Q53:R53"/>
    <mergeCell ref="Q54:R54"/>
    <mergeCell ref="Q55:R55"/>
    <mergeCell ref="A57:C57"/>
    <mergeCell ref="D58:D59"/>
    <mergeCell ref="E58:E59"/>
    <mergeCell ref="F58:F59"/>
    <mergeCell ref="G58:N58"/>
    <mergeCell ref="P58:P59"/>
    <mergeCell ref="Q58:Q59"/>
    <mergeCell ref="R58:R59"/>
    <mergeCell ref="E81:F81"/>
    <mergeCell ref="E82:F82"/>
    <mergeCell ref="E83:F83"/>
    <mergeCell ref="E84:F84"/>
    <mergeCell ref="E85:F85"/>
    <mergeCell ref="S58:S59"/>
    <mergeCell ref="E60:E61"/>
    <mergeCell ref="A77:C77"/>
    <mergeCell ref="E79:Q79"/>
    <mergeCell ref="E80:F80"/>
    <mergeCell ref="E94:F94"/>
    <mergeCell ref="E88:Q88"/>
    <mergeCell ref="E89:F89"/>
    <mergeCell ref="E90:F90"/>
    <mergeCell ref="E91:F91"/>
    <mergeCell ref="E92:F92"/>
    <mergeCell ref="E93:F93"/>
  </mergeCells>
  <printOptions horizontalCentered="1"/>
  <pageMargins left="0" right="0" top="0.5" bottom="0" header="0" footer="0"/>
  <pageSetup scale="32" fitToHeight="2" orientation="portrait" verticalDpi="300" r:id="rId1"/>
  <headerFooter alignWithMargins="0">
    <oddHeader>&amp;R&amp;P OF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9"/>
  <sheetViews>
    <sheetView tabSelected="1" view="pageBreakPreview" zoomScale="85" zoomScaleSheetLayoutView="85" workbookViewId="0">
      <selection activeCell="M13" sqref="M13"/>
    </sheetView>
  </sheetViews>
  <sheetFormatPr defaultColWidth="9.140625" defaultRowHeight="12.75" x14ac:dyDescent="0.2"/>
  <cols>
    <col min="1" max="1" width="10" style="2" customWidth="1"/>
    <col min="2" max="2" width="25.7109375" style="2" bestFit="1" customWidth="1"/>
    <col min="3" max="3" width="10.7109375" style="2" bestFit="1" customWidth="1"/>
    <col min="4" max="4" width="21.28515625" style="2" customWidth="1"/>
    <col min="5" max="6" width="9.85546875" style="2" customWidth="1"/>
    <col min="7" max="7" width="8.85546875" style="2" customWidth="1"/>
    <col min="8" max="8" width="9" style="2" customWidth="1"/>
    <col min="9" max="9" width="9.5703125" style="2" customWidth="1"/>
    <col min="10" max="10" width="14.7109375" style="2" customWidth="1"/>
    <col min="11" max="16384" width="9.140625" style="2"/>
  </cols>
  <sheetData>
    <row r="1" spans="1:10" ht="27.75" x14ac:dyDescent="0.2">
      <c r="A1" s="156" t="s">
        <v>62</v>
      </c>
      <c r="B1" s="156"/>
      <c r="C1" s="156"/>
      <c r="D1" s="156"/>
      <c r="E1" s="156"/>
      <c r="F1" s="156"/>
      <c r="G1" s="156"/>
      <c r="H1" s="156"/>
      <c r="I1" s="156"/>
      <c r="J1" s="156"/>
    </row>
    <row r="2" spans="1:10" ht="23.25" x14ac:dyDescent="0.2">
      <c r="A2" s="157" t="s">
        <v>31</v>
      </c>
      <c r="B2" s="157"/>
      <c r="C2" s="157"/>
      <c r="D2" s="157"/>
      <c r="E2" s="157"/>
      <c r="F2" s="157"/>
      <c r="G2" s="157"/>
      <c r="H2" s="157"/>
      <c r="I2" s="157"/>
      <c r="J2" s="157"/>
    </row>
    <row r="3" spans="1:10" ht="15.75" x14ac:dyDescent="0.2">
      <c r="A3" s="155" t="s">
        <v>32</v>
      </c>
      <c r="B3" s="155"/>
      <c r="C3" s="155"/>
      <c r="D3" s="155"/>
      <c r="E3" s="155"/>
      <c r="F3" s="155"/>
      <c r="G3" s="155"/>
      <c r="H3" s="155"/>
      <c r="I3" s="155"/>
      <c r="J3" s="155"/>
    </row>
    <row r="4" spans="1:10" ht="6" customHeight="1" thickBot="1" x14ac:dyDescent="0.25">
      <c r="A4" s="8"/>
      <c r="B4" s="8"/>
      <c r="C4" s="8"/>
      <c r="D4" s="8"/>
      <c r="E4" s="8"/>
      <c r="F4" s="8"/>
      <c r="G4" s="8"/>
      <c r="H4" s="8"/>
      <c r="I4" s="8"/>
      <c r="J4" s="8"/>
    </row>
    <row r="5" spans="1:10" ht="18.75" thickBot="1" x14ac:dyDescent="0.25">
      <c r="A5" s="9" t="s">
        <v>43</v>
      </c>
      <c r="B5" s="10" t="s">
        <v>74</v>
      </c>
      <c r="C5" s="85"/>
      <c r="D5" s="8"/>
      <c r="E5" s="8"/>
      <c r="F5" s="8"/>
      <c r="G5" s="8"/>
      <c r="H5" s="8"/>
      <c r="I5" s="8"/>
      <c r="J5" s="8"/>
    </row>
    <row r="6" spans="1:10" ht="21" customHeight="1" thickBot="1" x14ac:dyDescent="0.25">
      <c r="A6" s="11" t="s">
        <v>44</v>
      </c>
      <c r="B6" s="12" t="str">
        <f>+PKL!D9</f>
        <v>1188804014</v>
      </c>
      <c r="C6" s="86"/>
      <c r="D6" s="8"/>
      <c r="F6" s="95"/>
      <c r="G6" s="95" t="s">
        <v>45</v>
      </c>
      <c r="H6" s="164">
        <v>46295</v>
      </c>
      <c r="I6" s="165"/>
      <c r="J6" s="166"/>
    </row>
    <row r="7" spans="1:10" ht="9" customHeight="1" thickBot="1" x14ac:dyDescent="0.25">
      <c r="A7" s="8"/>
      <c r="B7" s="8"/>
      <c r="C7" s="8"/>
      <c r="D7" s="8"/>
      <c r="E7" s="8"/>
      <c r="F7" s="8"/>
      <c r="G7" s="8"/>
      <c r="H7" s="8"/>
      <c r="I7" s="8"/>
      <c r="J7" s="8"/>
    </row>
    <row r="8" spans="1:10" ht="14.25" customHeight="1" thickTop="1" x14ac:dyDescent="0.2">
      <c r="A8" s="173" t="s">
        <v>42</v>
      </c>
      <c r="B8" s="175" t="s">
        <v>33</v>
      </c>
      <c r="C8" s="160" t="s">
        <v>69</v>
      </c>
      <c r="D8" s="175" t="s">
        <v>15</v>
      </c>
      <c r="E8" s="158" t="s">
        <v>34</v>
      </c>
      <c r="F8" s="158" t="s">
        <v>35</v>
      </c>
      <c r="G8" s="158" t="s">
        <v>67</v>
      </c>
      <c r="H8" s="158" t="s">
        <v>36</v>
      </c>
      <c r="I8" s="160" t="s">
        <v>46</v>
      </c>
      <c r="J8" s="162" t="s">
        <v>37</v>
      </c>
    </row>
    <row r="9" spans="1:10" ht="12" customHeight="1" thickBot="1" x14ac:dyDescent="0.25">
      <c r="A9" s="174"/>
      <c r="B9" s="176"/>
      <c r="C9" s="161"/>
      <c r="D9" s="176"/>
      <c r="E9" s="159"/>
      <c r="F9" s="159"/>
      <c r="G9" s="159"/>
      <c r="H9" s="159"/>
      <c r="I9" s="161"/>
      <c r="J9" s="163"/>
    </row>
    <row r="10" spans="1:10" ht="26.25" customHeight="1" thickTop="1" x14ac:dyDescent="0.2">
      <c r="A10" s="28" t="s">
        <v>101</v>
      </c>
      <c r="B10" s="29" t="str">
        <f>+PKL!D10</f>
        <v>62049433</v>
      </c>
      <c r="C10" s="29" t="s">
        <v>94</v>
      </c>
      <c r="D10" s="26" t="str">
        <f>+PKL!E21</f>
        <v>LIGHT WASH</v>
      </c>
      <c r="E10" s="26">
        <f>+PKL!Q43</f>
        <v>228</v>
      </c>
      <c r="F10" s="26">
        <f>+PKL!Q44</f>
        <v>228</v>
      </c>
      <c r="G10" s="26">
        <f>F10-E10</f>
        <v>0</v>
      </c>
      <c r="H10" s="26">
        <v>0</v>
      </c>
      <c r="I10" s="30">
        <f>G10/E10*100</f>
        <v>0</v>
      </c>
      <c r="J10" s="27">
        <f>+PKL!D40</f>
        <v>16</v>
      </c>
    </row>
    <row r="11" spans="1:10" ht="26.25" customHeight="1" x14ac:dyDescent="0.2">
      <c r="A11" s="124" t="s">
        <v>90</v>
      </c>
      <c r="B11" s="125" t="s">
        <v>90</v>
      </c>
      <c r="C11" s="125" t="s">
        <v>90</v>
      </c>
      <c r="D11" s="26" t="str">
        <f>+PKL!E60</f>
        <v>TRUFFLE</v>
      </c>
      <c r="E11" s="26">
        <f>+PKL!Q82</f>
        <v>228</v>
      </c>
      <c r="F11" s="26">
        <f>+PKL!Q83</f>
        <v>228</v>
      </c>
      <c r="G11" s="26">
        <f>F11-E11</f>
        <v>0</v>
      </c>
      <c r="H11" s="26">
        <v>0</v>
      </c>
      <c r="I11" s="30">
        <f>G11/E11*100</f>
        <v>0</v>
      </c>
      <c r="J11" s="27">
        <f>+PKL!D79</f>
        <v>16</v>
      </c>
    </row>
    <row r="12" spans="1:10" ht="26.25" customHeight="1" x14ac:dyDescent="0.2">
      <c r="A12" s="127"/>
      <c r="B12" s="128"/>
      <c r="C12" s="128"/>
      <c r="D12" s="129" t="s">
        <v>91</v>
      </c>
      <c r="E12" s="129">
        <f>SUM(E10:E11)</f>
        <v>456</v>
      </c>
      <c r="F12" s="129">
        <f t="shared" ref="F12:J12" si="0">SUM(F10:F11)</f>
        <v>456</v>
      </c>
      <c r="G12" s="129">
        <f t="shared" si="0"/>
        <v>0</v>
      </c>
      <c r="H12" s="129">
        <f t="shared" si="0"/>
        <v>0</v>
      </c>
      <c r="I12" s="129">
        <f t="shared" si="0"/>
        <v>0</v>
      </c>
      <c r="J12" s="129">
        <f t="shared" si="0"/>
        <v>32</v>
      </c>
    </row>
    <row r="13" spans="1:10" ht="26.25" customHeight="1" x14ac:dyDescent="0.2">
      <c r="A13" s="28" t="s">
        <v>102</v>
      </c>
      <c r="B13" s="29" t="s">
        <v>103</v>
      </c>
      <c r="C13" s="29" t="s">
        <v>104</v>
      </c>
      <c r="D13" s="26" t="s">
        <v>96</v>
      </c>
      <c r="E13" s="26">
        <v>505</v>
      </c>
      <c r="F13" s="26">
        <v>505</v>
      </c>
      <c r="G13" s="26">
        <v>0</v>
      </c>
      <c r="H13" s="26">
        <v>0</v>
      </c>
      <c r="I13" s="30">
        <v>0</v>
      </c>
      <c r="J13" s="27">
        <v>43</v>
      </c>
    </row>
    <row r="14" spans="1:10" ht="26.25" customHeight="1" x14ac:dyDescent="0.2">
      <c r="A14" s="28" t="s">
        <v>105</v>
      </c>
      <c r="B14" s="29" t="s">
        <v>105</v>
      </c>
      <c r="C14" s="29" t="s">
        <v>105</v>
      </c>
      <c r="D14" s="26" t="s">
        <v>95</v>
      </c>
      <c r="E14" s="26">
        <v>438</v>
      </c>
      <c r="F14" s="26">
        <v>438</v>
      </c>
      <c r="G14" s="26">
        <v>0</v>
      </c>
      <c r="H14" s="26">
        <v>0</v>
      </c>
      <c r="I14" s="30">
        <v>0</v>
      </c>
      <c r="J14" s="27">
        <v>43</v>
      </c>
    </row>
    <row r="15" spans="1:10" ht="26.25" customHeight="1" x14ac:dyDescent="0.2">
      <c r="A15" s="127"/>
      <c r="B15" s="128"/>
      <c r="C15" s="128"/>
      <c r="D15" s="129" t="s">
        <v>91</v>
      </c>
      <c r="E15" s="129">
        <f>SUM(E13:E14)</f>
        <v>943</v>
      </c>
      <c r="F15" s="129">
        <f t="shared" ref="F15:J15" si="1">SUM(F13:F14)</f>
        <v>943</v>
      </c>
      <c r="G15" s="129">
        <f t="shared" si="1"/>
        <v>0</v>
      </c>
      <c r="H15" s="129">
        <f t="shared" si="1"/>
        <v>0</v>
      </c>
      <c r="I15" s="129">
        <f t="shared" si="1"/>
        <v>0</v>
      </c>
      <c r="J15" s="129">
        <f t="shared" si="1"/>
        <v>86</v>
      </c>
    </row>
    <row r="16" spans="1:10" ht="13.5" thickBot="1" x14ac:dyDescent="0.25">
      <c r="A16" s="97"/>
      <c r="B16" s="98"/>
      <c r="C16" s="98"/>
      <c r="D16" s="99"/>
      <c r="E16" s="99"/>
      <c r="F16" s="99"/>
      <c r="G16" s="99"/>
      <c r="H16" s="99"/>
      <c r="I16" s="126"/>
      <c r="J16" s="101"/>
    </row>
    <row r="17" spans="1:10" ht="22.5" customHeight="1" thickBot="1" x14ac:dyDescent="0.25">
      <c r="A17" s="106"/>
      <c r="B17" s="107"/>
      <c r="C17" s="107"/>
      <c r="D17" s="108" t="s">
        <v>73</v>
      </c>
      <c r="E17" s="109">
        <f>SUM(E15,E12)</f>
        <v>1399</v>
      </c>
      <c r="F17" s="109">
        <f t="shared" ref="F17:J17" si="2">SUM(F15,F12)</f>
        <v>1399</v>
      </c>
      <c r="G17" s="109">
        <f t="shared" si="2"/>
        <v>0</v>
      </c>
      <c r="H17" s="109">
        <f t="shared" si="2"/>
        <v>0</v>
      </c>
      <c r="I17" s="109">
        <f t="shared" si="2"/>
        <v>0</v>
      </c>
      <c r="J17" s="109">
        <f t="shared" si="2"/>
        <v>118</v>
      </c>
    </row>
    <row r="18" spans="1:10" ht="11.25" customHeight="1" thickTop="1" x14ac:dyDescent="0.2">
      <c r="A18" s="7"/>
      <c r="B18" s="7"/>
      <c r="C18" s="7"/>
      <c r="D18" s="7"/>
      <c r="E18" s="7"/>
      <c r="F18" s="7"/>
      <c r="G18" s="7"/>
      <c r="H18" s="7"/>
      <c r="I18" s="3"/>
      <c r="J18" s="7"/>
    </row>
    <row r="19" spans="1:10" ht="7.5" customHeight="1" thickBot="1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spans="1:10" ht="18.75" customHeight="1" thickTop="1" thickBot="1" x14ac:dyDescent="0.25">
      <c r="A20" s="7"/>
      <c r="B20" s="13" t="s">
        <v>47</v>
      </c>
      <c r="C20" s="87"/>
      <c r="D20" s="14" t="s">
        <v>38</v>
      </c>
      <c r="E20" s="14" t="s">
        <v>39</v>
      </c>
      <c r="F20" s="14" t="s">
        <v>22</v>
      </c>
      <c r="G20" s="179" t="s">
        <v>40</v>
      </c>
      <c r="H20" s="180"/>
      <c r="I20" s="181"/>
      <c r="J20" s="7"/>
    </row>
    <row r="21" spans="1:10" ht="17.25" customHeight="1" thickTop="1" x14ac:dyDescent="0.2">
      <c r="A21" s="7"/>
      <c r="B21" s="15">
        <v>1</v>
      </c>
      <c r="C21" s="88"/>
      <c r="D21" s="91" t="s">
        <v>48</v>
      </c>
      <c r="E21" s="16"/>
      <c r="F21" s="16"/>
      <c r="G21" s="167"/>
      <c r="H21" s="168"/>
      <c r="I21" s="169"/>
      <c r="J21" s="7"/>
    </row>
    <row r="22" spans="1:10" ht="17.25" customHeight="1" x14ac:dyDescent="0.2">
      <c r="A22" s="7"/>
      <c r="B22" s="17">
        <v>2</v>
      </c>
      <c r="C22" s="89"/>
      <c r="D22" s="92" t="s">
        <v>49</v>
      </c>
      <c r="E22" s="6"/>
      <c r="F22" s="6"/>
      <c r="G22" s="170"/>
      <c r="H22" s="171"/>
      <c r="I22" s="172"/>
      <c r="J22" s="7"/>
    </row>
    <row r="23" spans="1:10" ht="17.25" customHeight="1" x14ac:dyDescent="0.2">
      <c r="A23" s="7"/>
      <c r="B23" s="17">
        <v>3</v>
      </c>
      <c r="C23" s="89"/>
      <c r="D23" s="92" t="s">
        <v>50</v>
      </c>
      <c r="E23" s="6"/>
      <c r="F23" s="6"/>
      <c r="G23" s="170"/>
      <c r="H23" s="171"/>
      <c r="I23" s="172"/>
      <c r="J23" s="7"/>
    </row>
    <row r="24" spans="1:10" ht="17.25" customHeight="1" x14ac:dyDescent="0.2">
      <c r="A24" s="7"/>
      <c r="B24" s="17">
        <v>4</v>
      </c>
      <c r="C24" s="89"/>
      <c r="D24" s="92" t="s">
        <v>51</v>
      </c>
      <c r="E24" s="6"/>
      <c r="F24" s="6"/>
      <c r="G24" s="170"/>
      <c r="H24" s="171"/>
      <c r="I24" s="172"/>
      <c r="J24" s="7"/>
    </row>
    <row r="25" spans="1:10" ht="17.25" customHeight="1" x14ac:dyDescent="0.2">
      <c r="A25" s="7"/>
      <c r="B25" s="17">
        <v>5</v>
      </c>
      <c r="C25" s="89"/>
      <c r="D25" s="92" t="s">
        <v>52</v>
      </c>
      <c r="E25" s="6"/>
      <c r="F25" s="6"/>
      <c r="G25" s="170"/>
      <c r="H25" s="171"/>
      <c r="I25" s="172"/>
      <c r="J25" s="7"/>
    </row>
    <row r="26" spans="1:10" ht="17.25" customHeight="1" x14ac:dyDescent="0.2">
      <c r="A26" s="7"/>
      <c r="B26" s="17">
        <v>6</v>
      </c>
      <c r="C26" s="89"/>
      <c r="D26" s="92" t="s">
        <v>53</v>
      </c>
      <c r="E26" s="6"/>
      <c r="F26" s="6"/>
      <c r="G26" s="170"/>
      <c r="H26" s="171"/>
      <c r="I26" s="172"/>
      <c r="J26" s="7"/>
    </row>
    <row r="27" spans="1:10" ht="17.25" customHeight="1" x14ac:dyDescent="0.2">
      <c r="A27" s="7"/>
      <c r="B27" s="17">
        <v>7</v>
      </c>
      <c r="C27" s="89"/>
      <c r="D27" s="92" t="s">
        <v>54</v>
      </c>
      <c r="E27" s="6"/>
      <c r="F27" s="6"/>
      <c r="G27" s="170"/>
      <c r="H27" s="171"/>
      <c r="I27" s="172"/>
      <c r="J27" s="7"/>
    </row>
    <row r="28" spans="1:10" ht="17.25" customHeight="1" x14ac:dyDescent="0.2">
      <c r="A28" s="7"/>
      <c r="B28" s="17">
        <v>8</v>
      </c>
      <c r="C28" s="89"/>
      <c r="D28" s="92" t="s">
        <v>55</v>
      </c>
      <c r="E28" s="18"/>
      <c r="F28" s="25"/>
      <c r="G28" s="170"/>
      <c r="H28" s="171"/>
      <c r="I28" s="172"/>
      <c r="J28" s="7"/>
    </row>
    <row r="29" spans="1:10" ht="17.25" customHeight="1" x14ac:dyDescent="0.2">
      <c r="A29" s="7"/>
      <c r="B29" s="17">
        <v>9</v>
      </c>
      <c r="C29" s="89"/>
      <c r="D29" s="92" t="s">
        <v>56</v>
      </c>
      <c r="E29" s="18"/>
      <c r="F29" s="19"/>
      <c r="G29" s="19"/>
      <c r="H29" s="19"/>
      <c r="I29" s="20"/>
      <c r="J29" s="7"/>
    </row>
    <row r="30" spans="1:10" ht="17.25" customHeight="1" x14ac:dyDescent="0.2">
      <c r="A30" s="7"/>
      <c r="B30" s="17">
        <v>10</v>
      </c>
      <c r="C30" s="89"/>
      <c r="D30" s="92" t="s">
        <v>57</v>
      </c>
      <c r="E30" s="18"/>
      <c r="F30" s="19"/>
      <c r="G30" s="19"/>
      <c r="H30" s="19"/>
      <c r="I30" s="20"/>
      <c r="J30" s="7"/>
    </row>
    <row r="31" spans="1:10" ht="17.25" customHeight="1" thickBot="1" x14ac:dyDescent="0.25">
      <c r="A31" s="7"/>
      <c r="B31" s="21"/>
      <c r="C31" s="90"/>
      <c r="D31" s="93" t="s">
        <v>58</v>
      </c>
      <c r="E31" s="177" t="s">
        <v>59</v>
      </c>
      <c r="F31" s="178"/>
      <c r="G31" s="22"/>
      <c r="H31" s="23"/>
      <c r="I31" s="24"/>
      <c r="J31" s="7"/>
    </row>
    <row r="32" spans="1:10" ht="13.5" thickTop="1" x14ac:dyDescent="0.2">
      <c r="A32" s="7"/>
      <c r="B32" s="7"/>
      <c r="C32" s="7"/>
      <c r="D32" s="7"/>
      <c r="E32" s="7"/>
      <c r="F32" s="7"/>
      <c r="G32" s="7"/>
      <c r="H32" s="7"/>
      <c r="I32" s="7"/>
      <c r="J32" s="7"/>
    </row>
    <row r="33" spans="1:10" x14ac:dyDescent="0.2">
      <c r="A33" s="7"/>
      <c r="B33" s="7"/>
      <c r="C33" s="7"/>
      <c r="D33" s="7"/>
      <c r="E33" s="7"/>
      <c r="F33" s="7"/>
      <c r="G33" s="7"/>
      <c r="H33" s="7"/>
      <c r="I33" s="7"/>
      <c r="J33" s="7"/>
    </row>
    <row r="34" spans="1:10" x14ac:dyDescent="0.2">
      <c r="A34" s="7"/>
      <c r="B34" s="7"/>
      <c r="C34" s="7"/>
      <c r="D34" s="7"/>
      <c r="E34" s="7"/>
      <c r="F34" s="7"/>
      <c r="G34" s="7"/>
      <c r="H34" s="7"/>
      <c r="I34" s="7"/>
      <c r="J34" s="7"/>
    </row>
    <row r="35" spans="1:10" x14ac:dyDescent="0.2">
      <c r="A35" s="7"/>
      <c r="B35" s="7"/>
      <c r="C35" s="7"/>
      <c r="D35" s="7"/>
      <c r="E35" s="7"/>
      <c r="F35" s="7"/>
      <c r="G35" s="7"/>
      <c r="H35" s="7"/>
      <c r="I35" s="7"/>
      <c r="J35" s="7"/>
    </row>
    <row r="36" spans="1:10" x14ac:dyDescent="0.2">
      <c r="A36" s="7"/>
      <c r="B36" s="7"/>
      <c r="C36" s="7"/>
      <c r="D36" s="7"/>
      <c r="E36" s="7"/>
      <c r="F36" s="7"/>
      <c r="G36" s="7"/>
      <c r="H36" s="7"/>
      <c r="I36" s="7"/>
      <c r="J36" s="7"/>
    </row>
    <row r="37" spans="1:10" x14ac:dyDescent="0.2">
      <c r="A37" s="7"/>
      <c r="B37" s="7"/>
      <c r="C37" s="7"/>
      <c r="D37" s="7"/>
      <c r="E37" s="7"/>
      <c r="F37" s="7"/>
      <c r="G37" s="7"/>
      <c r="H37" s="7"/>
      <c r="I37" s="7"/>
      <c r="J37" s="7"/>
    </row>
    <row r="38" spans="1:10" x14ac:dyDescent="0.2">
      <c r="A38" s="7"/>
      <c r="B38" s="7"/>
      <c r="C38" s="7"/>
      <c r="D38" s="7"/>
      <c r="E38" s="7"/>
      <c r="F38" s="7"/>
      <c r="G38" s="7"/>
      <c r="H38" s="7"/>
      <c r="I38" s="7"/>
      <c r="J38" s="7"/>
    </row>
    <row r="39" spans="1:10" x14ac:dyDescent="0.2">
      <c r="A39" s="7"/>
      <c r="B39" s="7"/>
      <c r="C39" s="7"/>
      <c r="D39" s="7"/>
      <c r="E39" s="7"/>
      <c r="F39" s="7"/>
      <c r="G39" s="7"/>
      <c r="H39" s="7"/>
      <c r="I39" s="7"/>
      <c r="J39" s="7"/>
    </row>
    <row r="40" spans="1:10" x14ac:dyDescent="0.2">
      <c r="A40" s="7"/>
      <c r="B40" s="7"/>
      <c r="C40" s="7"/>
      <c r="D40" s="7"/>
      <c r="E40" s="7"/>
      <c r="F40" s="7"/>
      <c r="G40" s="7"/>
      <c r="H40" s="7"/>
      <c r="I40" s="7"/>
      <c r="J40" s="7"/>
    </row>
    <row r="43" spans="1:10" ht="22.5" customHeight="1" x14ac:dyDescent="0.2">
      <c r="A43" s="155" t="s">
        <v>70</v>
      </c>
      <c r="B43" s="155"/>
      <c r="C43" s="155" t="s">
        <v>41</v>
      </c>
      <c r="D43" s="155"/>
      <c r="E43" s="155" t="s">
        <v>60</v>
      </c>
      <c r="F43" s="155"/>
      <c r="G43" s="155"/>
      <c r="H43" s="155"/>
      <c r="I43" s="155"/>
    </row>
    <row r="44" spans="1:10" x14ac:dyDescent="0.2">
      <c r="B44" s="96"/>
      <c r="D44" s="4"/>
      <c r="G44" s="4"/>
    </row>
    <row r="45" spans="1:10" x14ac:dyDescent="0.2">
      <c r="B45" s="96"/>
      <c r="D45" s="4"/>
      <c r="G45" s="4"/>
    </row>
    <row r="46" spans="1:10" x14ac:dyDescent="0.2">
      <c r="B46" s="96"/>
      <c r="D46" s="4"/>
      <c r="G46" s="4"/>
    </row>
    <row r="47" spans="1:10" x14ac:dyDescent="0.2">
      <c r="B47" s="96"/>
      <c r="D47" s="4"/>
      <c r="G47" s="4"/>
    </row>
    <row r="48" spans="1:10" x14ac:dyDescent="0.2">
      <c r="B48" s="96"/>
      <c r="D48" s="4"/>
      <c r="G48" s="4"/>
    </row>
    <row r="49" spans="2:7" x14ac:dyDescent="0.2">
      <c r="B49" s="96"/>
      <c r="D49" s="4"/>
      <c r="G49" s="4"/>
    </row>
  </sheetData>
  <mergeCells count="27">
    <mergeCell ref="G26:I26"/>
    <mergeCell ref="G27:I27"/>
    <mergeCell ref="G28:I28"/>
    <mergeCell ref="E31:F31"/>
    <mergeCell ref="G20:I20"/>
    <mergeCell ref="A8:A9"/>
    <mergeCell ref="B8:B9"/>
    <mergeCell ref="D8:D9"/>
    <mergeCell ref="E8:E9"/>
    <mergeCell ref="F8:F9"/>
    <mergeCell ref="C8:C9"/>
    <mergeCell ref="C43:D43"/>
    <mergeCell ref="E43:I43"/>
    <mergeCell ref="A43:B43"/>
    <mergeCell ref="A1:J1"/>
    <mergeCell ref="A2:J2"/>
    <mergeCell ref="A3:J3"/>
    <mergeCell ref="G8:G9"/>
    <mergeCell ref="H8:H9"/>
    <mergeCell ref="I8:I9"/>
    <mergeCell ref="J8:J9"/>
    <mergeCell ref="H6:J6"/>
    <mergeCell ref="G21:I21"/>
    <mergeCell ref="G22:I22"/>
    <mergeCell ref="G23:I23"/>
    <mergeCell ref="G24:I24"/>
    <mergeCell ref="G25:I25"/>
  </mergeCells>
  <pageMargins left="0.5" right="0.23" top="0.35" bottom="0" header="0" footer="0"/>
  <pageSetup scale="76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PKL</vt:lpstr>
      <vt:lpstr>sum</vt:lpstr>
      <vt:lpstr>PKL!Print_Area</vt:lpstr>
      <vt:lpstr>sum!Print_Area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Jaman</dc:creator>
  <cp:lastModifiedBy>IT</cp:lastModifiedBy>
  <cp:lastPrinted>2026-01-08T03:33:41Z</cp:lastPrinted>
  <dcterms:created xsi:type="dcterms:W3CDTF">2013-12-30T02:52:58Z</dcterms:created>
  <dcterms:modified xsi:type="dcterms:W3CDTF">2026-09-30T04:58:24Z</dcterms:modified>
</cp:coreProperties>
</file>