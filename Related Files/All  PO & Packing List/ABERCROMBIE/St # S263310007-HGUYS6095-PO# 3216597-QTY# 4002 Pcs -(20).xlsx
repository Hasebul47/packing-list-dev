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UYER ASMARA PACKING LIST (2)\UPCOMING PL\"/>
    </mc:Choice>
  </mc:AlternateContent>
  <xr:revisionPtr revIDLastSave="0" documentId="13_ncr:1_{70A81BBA-DC68-46FF-AFE9-01A4278ED6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cking List (5)" sheetId="6" r:id="rId1"/>
  </sheets>
  <definedNames>
    <definedName name="_xlnm.Print_Area" localSheetId="0">'Packing List (5)'!$A$1:$AJ$74</definedName>
  </definedNames>
  <calcPr calcId="191029"/>
</workbook>
</file>

<file path=xl/calcChain.xml><?xml version="1.0" encoding="utf-8"?>
<calcChain xmlns="http://schemas.openxmlformats.org/spreadsheetml/2006/main">
  <c r="AG59" i="6" l="1"/>
  <c r="A14" i="6"/>
  <c r="C14" i="6" s="1"/>
  <c r="A15" i="6" s="1"/>
  <c r="C15" i="6" s="1"/>
  <c r="A16" i="6" s="1"/>
  <c r="C16" i="6" s="1"/>
  <c r="A17" i="6" s="1"/>
  <c r="C17" i="6" s="1"/>
  <c r="A18" i="6" s="1"/>
  <c r="C18" i="6" s="1"/>
  <c r="A19" i="6" s="1"/>
  <c r="C19" i="6" s="1"/>
  <c r="A20" i="6" s="1"/>
  <c r="C20" i="6" s="1"/>
  <c r="A21" i="6" s="1"/>
  <c r="C21" i="6" s="1"/>
  <c r="A22" i="6" s="1"/>
  <c r="C22" i="6" s="1"/>
  <c r="A23" i="6" s="1"/>
  <c r="C23" i="6" s="1"/>
  <c r="A24" i="6" s="1"/>
  <c r="C24" i="6" s="1"/>
  <c r="A25" i="6" s="1"/>
  <c r="C25" i="6" s="1"/>
  <c r="A26" i="6" s="1"/>
  <c r="C26" i="6" s="1"/>
  <c r="A27" i="6" s="1"/>
  <c r="C27" i="6" s="1"/>
  <c r="A28" i="6" s="1"/>
  <c r="C28" i="6" s="1"/>
  <c r="A29" i="6" s="1"/>
  <c r="C29" i="6" s="1"/>
  <c r="A30" i="6" s="1"/>
  <c r="C30" i="6" s="1"/>
  <c r="A31" i="6" s="1"/>
  <c r="C31" i="6" s="1"/>
  <c r="A32" i="6" s="1"/>
  <c r="C32" i="6" s="1"/>
  <c r="A33" i="6" s="1"/>
  <c r="C33" i="6" s="1"/>
  <c r="A34" i="6" s="1"/>
  <c r="C34" i="6" s="1"/>
  <c r="A35" i="6" s="1"/>
  <c r="C35" i="6" s="1"/>
  <c r="A36" i="6" s="1"/>
  <c r="C36" i="6" s="1"/>
  <c r="A37" i="6" s="1"/>
  <c r="C37" i="6" s="1"/>
  <c r="A38" i="6" s="1"/>
  <c r="C38" i="6" s="1"/>
  <c r="A39" i="6" s="1"/>
  <c r="C39" i="6" s="1"/>
  <c r="A40" i="6" s="1"/>
  <c r="C40" i="6" s="1"/>
  <c r="A41" i="6" s="1"/>
  <c r="C41" i="6" s="1"/>
  <c r="A42" i="6" s="1"/>
  <c r="C42" i="6" s="1"/>
  <c r="A43" i="6" s="1"/>
  <c r="C43" i="6" s="1"/>
  <c r="A44" i="6" s="1"/>
  <c r="C44" i="6" s="1"/>
  <c r="A45" i="6" s="1"/>
  <c r="C45" i="6" s="1"/>
  <c r="A46" i="6" s="1"/>
  <c r="C46" i="6" s="1"/>
  <c r="A47" i="6" s="1"/>
  <c r="C47" i="6" s="1"/>
  <c r="A48" i="6" s="1"/>
  <c r="C48" i="6" s="1"/>
  <c r="A49" i="6" s="1"/>
  <c r="C49" i="6" s="1"/>
  <c r="A50" i="6" s="1"/>
  <c r="C50" i="6" s="1"/>
  <c r="A51" i="6" s="1"/>
  <c r="C51" i="6" s="1"/>
  <c r="A52" i="6" s="1"/>
  <c r="C52" i="6" s="1"/>
  <c r="A53" i="6" s="1"/>
  <c r="C53" i="6" s="1"/>
  <c r="A54" i="6" s="1"/>
  <c r="C54" i="6" s="1"/>
  <c r="A55" i="6" s="1"/>
  <c r="C55" i="6" s="1"/>
  <c r="A56" i="6" s="1"/>
  <c r="C56" i="6" s="1"/>
  <c r="A57" i="6" s="1"/>
  <c r="C57" i="6" s="1"/>
  <c r="A58" i="6" s="1"/>
  <c r="C58" i="6" s="1"/>
  <c r="M65" i="6"/>
  <c r="AC27" i="6"/>
  <c r="AE27" i="6" s="1"/>
  <c r="AC19" i="6"/>
  <c r="AE19" i="6" s="1"/>
  <c r="I65" i="6" s="1"/>
  <c r="AD59" i="6"/>
  <c r="AC57" i="6"/>
  <c r="AE57" i="6" s="1"/>
  <c r="AC47" i="6"/>
  <c r="AE47" i="6" s="1"/>
  <c r="AC33" i="6"/>
  <c r="AE33" i="6" s="1"/>
  <c r="AC21" i="6"/>
  <c r="AE21" i="6" s="1"/>
  <c r="AC58" i="6"/>
  <c r="AE58" i="6" s="1"/>
  <c r="AC51" i="6"/>
  <c r="AE51" i="6" s="1"/>
  <c r="AC45" i="6"/>
  <c r="AE45" i="6" s="1"/>
  <c r="AC34" i="6"/>
  <c r="AE34" i="6" s="1"/>
  <c r="AC64" i="6"/>
  <c r="AC12" i="6"/>
  <c r="AE12" i="6" s="1"/>
  <c r="AC13" i="6"/>
  <c r="AE13" i="6" s="1"/>
  <c r="AC14" i="6"/>
  <c r="AE14" i="6" s="1"/>
  <c r="AC15" i="6"/>
  <c r="AE15" i="6" s="1"/>
  <c r="AC16" i="6"/>
  <c r="AE16" i="6" s="1"/>
  <c r="AC17" i="6"/>
  <c r="AE17" i="6" s="1"/>
  <c r="AC18" i="6"/>
  <c r="AE18" i="6" s="1"/>
  <c r="AC20" i="6"/>
  <c r="AE20" i="6" s="1"/>
  <c r="AC22" i="6"/>
  <c r="AE22" i="6" s="1"/>
  <c r="AC23" i="6"/>
  <c r="AE23" i="6" s="1"/>
  <c r="AC24" i="6"/>
  <c r="AE24" i="6" s="1"/>
  <c r="AC25" i="6"/>
  <c r="AE25" i="6" s="1"/>
  <c r="AC26" i="6"/>
  <c r="AE26" i="6" s="1"/>
  <c r="AC28" i="6"/>
  <c r="AE28" i="6" s="1"/>
  <c r="AC29" i="6"/>
  <c r="AE29" i="6" s="1"/>
  <c r="AC30" i="6"/>
  <c r="AE30" i="6" s="1"/>
  <c r="AC31" i="6"/>
  <c r="AE31" i="6" s="1"/>
  <c r="AC32" i="6"/>
  <c r="AE32" i="6" s="1"/>
  <c r="AC35" i="6"/>
  <c r="AE35" i="6" s="1"/>
  <c r="AC36" i="6"/>
  <c r="AE36" i="6" s="1"/>
  <c r="AC37" i="6"/>
  <c r="AE37" i="6" s="1"/>
  <c r="AC38" i="6"/>
  <c r="AE38" i="6" s="1"/>
  <c r="AC39" i="6"/>
  <c r="AE39" i="6" s="1"/>
  <c r="AC40" i="6"/>
  <c r="AE40" i="6" s="1"/>
  <c r="AC41" i="6"/>
  <c r="AE41" i="6" s="1"/>
  <c r="AC42" i="6"/>
  <c r="AE42" i="6" s="1"/>
  <c r="AC43" i="6"/>
  <c r="AE43" i="6" s="1"/>
  <c r="AC44" i="6"/>
  <c r="AE44" i="6" s="1"/>
  <c r="AC46" i="6"/>
  <c r="AE46" i="6" s="1"/>
  <c r="AC48" i="6"/>
  <c r="AE48" i="6" s="1"/>
  <c r="AC49" i="6"/>
  <c r="AE49" i="6" s="1"/>
  <c r="AC50" i="6"/>
  <c r="AE50" i="6" s="1"/>
  <c r="AC52" i="6"/>
  <c r="AE52" i="6" s="1"/>
  <c r="AC53" i="6"/>
  <c r="AE53" i="6" s="1"/>
  <c r="AC54" i="6"/>
  <c r="AE54" i="6" s="1"/>
  <c r="AC55" i="6"/>
  <c r="AE55" i="6" s="1"/>
  <c r="AC56" i="6"/>
  <c r="AE56" i="6" s="1"/>
  <c r="AC11" i="6"/>
  <c r="AE11" i="6" s="1"/>
  <c r="AB65" i="6" l="1"/>
  <c r="AH27" i="6"/>
  <c r="W65" i="6"/>
  <c r="AH19" i="6"/>
  <c r="AE59" i="6"/>
  <c r="AH57" i="6"/>
  <c r="AH47" i="6"/>
  <c r="P65" i="6"/>
  <c r="AH33" i="6"/>
  <c r="J65" i="6"/>
  <c r="AH21" i="6"/>
  <c r="Y65" i="6"/>
  <c r="V65" i="6"/>
  <c r="AH58" i="6"/>
  <c r="AH51" i="6"/>
  <c r="AH45" i="6"/>
  <c r="G65" i="6"/>
  <c r="AH34" i="6"/>
  <c r="H65" i="6"/>
  <c r="AA65" i="6"/>
  <c r="T65" i="6"/>
  <c r="R65" i="6"/>
  <c r="K65" i="6"/>
  <c r="X65" i="6"/>
  <c r="Z65" i="6"/>
  <c r="U65" i="6"/>
  <c r="S65" i="6"/>
  <c r="Q65" i="6"/>
  <c r="L65" i="6"/>
  <c r="N65" i="6"/>
  <c r="E65" i="6"/>
  <c r="O65" i="6"/>
  <c r="F65" i="6"/>
  <c r="AJ27" i="6" l="1"/>
  <c r="AG27" i="6"/>
  <c r="AI27" i="6" s="1"/>
  <c r="AJ19" i="6"/>
  <c r="AG19" i="6"/>
  <c r="AI19" i="6" s="1"/>
  <c r="AJ47" i="6"/>
  <c r="AG47" i="6"/>
  <c r="AI47" i="6" s="1"/>
  <c r="AJ57" i="6"/>
  <c r="AG57" i="6"/>
  <c r="AI57" i="6" s="1"/>
  <c r="AJ33" i="6"/>
  <c r="AG33" i="6"/>
  <c r="AI33" i="6" s="1"/>
  <c r="AJ21" i="6"/>
  <c r="AG21" i="6"/>
  <c r="AI21" i="6" s="1"/>
  <c r="AJ58" i="6"/>
  <c r="AG58" i="6"/>
  <c r="AI58" i="6" s="1"/>
  <c r="AJ51" i="6"/>
  <c r="AG51" i="6"/>
  <c r="AI51" i="6" s="1"/>
  <c r="AJ45" i="6"/>
  <c r="AG45" i="6"/>
  <c r="AI45" i="6" s="1"/>
  <c r="AJ34" i="6"/>
  <c r="AG34" i="6"/>
  <c r="AI34" i="6" s="1"/>
  <c r="AC65" i="6"/>
  <c r="AH28" i="6"/>
  <c r="AJ28" i="6" s="1"/>
  <c r="AH26" i="6"/>
  <c r="AG26" i="6" s="1"/>
  <c r="AI26" i="6" s="1"/>
  <c r="AH25" i="6"/>
  <c r="AJ25" i="6" s="1"/>
  <c r="AH24" i="6"/>
  <c r="AG24" i="6" s="1"/>
  <c r="AI24" i="6" s="1"/>
  <c r="AH23" i="6"/>
  <c r="AJ23" i="6" s="1"/>
  <c r="AH22" i="6"/>
  <c r="AG22" i="6" s="1"/>
  <c r="AI22" i="6" s="1"/>
  <c r="AH20" i="6"/>
  <c r="AG20" i="6" s="1"/>
  <c r="AI20" i="6" s="1"/>
  <c r="AH18" i="6"/>
  <c r="AJ18" i="6" s="1"/>
  <c r="AH17" i="6"/>
  <c r="AG17" i="6" s="1"/>
  <c r="AI17" i="6" s="1"/>
  <c r="AH16" i="6"/>
  <c r="AJ16" i="6" s="1"/>
  <c r="AH15" i="6"/>
  <c r="AG15" i="6" s="1"/>
  <c r="AI15" i="6" s="1"/>
  <c r="AH41" i="6"/>
  <c r="AJ41" i="6" s="1"/>
  <c r="AH40" i="6"/>
  <c r="AG40" i="6" s="1"/>
  <c r="AI40" i="6" s="1"/>
  <c r="AH39" i="6"/>
  <c r="AJ39" i="6" s="1"/>
  <c r="AH38" i="6"/>
  <c r="AG38" i="6" s="1"/>
  <c r="AI38" i="6" s="1"/>
  <c r="AH37" i="6"/>
  <c r="AJ37" i="6" s="1"/>
  <c r="AH36" i="6"/>
  <c r="AG36" i="6" s="1"/>
  <c r="AI36" i="6" s="1"/>
  <c r="AH35" i="6"/>
  <c r="AJ35" i="6" s="1"/>
  <c r="AH32" i="6"/>
  <c r="AJ32" i="6" s="1"/>
  <c r="AH31" i="6"/>
  <c r="AG31" i="6" s="1"/>
  <c r="AI31" i="6" s="1"/>
  <c r="AH30" i="6"/>
  <c r="AJ30" i="6" s="1"/>
  <c r="AH29" i="6"/>
  <c r="AG29" i="6" s="1"/>
  <c r="AI29" i="6" s="1"/>
  <c r="AH55" i="6"/>
  <c r="AJ55" i="6" s="1"/>
  <c r="AH54" i="6"/>
  <c r="AG54" i="6" s="1"/>
  <c r="AI54" i="6" s="1"/>
  <c r="AH53" i="6"/>
  <c r="AJ53" i="6" s="1"/>
  <c r="AH52" i="6"/>
  <c r="AG52" i="6" s="1"/>
  <c r="AI52" i="6" s="1"/>
  <c r="AH50" i="6"/>
  <c r="AJ50" i="6" s="1"/>
  <c r="AH49" i="6"/>
  <c r="AG49" i="6" s="1"/>
  <c r="AI49" i="6" s="1"/>
  <c r="AH48" i="6"/>
  <c r="AG48" i="6" s="1"/>
  <c r="AI48" i="6" s="1"/>
  <c r="AH46" i="6"/>
  <c r="AJ46" i="6" s="1"/>
  <c r="AH44" i="6"/>
  <c r="AG44" i="6" s="1"/>
  <c r="AI44" i="6" s="1"/>
  <c r="AH43" i="6"/>
  <c r="AJ43" i="6" s="1"/>
  <c r="AH42" i="6"/>
  <c r="AG42" i="6" s="1"/>
  <c r="AI42" i="6" s="1"/>
  <c r="AH56" i="6"/>
  <c r="AG56" i="6" s="1"/>
  <c r="AI56" i="6" s="1"/>
  <c r="P66" i="6"/>
  <c r="P67" i="6" s="1"/>
  <c r="O66" i="6"/>
  <c r="O67" i="6" s="1"/>
  <c r="N66" i="6"/>
  <c r="N67" i="6" s="1"/>
  <c r="M66" i="6"/>
  <c r="M67" i="6" s="1"/>
  <c r="L66" i="6"/>
  <c r="L67" i="6" s="1"/>
  <c r="K66" i="6"/>
  <c r="K67" i="6" s="1"/>
  <c r="J66" i="6"/>
  <c r="I66" i="6"/>
  <c r="I67" i="6" s="1"/>
  <c r="H66" i="6"/>
  <c r="H67" i="6" s="1"/>
  <c r="G66" i="6"/>
  <c r="G67" i="6" s="1"/>
  <c r="F66" i="6"/>
  <c r="F67" i="6" s="1"/>
  <c r="E66" i="6"/>
  <c r="E67" i="6" s="1"/>
  <c r="P63" i="6"/>
  <c r="O63" i="6"/>
  <c r="N63" i="6"/>
  <c r="M63" i="6"/>
  <c r="L63" i="6"/>
  <c r="K63" i="6"/>
  <c r="J63" i="6"/>
  <c r="I63" i="6"/>
  <c r="H63" i="6"/>
  <c r="G63" i="6"/>
  <c r="F63" i="6"/>
  <c r="E63" i="6"/>
  <c r="J67" i="6" l="1"/>
  <c r="AG28" i="6"/>
  <c r="AI28" i="6" s="1"/>
  <c r="AG46" i="6"/>
  <c r="AI46" i="6" s="1"/>
  <c r="AG18" i="6"/>
  <c r="AI18" i="6" s="1"/>
  <c r="AG55" i="6"/>
  <c r="AI55" i="6" s="1"/>
  <c r="AG23" i="6"/>
  <c r="AI23" i="6" s="1"/>
  <c r="AG50" i="6"/>
  <c r="AI50" i="6" s="1"/>
  <c r="AG16" i="6"/>
  <c r="AI16" i="6" s="1"/>
  <c r="AG25" i="6"/>
  <c r="AI25" i="6" s="1"/>
  <c r="AG43" i="6"/>
  <c r="AI43" i="6" s="1"/>
  <c r="AG53" i="6"/>
  <c r="AI53" i="6" s="1"/>
  <c r="AJ15" i="6"/>
  <c r="AJ17" i="6"/>
  <c r="AJ20" i="6"/>
  <c r="AJ22" i="6"/>
  <c r="AJ24" i="6"/>
  <c r="AJ26" i="6"/>
  <c r="AJ29" i="6"/>
  <c r="AJ31" i="6"/>
  <c r="AJ36" i="6"/>
  <c r="AJ38" i="6"/>
  <c r="AJ40" i="6"/>
  <c r="AG30" i="6"/>
  <c r="AI30" i="6" s="1"/>
  <c r="AG32" i="6"/>
  <c r="AI32" i="6" s="1"/>
  <c r="AG35" i="6"/>
  <c r="AI35" i="6" s="1"/>
  <c r="AG37" i="6"/>
  <c r="AI37" i="6" s="1"/>
  <c r="AG39" i="6"/>
  <c r="AI39" i="6" s="1"/>
  <c r="AG41" i="6"/>
  <c r="AI41" i="6" s="1"/>
  <c r="AJ56" i="6"/>
  <c r="AJ42" i="6"/>
  <c r="AJ44" i="6"/>
  <c r="AJ48" i="6"/>
  <c r="AJ49" i="6"/>
  <c r="AJ52" i="6"/>
  <c r="AJ54" i="6"/>
  <c r="Y63" i="6"/>
  <c r="AH13" i="6" l="1"/>
  <c r="AJ13" i="6" l="1"/>
  <c r="AG13" i="6"/>
  <c r="AI13" i="6" s="1"/>
  <c r="AH70" i="6"/>
  <c r="R63" i="6"/>
  <c r="S63" i="6"/>
  <c r="T63" i="6"/>
  <c r="U63" i="6"/>
  <c r="V63" i="6"/>
  <c r="W63" i="6"/>
  <c r="X63" i="6"/>
  <c r="Z63" i="6"/>
  <c r="AA63" i="6"/>
  <c r="AB63" i="6"/>
  <c r="Q63" i="6"/>
  <c r="C11" i="6" l="1"/>
  <c r="A12" i="6" l="1"/>
  <c r="AH14" i="6"/>
  <c r="AH12" i="6"/>
  <c r="AH11" i="6"/>
  <c r="AJ14" i="6" l="1"/>
  <c r="AG14" i="6"/>
  <c r="AI14" i="6" s="1"/>
  <c r="AJ12" i="6"/>
  <c r="AG12" i="6"/>
  <c r="AJ11" i="6"/>
  <c r="AG11" i="6"/>
  <c r="AI12" i="6" l="1"/>
  <c r="AI11" i="6"/>
  <c r="Y66" i="6" l="1"/>
  <c r="Y67" i="6" s="1"/>
  <c r="AJ59" i="6" l="1"/>
  <c r="AH59" i="6"/>
  <c r="AI59" i="6" l="1"/>
  <c r="Q66" i="6"/>
  <c r="AD4" i="6"/>
  <c r="Q67" i="6" l="1"/>
  <c r="AJ61" i="6"/>
  <c r="D74" i="6" s="1"/>
  <c r="AI61" i="6"/>
  <c r="D73" i="6" s="1"/>
  <c r="U66" i="6"/>
  <c r="U67" i="6" s="1"/>
  <c r="AA66" i="6" l="1"/>
  <c r="AA67" i="6" s="1"/>
  <c r="AB66" i="6"/>
  <c r="AB67" i="6" s="1"/>
  <c r="X66" i="6"/>
  <c r="X67" i="6" s="1"/>
  <c r="Z66" i="6"/>
  <c r="Z67" i="6" s="1"/>
  <c r="V66" i="6"/>
  <c r="V67" i="6" s="1"/>
  <c r="W66" i="6"/>
  <c r="W67" i="6" s="1"/>
  <c r="R66" i="6" l="1"/>
  <c r="R67" i="6" l="1"/>
  <c r="T66" i="6"/>
  <c r="T67" i="6" s="1"/>
  <c r="S66" i="6"/>
  <c r="S67" i="6" s="1"/>
  <c r="AC66" i="6" l="1"/>
  <c r="AC67" i="6" s="1"/>
  <c r="AD5" i="6"/>
  <c r="AD6" i="6" l="1"/>
  <c r="AD7" i="6"/>
  <c r="C12" i="6"/>
  <c r="A13" i="6" s="1"/>
  <c r="C13" i="6" s="1"/>
</calcChain>
</file>

<file path=xl/sharedStrings.xml><?xml version="1.0" encoding="utf-8"?>
<sst xmlns="http://schemas.openxmlformats.org/spreadsheetml/2006/main" count="177" uniqueCount="66">
  <si>
    <t>ORDER QTY</t>
  </si>
  <si>
    <t>:</t>
  </si>
  <si>
    <t>PCS</t>
  </si>
  <si>
    <t>PERCENTAGE</t>
  </si>
  <si>
    <t>%</t>
  </si>
  <si>
    <t>SIZE</t>
  </si>
  <si>
    <t>QTY/ CTN</t>
  </si>
  <si>
    <t>TOTAL CTN</t>
  </si>
  <si>
    <t>TOTAL PCS</t>
  </si>
  <si>
    <t xml:space="preserve">TOTAL </t>
  </si>
  <si>
    <t>COLOR</t>
  </si>
  <si>
    <t>CASE LABEL NO.</t>
  </si>
  <si>
    <t>BUYER</t>
  </si>
  <si>
    <t>P.O NO</t>
  </si>
  <si>
    <t>DESCRIPTION</t>
  </si>
  <si>
    <t>SHIP QTY</t>
  </si>
  <si>
    <t>EXS/SHT QTY</t>
  </si>
  <si>
    <t>TOTAL</t>
  </si>
  <si>
    <t>PACKING LIST DETAILS .</t>
  </si>
  <si>
    <t>SUMMARY : COLOR &amp; SIZEWISE BREAKDOWN</t>
  </si>
  <si>
    <t>ABERCROMBIE</t>
  </si>
  <si>
    <t>STYLE</t>
  </si>
  <si>
    <t>KGS</t>
  </si>
  <si>
    <t>CREATIVE COLLECTIONS LTD.U-1B</t>
  </si>
  <si>
    <t>T. GROSS WEIGHT :</t>
  </si>
  <si>
    <t>T. NET      WEIGHT :</t>
  </si>
  <si>
    <t>Grs,wt,pr ctn</t>
  </si>
  <si>
    <t>Net,wt,pr ctn</t>
  </si>
  <si>
    <t>total,Grs,wt</t>
  </si>
  <si>
    <t>total net,wt</t>
  </si>
  <si>
    <t>size wise per pcs wt</t>
  </si>
  <si>
    <t>per cnt wt</t>
  </si>
  <si>
    <t>SMALL=</t>
  </si>
  <si>
    <t>BIG=</t>
  </si>
  <si>
    <t>-</t>
  </si>
  <si>
    <t>28X30</t>
  </si>
  <si>
    <t>29X30</t>
  </si>
  <si>
    <t>30X30</t>
  </si>
  <si>
    <t>30X32</t>
  </si>
  <si>
    <t>31X30</t>
  </si>
  <si>
    <t>31X32</t>
  </si>
  <si>
    <t>32X30</t>
  </si>
  <si>
    <t>32X32</t>
  </si>
  <si>
    <t>34X30</t>
  </si>
  <si>
    <t>34X32</t>
  </si>
  <si>
    <t>36X32</t>
  </si>
  <si>
    <t>PACK QTY</t>
  </si>
  <si>
    <t>EXCESS/SHORT QTY</t>
  </si>
  <si>
    <t>CARTON MEASUREMENT : L 62 X W 39 X H 27 CM</t>
  </si>
  <si>
    <t>CARTON MEASUREMENT : L 62 X W 39 X H 13 CM</t>
  </si>
  <si>
    <t>33X32</t>
  </si>
  <si>
    <t>US1BU</t>
  </si>
  <si>
    <t>28X28</t>
  </si>
  <si>
    <t>28X32</t>
  </si>
  <si>
    <t>29X32</t>
  </si>
  <si>
    <t>30X34</t>
  </si>
  <si>
    <t>30X28</t>
  </si>
  <si>
    <t>32X34</t>
  </si>
  <si>
    <t>33X30</t>
  </si>
  <si>
    <t>34X34</t>
  </si>
  <si>
    <t>36X30</t>
  </si>
  <si>
    <t>36X34</t>
  </si>
  <si>
    <t>38X30</t>
  </si>
  <si>
    <t>38X32</t>
  </si>
  <si>
    <t>S263310007</t>
  </si>
  <si>
    <t>HGUYS6095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</si>
</sst>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b/>
      <sz val="10"/>
      <name val="Calibri"/>
      <family val="2"/>
      <scheme val="minor"/>
    </font>
    <font>
      <b/>
      <u/>
      <sz val="16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0" xfId="1" applyFill="1" applyAlignment="1">
      <alignment vertical="center"/>
    </xf>
    <xf numFmtId="0" fontId="3" fillId="2" borderId="0" xfId="6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0" fillId="2" borderId="0" xfId="0" applyFill="1"/>
    <xf numFmtId="0" fontId="3" fillId="2" borderId="0" xfId="6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10" fontId="1" fillId="2" borderId="0" xfId="1" applyNumberFormat="1" applyFill="1" applyAlignment="1">
      <alignment vertical="center"/>
    </xf>
    <xf numFmtId="0" fontId="0" fillId="2" borderId="0" xfId="0" applyFill="1" applyAlignment="1">
      <alignment horizontal="center"/>
    </xf>
    <xf numFmtId="0" fontId="3" fillId="2" borderId="3" xfId="4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0" fontId="3" fillId="2" borderId="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4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3" fillId="2" borderId="8" xfId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7" fillId="2" borderId="10" xfId="4" applyFont="1" applyFill="1" applyBorder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2" xfId="1" applyFont="1" applyFill="1" applyBorder="1" applyAlignment="1">
      <alignment vertical="center"/>
    </xf>
    <xf numFmtId="0" fontId="3" fillId="2" borderId="11" xfId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1" fillId="2" borderId="1" xfId="1" applyFont="1" applyFill="1" applyBorder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2" fillId="2" borderId="28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34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34" xfId="0" quotePrefix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1" fillId="2" borderId="24" xfId="1" applyFill="1" applyBorder="1" applyAlignment="1">
      <alignment vertical="center"/>
    </xf>
    <xf numFmtId="0" fontId="1" fillId="2" borderId="24" xfId="1" applyFill="1" applyBorder="1" applyAlignment="1">
      <alignment horizontal="center" vertical="center" wrapText="1"/>
    </xf>
    <xf numFmtId="0" fontId="1" fillId="2" borderId="24" xfId="1" applyFill="1" applyBorder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1" fillId="5" borderId="1" xfId="1" applyFill="1" applyBorder="1" applyAlignment="1">
      <alignment vertical="center"/>
    </xf>
    <xf numFmtId="0" fontId="1" fillId="5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3" fillId="5" borderId="40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5" borderId="24" xfId="1" applyFill="1" applyBorder="1" applyAlignment="1">
      <alignment vertical="center"/>
    </xf>
    <xf numFmtId="0" fontId="1" fillId="5" borderId="24" xfId="1" applyFill="1" applyBorder="1" applyAlignment="1">
      <alignment horizontal="center" vertical="center" wrapText="1"/>
    </xf>
    <xf numFmtId="0" fontId="1" fillId="5" borderId="24" xfId="1" applyFill="1" applyBorder="1" applyAlignment="1">
      <alignment horizontal="center" vertical="center"/>
    </xf>
    <xf numFmtId="0" fontId="0" fillId="5" borderId="24" xfId="0" applyFill="1" applyBorder="1" applyAlignment="1">
      <alignment vertical="center"/>
    </xf>
    <xf numFmtId="0" fontId="19" fillId="2" borderId="24" xfId="0" quotePrefix="1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center" vertical="center"/>
    </xf>
    <xf numFmtId="0" fontId="4" fillId="2" borderId="21" xfId="5" applyFont="1" applyFill="1" applyBorder="1" applyAlignment="1">
      <alignment horizontal="left" vertical="center"/>
    </xf>
    <xf numFmtId="0" fontId="4" fillId="2" borderId="1" xfId="5" applyFont="1" applyFill="1" applyBorder="1" applyAlignment="1">
      <alignment horizontal="left" vertical="center"/>
    </xf>
    <xf numFmtId="0" fontId="4" fillId="2" borderId="27" xfId="5" applyFont="1" applyFill="1" applyBorder="1" applyAlignment="1">
      <alignment horizontal="left" vertical="center"/>
    </xf>
    <xf numFmtId="0" fontId="4" fillId="2" borderId="28" xfId="5" applyFont="1" applyFill="1" applyBorder="1" applyAlignment="1">
      <alignment horizontal="left" vertical="center"/>
    </xf>
    <xf numFmtId="0" fontId="11" fillId="2" borderId="1" xfId="7" applyFont="1" applyFill="1" applyBorder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0" fontId="4" fillId="2" borderId="22" xfId="5" applyFont="1" applyFill="1" applyBorder="1" applyAlignment="1">
      <alignment horizontal="left" vertical="center"/>
    </xf>
    <xf numFmtId="0" fontId="4" fillId="2" borderId="14" xfId="5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2" borderId="39" xfId="5" applyFont="1" applyFill="1" applyBorder="1" applyAlignment="1">
      <alignment horizontal="left" vertical="center"/>
    </xf>
    <xf numFmtId="0" fontId="4" fillId="2" borderId="34" xfId="5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2" fillId="2" borderId="11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11" fontId="3" fillId="2" borderId="0" xfId="0" quotePrefix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26" xfId="3" applyFont="1" applyFill="1" applyBorder="1" applyAlignment="1">
      <alignment horizontal="center" vertical="center" wrapText="1"/>
    </xf>
    <xf numFmtId="0" fontId="6" fillId="2" borderId="25" xfId="3" applyFont="1" applyFill="1" applyBorder="1" applyAlignment="1">
      <alignment horizontal="center" vertical="center" wrapText="1"/>
    </xf>
    <xf numFmtId="0" fontId="6" fillId="2" borderId="30" xfId="3" applyFont="1" applyFill="1" applyBorder="1" applyAlignment="1">
      <alignment horizontal="center" vertical="center" wrapText="1"/>
    </xf>
    <xf numFmtId="0" fontId="6" fillId="2" borderId="31" xfId="3" applyFont="1" applyFill="1" applyBorder="1" applyAlignment="1">
      <alignment horizontal="center" vertical="center" wrapText="1"/>
    </xf>
    <xf numFmtId="0" fontId="6" fillId="2" borderId="20" xfId="2" applyFont="1" applyFill="1" applyBorder="1" applyAlignment="1">
      <alignment horizontal="center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41" xfId="1" applyFont="1" applyFill="1" applyBorder="1" applyAlignment="1">
      <alignment horizontal="center" vertical="center"/>
    </xf>
  </cellXfs>
  <cellStyles count="9">
    <cellStyle name="Normal" xfId="0" builtinId="0"/>
    <cellStyle name="Normal 12" xfId="8" xr:uid="{00000000-0005-0000-0000-000001000000}"/>
    <cellStyle name="Normal 2" xfId="1" xr:uid="{00000000-0005-0000-0000-000002000000}"/>
    <cellStyle name="Normal 4" xfId="2" xr:uid="{00000000-0005-0000-0000-000003000000}"/>
    <cellStyle name="Normal 5" xfId="3" xr:uid="{00000000-0005-0000-0000-000004000000}"/>
    <cellStyle name="Normal 6" xfId="4" xr:uid="{00000000-0005-0000-0000-000005000000}"/>
    <cellStyle name="Normal 7" xfId="5" xr:uid="{00000000-0005-0000-0000-000006000000}"/>
    <cellStyle name="Normal 8" xfId="6" xr:uid="{00000000-0005-0000-0000-000007000000}"/>
    <cellStyle name="Normal 9" xfId="7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74"/>
  <sheetViews>
    <sheetView tabSelected="1" view="pageBreakPreview" topLeftCell="H61" zoomScale="85" zoomScaleNormal="85" zoomScaleSheetLayoutView="85" workbookViewId="0">
      <selection activeCell="AH72" sqref="AH72"/>
    </sheetView>
  </sheetViews>
  <sheetFormatPr defaultColWidth="9.140625" defaultRowHeight="15" x14ac:dyDescent="0.25"/>
  <cols>
    <col min="1" max="1" width="10" style="2" customWidth="1"/>
    <col min="2" max="2" width="1.42578125" style="2" customWidth="1"/>
    <col min="3" max="3" width="8.85546875" style="2" customWidth="1"/>
    <col min="4" max="4" width="14.140625" style="2" customWidth="1"/>
    <col min="5" max="28" width="7.42578125" style="2" customWidth="1"/>
    <col min="29" max="29" width="11.140625" style="2" customWidth="1"/>
    <col min="30" max="30" width="8.28515625" style="2" customWidth="1"/>
    <col min="31" max="31" width="7.28515625" style="2" customWidth="1"/>
    <col min="32" max="32" width="1.42578125" style="2" customWidth="1"/>
    <col min="33" max="16384" width="9.140625" style="2"/>
  </cols>
  <sheetData>
    <row r="1" spans="1:38" ht="23.25" x14ac:dyDescent="0.25">
      <c r="A1" s="101" t="s">
        <v>23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8" ht="20.25" x14ac:dyDescent="0.25">
      <c r="A2" s="102" t="s">
        <v>18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8" ht="13.7" customHeight="1" thickBot="1" x14ac:dyDescent="0.3"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7"/>
      <c r="AD3" s="103"/>
      <c r="AE3" s="103"/>
    </row>
    <row r="4" spans="1:38" ht="15.95" customHeight="1" x14ac:dyDescent="0.25">
      <c r="A4" s="13" t="s">
        <v>12</v>
      </c>
      <c r="B4" s="14" t="s">
        <v>1</v>
      </c>
      <c r="C4" s="104" t="s">
        <v>20</v>
      </c>
      <c r="D4" s="10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 t="s">
        <v>0</v>
      </c>
      <c r="AB4" s="15"/>
      <c r="AC4" s="17" t="s">
        <v>1</v>
      </c>
      <c r="AD4" s="18">
        <f>AC64</f>
        <v>4002</v>
      </c>
      <c r="AE4" s="19" t="s">
        <v>2</v>
      </c>
    </row>
    <row r="5" spans="1:38" ht="15.95" customHeight="1" x14ac:dyDescent="0.25">
      <c r="A5" s="20" t="s">
        <v>21</v>
      </c>
      <c r="B5" s="21" t="s">
        <v>1</v>
      </c>
      <c r="C5" s="105" t="s">
        <v>64</v>
      </c>
      <c r="D5" s="10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22" t="s">
        <v>46</v>
      </c>
      <c r="AB5" s="7"/>
      <c r="AC5" s="10" t="s">
        <v>1</v>
      </c>
      <c r="AD5" s="23">
        <f>AC65</f>
        <v>4002</v>
      </c>
      <c r="AE5" s="24" t="s">
        <v>2</v>
      </c>
    </row>
    <row r="6" spans="1:38" ht="15.95" customHeight="1" x14ac:dyDescent="0.25">
      <c r="A6" s="20" t="s">
        <v>13</v>
      </c>
      <c r="B6" s="21" t="s">
        <v>1</v>
      </c>
      <c r="C6" s="106">
        <v>3216597</v>
      </c>
      <c r="D6" s="10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22" t="s">
        <v>47</v>
      </c>
      <c r="AB6" s="7"/>
      <c r="AC6" s="10" t="s">
        <v>1</v>
      </c>
      <c r="AD6" s="23">
        <f>AC66</f>
        <v>0</v>
      </c>
      <c r="AE6" s="24" t="s">
        <v>2</v>
      </c>
    </row>
    <row r="7" spans="1:38" ht="15.95" customHeight="1" thickBot="1" x14ac:dyDescent="0.3">
      <c r="A7" s="25" t="s">
        <v>14</v>
      </c>
      <c r="B7" s="26" t="s">
        <v>1</v>
      </c>
      <c r="C7" s="27" t="s">
        <v>51</v>
      </c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9" t="s">
        <v>3</v>
      </c>
      <c r="AB7" s="28"/>
      <c r="AC7" s="30" t="s">
        <v>1</v>
      </c>
      <c r="AD7" s="31">
        <f>AC67</f>
        <v>0</v>
      </c>
      <c r="AE7" s="32" t="s">
        <v>4</v>
      </c>
    </row>
    <row r="8" spans="1:38" ht="9" customHeight="1" thickBot="1" x14ac:dyDescent="0.3"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8" ht="15.95" customHeight="1" x14ac:dyDescent="0.25">
      <c r="A9" s="107" t="s">
        <v>11</v>
      </c>
      <c r="B9" s="108"/>
      <c r="C9" s="109"/>
      <c r="D9" s="113" t="s">
        <v>10</v>
      </c>
      <c r="E9" s="115" t="s">
        <v>5</v>
      </c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7"/>
      <c r="AC9" s="97" t="s">
        <v>6</v>
      </c>
      <c r="AD9" s="97" t="s">
        <v>7</v>
      </c>
      <c r="AE9" s="95" t="s">
        <v>8</v>
      </c>
      <c r="AG9" s="99" t="s">
        <v>26</v>
      </c>
      <c r="AH9" s="99" t="s">
        <v>27</v>
      </c>
      <c r="AI9" s="99" t="s">
        <v>28</v>
      </c>
      <c r="AJ9" s="99" t="s">
        <v>29</v>
      </c>
      <c r="AK9" s="78" t="s">
        <v>30</v>
      </c>
      <c r="AL9" s="80" t="s">
        <v>31</v>
      </c>
    </row>
    <row r="10" spans="1:38" ht="30" customHeight="1" thickBot="1" x14ac:dyDescent="0.3">
      <c r="A10" s="110"/>
      <c r="B10" s="111"/>
      <c r="C10" s="112"/>
      <c r="D10" s="114"/>
      <c r="E10" s="75" t="s">
        <v>52</v>
      </c>
      <c r="F10" s="76" t="s">
        <v>35</v>
      </c>
      <c r="G10" s="76" t="s">
        <v>53</v>
      </c>
      <c r="H10" s="76" t="s">
        <v>36</v>
      </c>
      <c r="I10" s="76" t="s">
        <v>54</v>
      </c>
      <c r="J10" s="76" t="s">
        <v>37</v>
      </c>
      <c r="K10" s="76" t="s">
        <v>38</v>
      </c>
      <c r="L10" s="76" t="s">
        <v>55</v>
      </c>
      <c r="M10" s="75" t="s">
        <v>56</v>
      </c>
      <c r="N10" s="75" t="s">
        <v>39</v>
      </c>
      <c r="O10" s="76" t="s">
        <v>40</v>
      </c>
      <c r="P10" s="76" t="s">
        <v>41</v>
      </c>
      <c r="Q10" s="75" t="s">
        <v>42</v>
      </c>
      <c r="R10" s="76" t="s">
        <v>57</v>
      </c>
      <c r="S10" s="76" t="s">
        <v>58</v>
      </c>
      <c r="T10" s="76" t="s">
        <v>50</v>
      </c>
      <c r="U10" s="76" t="s">
        <v>43</v>
      </c>
      <c r="V10" s="76" t="s">
        <v>44</v>
      </c>
      <c r="W10" s="76" t="s">
        <v>59</v>
      </c>
      <c r="X10" s="76" t="s">
        <v>60</v>
      </c>
      <c r="Y10" s="75" t="s">
        <v>45</v>
      </c>
      <c r="Z10" s="75" t="s">
        <v>61</v>
      </c>
      <c r="AA10" s="76" t="s">
        <v>62</v>
      </c>
      <c r="AB10" s="76" t="s">
        <v>63</v>
      </c>
      <c r="AC10" s="98"/>
      <c r="AD10" s="98"/>
      <c r="AE10" s="96"/>
      <c r="AG10" s="100"/>
      <c r="AH10" s="100"/>
      <c r="AI10" s="100"/>
      <c r="AJ10" s="100"/>
      <c r="AK10" s="79"/>
      <c r="AL10" s="81"/>
    </row>
    <row r="11" spans="1:38" ht="18.75" customHeight="1" x14ac:dyDescent="0.25">
      <c r="A11" s="51">
        <v>1</v>
      </c>
      <c r="B11" s="51" t="s">
        <v>34</v>
      </c>
      <c r="C11" s="51">
        <f>A11-1+AD11</f>
        <v>2</v>
      </c>
      <c r="D11" s="33" t="s">
        <v>65</v>
      </c>
      <c r="E11" s="1">
        <v>20</v>
      </c>
      <c r="F11" s="3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34"/>
      <c r="S11" s="1"/>
      <c r="T11" s="1"/>
      <c r="U11" s="1"/>
      <c r="V11" s="1"/>
      <c r="W11" s="1"/>
      <c r="X11" s="1"/>
      <c r="Y11" s="1"/>
      <c r="Z11" s="1"/>
      <c r="AA11" s="1"/>
      <c r="AB11" s="1"/>
      <c r="AC11" s="60">
        <f>SUM(E11:AB11)</f>
        <v>20</v>
      </c>
      <c r="AD11" s="61">
        <v>2</v>
      </c>
      <c r="AE11" s="62">
        <f>AD11*AC11</f>
        <v>40</v>
      </c>
      <c r="AG11" s="45">
        <f t="shared" ref="AG11" si="0">AH11+1</f>
        <v>10.200000000000001</v>
      </c>
      <c r="AH11" s="45">
        <f>AK11*AC11</f>
        <v>9.2000000000000011</v>
      </c>
      <c r="AI11" s="45">
        <f>AG11*AD11</f>
        <v>20.400000000000002</v>
      </c>
      <c r="AJ11" s="45">
        <f t="shared" ref="AJ11" si="1">AH11*AD11</f>
        <v>18.400000000000002</v>
      </c>
      <c r="AK11" s="50">
        <v>0.46</v>
      </c>
      <c r="AL11" s="45">
        <v>1</v>
      </c>
    </row>
    <row r="12" spans="1:38" ht="18.75" customHeight="1" x14ac:dyDescent="0.25">
      <c r="A12" s="51">
        <f>C11+1</f>
        <v>3</v>
      </c>
      <c r="B12" s="51" t="s">
        <v>34</v>
      </c>
      <c r="C12" s="51">
        <f>A12-1+AD12</f>
        <v>3</v>
      </c>
      <c r="D12" s="33" t="s">
        <v>65</v>
      </c>
      <c r="E12" s="65">
        <v>6</v>
      </c>
      <c r="F12" s="64"/>
      <c r="G12" s="65"/>
      <c r="H12" s="64"/>
      <c r="I12" s="65"/>
      <c r="J12" s="65"/>
      <c r="K12" s="65"/>
      <c r="L12" s="65"/>
      <c r="M12" s="65"/>
      <c r="N12" s="65"/>
      <c r="O12" s="65"/>
      <c r="P12" s="65"/>
      <c r="Q12" s="63"/>
      <c r="R12" s="64"/>
      <c r="S12" s="65"/>
      <c r="T12" s="64"/>
      <c r="U12" s="65"/>
      <c r="V12" s="65"/>
      <c r="W12" s="65"/>
      <c r="X12" s="65"/>
      <c r="Y12" s="65"/>
      <c r="Z12" s="65"/>
      <c r="AA12" s="65"/>
      <c r="AB12" s="65"/>
      <c r="AC12" s="67">
        <f t="shared" ref="AC12:AC56" si="2">SUM(E12:AB12)</f>
        <v>6</v>
      </c>
      <c r="AD12" s="68">
        <v>1</v>
      </c>
      <c r="AE12" s="69">
        <f>AD12*AC12</f>
        <v>6</v>
      </c>
      <c r="AG12" s="47">
        <f t="shared" ref="AG12:AG13" si="3">AH12+1</f>
        <v>3.7600000000000002</v>
      </c>
      <c r="AH12" s="47">
        <f t="shared" ref="AH12:AH13" si="4">AK12*AC12</f>
        <v>2.7600000000000002</v>
      </c>
      <c r="AI12" s="47">
        <f t="shared" ref="AI12:AI13" si="5">AG12*AD12</f>
        <v>3.7600000000000002</v>
      </c>
      <c r="AJ12" s="47">
        <f t="shared" ref="AJ12:AJ13" si="6">AH12*AD12</f>
        <v>2.7600000000000002</v>
      </c>
      <c r="AK12" s="50">
        <v>0.46</v>
      </c>
      <c r="AL12" s="47">
        <v>1</v>
      </c>
    </row>
    <row r="13" spans="1:38" ht="18.75" customHeight="1" x14ac:dyDescent="0.25">
      <c r="A13" s="51">
        <f>C12+1</f>
        <v>4</v>
      </c>
      <c r="B13" s="51" t="s">
        <v>34</v>
      </c>
      <c r="C13" s="51">
        <f>A13-1+AD13</f>
        <v>23</v>
      </c>
      <c r="D13" s="33" t="s">
        <v>65</v>
      </c>
      <c r="E13" s="35"/>
      <c r="F13" s="34">
        <v>20</v>
      </c>
      <c r="G13" s="1"/>
      <c r="H13" s="34"/>
      <c r="I13" s="1"/>
      <c r="J13" s="1"/>
      <c r="K13" s="1"/>
      <c r="L13" s="1"/>
      <c r="M13" s="1"/>
      <c r="N13" s="1"/>
      <c r="O13" s="1"/>
      <c r="P13" s="1"/>
      <c r="Q13" s="35"/>
      <c r="R13" s="34"/>
      <c r="S13" s="1"/>
      <c r="T13" s="34"/>
      <c r="U13" s="1"/>
      <c r="V13" s="1"/>
      <c r="W13" s="1"/>
      <c r="X13" s="1"/>
      <c r="Y13" s="1"/>
      <c r="Z13" s="1"/>
      <c r="AA13" s="1"/>
      <c r="AB13" s="1"/>
      <c r="AC13" s="60">
        <f t="shared" si="2"/>
        <v>20</v>
      </c>
      <c r="AD13" s="61">
        <v>20</v>
      </c>
      <c r="AE13" s="62">
        <f t="shared" ref="AE13:AE57" si="7">AD13*AC13</f>
        <v>400</v>
      </c>
      <c r="AG13" s="47">
        <f t="shared" si="3"/>
        <v>10.200000000000001</v>
      </c>
      <c r="AH13" s="47">
        <f t="shared" si="4"/>
        <v>9.2000000000000011</v>
      </c>
      <c r="AI13" s="47">
        <f t="shared" si="5"/>
        <v>204.00000000000003</v>
      </c>
      <c r="AJ13" s="47">
        <f t="shared" si="6"/>
        <v>184.00000000000003</v>
      </c>
      <c r="AK13" s="50">
        <v>0.46</v>
      </c>
      <c r="AL13" s="47">
        <v>1</v>
      </c>
    </row>
    <row r="14" spans="1:38" ht="18.75" customHeight="1" x14ac:dyDescent="0.25">
      <c r="A14" s="51">
        <f t="shared" ref="A14:A58" si="8">C13+1</f>
        <v>24</v>
      </c>
      <c r="B14" s="51" t="s">
        <v>34</v>
      </c>
      <c r="C14" s="51">
        <f t="shared" ref="C14:C58" si="9">A14-1+AD14</f>
        <v>24</v>
      </c>
      <c r="D14" s="33" t="s">
        <v>65</v>
      </c>
      <c r="E14" s="35"/>
      <c r="F14" s="34">
        <v>16</v>
      </c>
      <c r="G14" s="1"/>
      <c r="H14" s="34"/>
      <c r="I14" s="1"/>
      <c r="J14" s="1"/>
      <c r="K14" s="1"/>
      <c r="L14" s="1"/>
      <c r="M14" s="1"/>
      <c r="N14" s="1"/>
      <c r="O14" s="1"/>
      <c r="P14" s="1"/>
      <c r="Q14" s="35"/>
      <c r="R14" s="34"/>
      <c r="S14" s="1"/>
      <c r="T14" s="34"/>
      <c r="U14" s="1"/>
      <c r="V14" s="1"/>
      <c r="W14" s="1"/>
      <c r="X14" s="1"/>
      <c r="Y14" s="1"/>
      <c r="Z14" s="1"/>
      <c r="AA14" s="1"/>
      <c r="AB14" s="1"/>
      <c r="AC14" s="60">
        <f t="shared" si="2"/>
        <v>16</v>
      </c>
      <c r="AD14" s="61">
        <v>1</v>
      </c>
      <c r="AE14" s="62">
        <f t="shared" si="7"/>
        <v>16</v>
      </c>
      <c r="AG14" s="47">
        <f t="shared" ref="AG14:AG57" si="10">AH14+1</f>
        <v>8.36</v>
      </c>
      <c r="AH14" s="47">
        <f t="shared" ref="AH14:AH57" si="11">AK14*AC14</f>
        <v>7.36</v>
      </c>
      <c r="AI14" s="47">
        <f t="shared" ref="AI14:AI57" si="12">AG14*AD14</f>
        <v>8.36</v>
      </c>
      <c r="AJ14" s="47">
        <f t="shared" ref="AJ14:AJ57" si="13">AH14*AD14</f>
        <v>7.36</v>
      </c>
      <c r="AK14" s="50">
        <v>0.46</v>
      </c>
      <c r="AL14" s="47">
        <v>1</v>
      </c>
    </row>
    <row r="15" spans="1:38" ht="18.75" customHeight="1" x14ac:dyDescent="0.25">
      <c r="A15" s="51">
        <f t="shared" si="8"/>
        <v>25</v>
      </c>
      <c r="B15" s="51" t="s">
        <v>34</v>
      </c>
      <c r="C15" s="51">
        <f t="shared" si="9"/>
        <v>25</v>
      </c>
      <c r="D15" s="33" t="s">
        <v>65</v>
      </c>
      <c r="E15" s="35"/>
      <c r="F15" s="34"/>
      <c r="G15" s="1">
        <v>20</v>
      </c>
      <c r="H15" s="34"/>
      <c r="I15" s="1"/>
      <c r="J15" s="1"/>
      <c r="K15" s="1"/>
      <c r="L15" s="1"/>
      <c r="M15" s="1"/>
      <c r="N15" s="1"/>
      <c r="O15" s="1"/>
      <c r="P15" s="1"/>
      <c r="Q15" s="35"/>
      <c r="R15" s="34"/>
      <c r="S15" s="1"/>
      <c r="T15" s="34"/>
      <c r="U15" s="1"/>
      <c r="V15" s="1"/>
      <c r="W15" s="1"/>
      <c r="X15" s="1"/>
      <c r="Y15" s="1"/>
      <c r="Z15" s="1"/>
      <c r="AA15" s="1"/>
      <c r="AB15" s="1"/>
      <c r="AC15" s="60">
        <f t="shared" si="2"/>
        <v>20</v>
      </c>
      <c r="AD15" s="61">
        <v>1</v>
      </c>
      <c r="AE15" s="62">
        <f t="shared" si="7"/>
        <v>20</v>
      </c>
      <c r="AG15" s="47">
        <f t="shared" ref="AG15:AG28" si="14">AH15+1</f>
        <v>10.200000000000001</v>
      </c>
      <c r="AH15" s="47">
        <f t="shared" ref="AH15:AH28" si="15">AK15*AC15</f>
        <v>9.2000000000000011</v>
      </c>
      <c r="AI15" s="47">
        <f t="shared" ref="AI15:AI28" si="16">AG15*AD15</f>
        <v>10.200000000000001</v>
      </c>
      <c r="AJ15" s="47">
        <f t="shared" ref="AJ15:AJ28" si="17">AH15*AD15</f>
        <v>9.2000000000000011</v>
      </c>
      <c r="AK15" s="50">
        <v>0.46</v>
      </c>
      <c r="AL15" s="47">
        <v>1</v>
      </c>
    </row>
    <row r="16" spans="1:38" ht="18.75" customHeight="1" x14ac:dyDescent="0.25">
      <c r="A16" s="51">
        <f t="shared" si="8"/>
        <v>26</v>
      </c>
      <c r="B16" s="51" t="s">
        <v>34</v>
      </c>
      <c r="C16" s="51">
        <f t="shared" si="9"/>
        <v>26</v>
      </c>
      <c r="D16" s="33" t="s">
        <v>65</v>
      </c>
      <c r="E16" s="35"/>
      <c r="F16" s="34"/>
      <c r="G16" s="1">
        <v>22</v>
      </c>
      <c r="H16" s="1"/>
      <c r="I16" s="1"/>
      <c r="J16" s="1"/>
      <c r="K16" s="1"/>
      <c r="L16" s="36"/>
      <c r="M16" s="34"/>
      <c r="N16" s="34"/>
      <c r="O16" s="34"/>
      <c r="P16" s="34"/>
      <c r="Q16" s="35"/>
      <c r="R16" s="34"/>
      <c r="S16" s="1"/>
      <c r="T16" s="1"/>
      <c r="U16" s="1"/>
      <c r="V16" s="1"/>
      <c r="W16" s="1"/>
      <c r="X16" s="36"/>
      <c r="Y16" s="34"/>
      <c r="Z16" s="34"/>
      <c r="AA16" s="34"/>
      <c r="AB16" s="34"/>
      <c r="AC16" s="60">
        <f t="shared" si="2"/>
        <v>22</v>
      </c>
      <c r="AD16" s="61">
        <v>1</v>
      </c>
      <c r="AE16" s="62">
        <f t="shared" si="7"/>
        <v>22</v>
      </c>
      <c r="AG16" s="47">
        <f t="shared" si="14"/>
        <v>11.120000000000001</v>
      </c>
      <c r="AH16" s="47">
        <f t="shared" si="15"/>
        <v>10.120000000000001</v>
      </c>
      <c r="AI16" s="47">
        <f t="shared" si="16"/>
        <v>11.120000000000001</v>
      </c>
      <c r="AJ16" s="47">
        <f t="shared" si="17"/>
        <v>10.120000000000001</v>
      </c>
      <c r="AK16" s="50">
        <v>0.46</v>
      </c>
      <c r="AL16" s="47">
        <v>1</v>
      </c>
    </row>
    <row r="17" spans="1:38" ht="18.75" customHeight="1" x14ac:dyDescent="0.25">
      <c r="A17" s="51">
        <f t="shared" si="8"/>
        <v>27</v>
      </c>
      <c r="B17" s="51" t="s">
        <v>34</v>
      </c>
      <c r="C17" s="51">
        <f t="shared" si="9"/>
        <v>44</v>
      </c>
      <c r="D17" s="33" t="s">
        <v>65</v>
      </c>
      <c r="E17" s="35"/>
      <c r="F17" s="34"/>
      <c r="G17" s="1"/>
      <c r="H17" s="1">
        <v>20</v>
      </c>
      <c r="I17" s="1"/>
      <c r="J17" s="1"/>
      <c r="K17" s="1"/>
      <c r="L17" s="36"/>
      <c r="M17" s="34"/>
      <c r="N17" s="34"/>
      <c r="O17" s="34"/>
      <c r="P17" s="34"/>
      <c r="Q17" s="35"/>
      <c r="R17" s="34"/>
      <c r="S17" s="1"/>
      <c r="T17" s="1"/>
      <c r="U17" s="1"/>
      <c r="V17" s="1"/>
      <c r="W17" s="1"/>
      <c r="X17" s="36"/>
      <c r="Y17" s="34"/>
      <c r="Z17" s="34"/>
      <c r="AA17" s="34"/>
      <c r="AB17" s="34"/>
      <c r="AC17" s="60">
        <f t="shared" si="2"/>
        <v>20</v>
      </c>
      <c r="AD17" s="61">
        <v>18</v>
      </c>
      <c r="AE17" s="62">
        <f t="shared" si="7"/>
        <v>360</v>
      </c>
      <c r="AG17" s="47">
        <f t="shared" si="14"/>
        <v>10.200000000000001</v>
      </c>
      <c r="AH17" s="47">
        <f t="shared" si="15"/>
        <v>9.2000000000000011</v>
      </c>
      <c r="AI17" s="47">
        <f t="shared" si="16"/>
        <v>183.60000000000002</v>
      </c>
      <c r="AJ17" s="47">
        <f t="shared" si="17"/>
        <v>165.60000000000002</v>
      </c>
      <c r="AK17" s="50">
        <v>0.46</v>
      </c>
      <c r="AL17" s="47">
        <v>1</v>
      </c>
    </row>
    <row r="18" spans="1:38" ht="18.75" customHeight="1" x14ac:dyDescent="0.25">
      <c r="A18" s="51">
        <f t="shared" si="8"/>
        <v>45</v>
      </c>
      <c r="B18" s="51" t="s">
        <v>34</v>
      </c>
      <c r="C18" s="51">
        <f t="shared" si="9"/>
        <v>45</v>
      </c>
      <c r="D18" s="33" t="s">
        <v>65</v>
      </c>
      <c r="E18" s="71"/>
      <c r="F18" s="72"/>
      <c r="G18" s="73"/>
      <c r="H18" s="73">
        <v>3</v>
      </c>
      <c r="I18" s="73"/>
      <c r="J18" s="73"/>
      <c r="K18" s="73"/>
      <c r="L18" s="74"/>
      <c r="M18" s="72"/>
      <c r="N18" s="72"/>
      <c r="O18" s="72"/>
      <c r="P18" s="72"/>
      <c r="Q18" s="71"/>
      <c r="R18" s="72"/>
      <c r="S18" s="73"/>
      <c r="T18" s="73"/>
      <c r="U18" s="73"/>
      <c r="V18" s="73"/>
      <c r="W18" s="73"/>
      <c r="X18" s="74"/>
      <c r="Y18" s="72"/>
      <c r="Z18" s="72"/>
      <c r="AA18" s="72"/>
      <c r="AB18" s="72"/>
      <c r="AC18" s="67">
        <f t="shared" si="2"/>
        <v>3</v>
      </c>
      <c r="AD18" s="68">
        <v>1</v>
      </c>
      <c r="AE18" s="69">
        <f t="shared" si="7"/>
        <v>3</v>
      </c>
      <c r="AG18" s="47">
        <f t="shared" si="14"/>
        <v>2.38</v>
      </c>
      <c r="AH18" s="47">
        <f t="shared" si="15"/>
        <v>1.3800000000000001</v>
      </c>
      <c r="AI18" s="47">
        <f t="shared" si="16"/>
        <v>2.38</v>
      </c>
      <c r="AJ18" s="47">
        <f t="shared" si="17"/>
        <v>1.3800000000000001</v>
      </c>
      <c r="AK18" s="50">
        <v>0.46</v>
      </c>
      <c r="AL18" s="47">
        <v>1</v>
      </c>
    </row>
    <row r="19" spans="1:38" ht="18.75" customHeight="1" x14ac:dyDescent="0.25">
      <c r="A19" s="51">
        <f t="shared" si="8"/>
        <v>46</v>
      </c>
      <c r="B19" s="51" t="s">
        <v>34</v>
      </c>
      <c r="C19" s="51">
        <f t="shared" si="9"/>
        <v>46</v>
      </c>
      <c r="D19" s="33" t="s">
        <v>65</v>
      </c>
      <c r="E19" s="35"/>
      <c r="F19" s="34"/>
      <c r="G19" s="1"/>
      <c r="H19" s="1"/>
      <c r="I19" s="1">
        <v>20</v>
      </c>
      <c r="J19" s="1"/>
      <c r="K19" s="1"/>
      <c r="L19" s="36"/>
      <c r="M19" s="34"/>
      <c r="N19" s="34"/>
      <c r="O19" s="34"/>
      <c r="P19" s="34"/>
      <c r="Q19" s="35"/>
      <c r="R19" s="34"/>
      <c r="S19" s="1"/>
      <c r="T19" s="1"/>
      <c r="U19" s="1"/>
      <c r="V19" s="1"/>
      <c r="W19" s="1"/>
      <c r="X19" s="36"/>
      <c r="Y19" s="34"/>
      <c r="Z19" s="34"/>
      <c r="AA19" s="34"/>
      <c r="AB19" s="34"/>
      <c r="AC19" s="60">
        <f t="shared" ref="AC19" si="18">SUM(E19:AB19)</f>
        <v>20</v>
      </c>
      <c r="AD19" s="61">
        <v>1</v>
      </c>
      <c r="AE19" s="62">
        <f t="shared" ref="AE19" si="19">AD19*AC19</f>
        <v>20</v>
      </c>
      <c r="AG19" s="47">
        <f t="shared" ref="AG19" si="20">AH19+1</f>
        <v>10.200000000000001</v>
      </c>
      <c r="AH19" s="47">
        <f t="shared" ref="AH19" si="21">AK19*AC19</f>
        <v>9.2000000000000011</v>
      </c>
      <c r="AI19" s="47">
        <f t="shared" ref="AI19" si="22">AG19*AD19</f>
        <v>10.200000000000001</v>
      </c>
      <c r="AJ19" s="47">
        <f t="shared" ref="AJ19" si="23">AH19*AD19</f>
        <v>9.2000000000000011</v>
      </c>
      <c r="AK19" s="50">
        <v>0.46</v>
      </c>
      <c r="AL19" s="47">
        <v>1</v>
      </c>
    </row>
    <row r="20" spans="1:38" ht="18.75" customHeight="1" x14ac:dyDescent="0.25">
      <c r="A20" s="51">
        <f t="shared" si="8"/>
        <v>47</v>
      </c>
      <c r="B20" s="51" t="s">
        <v>34</v>
      </c>
      <c r="C20" s="51">
        <f t="shared" si="9"/>
        <v>47</v>
      </c>
      <c r="D20" s="33" t="s">
        <v>65</v>
      </c>
      <c r="E20" s="35"/>
      <c r="F20" s="34"/>
      <c r="G20" s="1"/>
      <c r="H20" s="1"/>
      <c r="I20" s="1">
        <v>22</v>
      </c>
      <c r="J20" s="1"/>
      <c r="K20" s="1"/>
      <c r="L20" s="36"/>
      <c r="M20" s="34"/>
      <c r="N20" s="34"/>
      <c r="O20" s="34"/>
      <c r="P20" s="34"/>
      <c r="Q20" s="35"/>
      <c r="R20" s="34"/>
      <c r="S20" s="1"/>
      <c r="T20" s="1"/>
      <c r="U20" s="1"/>
      <c r="V20" s="1"/>
      <c r="W20" s="1"/>
      <c r="X20" s="36"/>
      <c r="Y20" s="34"/>
      <c r="Z20" s="34"/>
      <c r="AA20" s="34"/>
      <c r="AB20" s="34"/>
      <c r="AC20" s="60">
        <f t="shared" si="2"/>
        <v>22</v>
      </c>
      <c r="AD20" s="61">
        <v>1</v>
      </c>
      <c r="AE20" s="62">
        <f t="shared" si="7"/>
        <v>22</v>
      </c>
      <c r="AG20" s="47">
        <f t="shared" si="14"/>
        <v>11.120000000000001</v>
      </c>
      <c r="AH20" s="47">
        <f t="shared" si="15"/>
        <v>10.120000000000001</v>
      </c>
      <c r="AI20" s="47">
        <f t="shared" si="16"/>
        <v>11.120000000000001</v>
      </c>
      <c r="AJ20" s="47">
        <f t="shared" si="17"/>
        <v>10.120000000000001</v>
      </c>
      <c r="AK20" s="50">
        <v>0.46</v>
      </c>
      <c r="AL20" s="47">
        <v>1</v>
      </c>
    </row>
    <row r="21" spans="1:38" ht="18.75" customHeight="1" x14ac:dyDescent="0.25">
      <c r="A21" s="51">
        <f t="shared" si="8"/>
        <v>48</v>
      </c>
      <c r="B21" s="51" t="s">
        <v>34</v>
      </c>
      <c r="C21" s="51">
        <f t="shared" si="9"/>
        <v>66</v>
      </c>
      <c r="D21" s="33" t="s">
        <v>65</v>
      </c>
      <c r="E21" s="35"/>
      <c r="F21" s="34"/>
      <c r="G21" s="1"/>
      <c r="H21" s="1"/>
      <c r="I21" s="1"/>
      <c r="J21" s="1">
        <v>20</v>
      </c>
      <c r="K21" s="1"/>
      <c r="L21" s="47"/>
      <c r="M21" s="34"/>
      <c r="N21" s="34"/>
      <c r="O21" s="34"/>
      <c r="P21" s="34"/>
      <c r="Q21" s="35"/>
      <c r="R21" s="34"/>
      <c r="S21" s="1"/>
      <c r="T21" s="1"/>
      <c r="U21" s="1"/>
      <c r="V21" s="1"/>
      <c r="W21" s="1"/>
      <c r="X21" s="47"/>
      <c r="Y21" s="34"/>
      <c r="Z21" s="34"/>
      <c r="AA21" s="34"/>
      <c r="AB21" s="34"/>
      <c r="AC21" s="60">
        <f t="shared" ref="AC21" si="24">SUM(E21:AB21)</f>
        <v>20</v>
      </c>
      <c r="AD21" s="61">
        <v>19</v>
      </c>
      <c r="AE21" s="62">
        <f t="shared" ref="AE21" si="25">AD21*AC21</f>
        <v>380</v>
      </c>
      <c r="AG21" s="47">
        <f t="shared" ref="AG21" si="26">AH21+1</f>
        <v>10.200000000000001</v>
      </c>
      <c r="AH21" s="47">
        <f t="shared" ref="AH21" si="27">AK21*AC21</f>
        <v>9.2000000000000011</v>
      </c>
      <c r="AI21" s="47">
        <f t="shared" ref="AI21" si="28">AG21*AD21</f>
        <v>193.8</v>
      </c>
      <c r="AJ21" s="47">
        <f t="shared" ref="AJ21" si="29">AH21*AD21</f>
        <v>174.8</v>
      </c>
      <c r="AK21" s="50">
        <v>0.46</v>
      </c>
      <c r="AL21" s="47">
        <v>1</v>
      </c>
    </row>
    <row r="22" spans="1:38" ht="18.75" customHeight="1" x14ac:dyDescent="0.25">
      <c r="A22" s="51">
        <f t="shared" si="8"/>
        <v>67</v>
      </c>
      <c r="B22" s="51" t="s">
        <v>34</v>
      </c>
      <c r="C22" s="51">
        <f t="shared" si="9"/>
        <v>67</v>
      </c>
      <c r="D22" s="33" t="s">
        <v>65</v>
      </c>
      <c r="E22" s="63"/>
      <c r="F22" s="64"/>
      <c r="G22" s="65"/>
      <c r="H22" s="65"/>
      <c r="I22" s="65"/>
      <c r="J22" s="65">
        <v>3</v>
      </c>
      <c r="K22" s="65"/>
      <c r="L22" s="70"/>
      <c r="M22" s="64"/>
      <c r="N22" s="64"/>
      <c r="O22" s="64"/>
      <c r="P22" s="64"/>
      <c r="Q22" s="63"/>
      <c r="R22" s="64"/>
      <c r="S22" s="65"/>
      <c r="T22" s="65"/>
      <c r="U22" s="65"/>
      <c r="V22" s="65"/>
      <c r="W22" s="65"/>
      <c r="X22" s="70"/>
      <c r="Y22" s="64"/>
      <c r="Z22" s="64"/>
      <c r="AA22" s="64"/>
      <c r="AB22" s="64"/>
      <c r="AC22" s="67">
        <f t="shared" si="2"/>
        <v>3</v>
      </c>
      <c r="AD22" s="68">
        <v>1</v>
      </c>
      <c r="AE22" s="69">
        <f t="shared" si="7"/>
        <v>3</v>
      </c>
      <c r="AG22" s="47">
        <f t="shared" si="14"/>
        <v>2.38</v>
      </c>
      <c r="AH22" s="47">
        <f t="shared" si="15"/>
        <v>1.3800000000000001</v>
      </c>
      <c r="AI22" s="47">
        <f t="shared" si="16"/>
        <v>2.38</v>
      </c>
      <c r="AJ22" s="47">
        <f t="shared" si="17"/>
        <v>1.3800000000000001</v>
      </c>
      <c r="AK22" s="50">
        <v>0.46</v>
      </c>
      <c r="AL22" s="47">
        <v>1</v>
      </c>
    </row>
    <row r="23" spans="1:38" ht="18.75" customHeight="1" x14ac:dyDescent="0.25">
      <c r="A23" s="51">
        <f t="shared" si="8"/>
        <v>68</v>
      </c>
      <c r="B23" s="51" t="s">
        <v>34</v>
      </c>
      <c r="C23" s="51">
        <f t="shared" si="9"/>
        <v>83</v>
      </c>
      <c r="D23" s="33" t="s">
        <v>65</v>
      </c>
      <c r="E23" s="35"/>
      <c r="F23" s="34"/>
      <c r="G23" s="1"/>
      <c r="H23" s="1"/>
      <c r="I23" s="1"/>
      <c r="J23" s="1"/>
      <c r="K23" s="1">
        <v>20</v>
      </c>
      <c r="L23" s="47"/>
      <c r="M23" s="34"/>
      <c r="N23" s="34"/>
      <c r="O23" s="34"/>
      <c r="P23" s="34"/>
      <c r="Q23" s="35"/>
      <c r="R23" s="34"/>
      <c r="S23" s="1"/>
      <c r="T23" s="1"/>
      <c r="U23" s="1"/>
      <c r="V23" s="1"/>
      <c r="W23" s="1"/>
      <c r="X23" s="47"/>
      <c r="Y23" s="34"/>
      <c r="Z23" s="34"/>
      <c r="AA23" s="34"/>
      <c r="AB23" s="34"/>
      <c r="AC23" s="60">
        <f t="shared" si="2"/>
        <v>20</v>
      </c>
      <c r="AD23" s="61">
        <v>16</v>
      </c>
      <c r="AE23" s="62">
        <f t="shared" si="7"/>
        <v>320</v>
      </c>
      <c r="AG23" s="47">
        <f t="shared" si="14"/>
        <v>10.200000000000001</v>
      </c>
      <c r="AH23" s="47">
        <f t="shared" si="15"/>
        <v>9.2000000000000011</v>
      </c>
      <c r="AI23" s="47">
        <f t="shared" si="16"/>
        <v>163.20000000000002</v>
      </c>
      <c r="AJ23" s="47">
        <f t="shared" si="17"/>
        <v>147.20000000000002</v>
      </c>
      <c r="AK23" s="50">
        <v>0.46</v>
      </c>
      <c r="AL23" s="47">
        <v>1</v>
      </c>
    </row>
    <row r="24" spans="1:38" ht="18.75" customHeight="1" x14ac:dyDescent="0.25">
      <c r="A24" s="51">
        <f t="shared" si="8"/>
        <v>84</v>
      </c>
      <c r="B24" s="51" t="s">
        <v>34</v>
      </c>
      <c r="C24" s="51">
        <f t="shared" si="9"/>
        <v>84</v>
      </c>
      <c r="D24" s="33" t="s">
        <v>65</v>
      </c>
      <c r="E24" s="35"/>
      <c r="F24" s="34"/>
      <c r="G24" s="1"/>
      <c r="H24" s="1"/>
      <c r="I24" s="1"/>
      <c r="J24" s="1"/>
      <c r="K24" s="1">
        <v>13</v>
      </c>
      <c r="L24" s="36"/>
      <c r="M24" s="34"/>
      <c r="N24" s="34"/>
      <c r="O24" s="34"/>
      <c r="P24" s="34"/>
      <c r="Q24" s="35"/>
      <c r="R24" s="34"/>
      <c r="S24" s="1"/>
      <c r="T24" s="1"/>
      <c r="U24" s="1"/>
      <c r="V24" s="1"/>
      <c r="W24" s="1"/>
      <c r="X24" s="36"/>
      <c r="Y24" s="34"/>
      <c r="Z24" s="34"/>
      <c r="AA24" s="34"/>
      <c r="AB24" s="34"/>
      <c r="AC24" s="60">
        <f t="shared" si="2"/>
        <v>13</v>
      </c>
      <c r="AD24" s="61">
        <v>1</v>
      </c>
      <c r="AE24" s="62">
        <f t="shared" si="7"/>
        <v>13</v>
      </c>
      <c r="AG24" s="47">
        <f t="shared" si="14"/>
        <v>6.98</v>
      </c>
      <c r="AH24" s="47">
        <f t="shared" si="15"/>
        <v>5.98</v>
      </c>
      <c r="AI24" s="47">
        <f t="shared" si="16"/>
        <v>6.98</v>
      </c>
      <c r="AJ24" s="47">
        <f t="shared" si="17"/>
        <v>5.98</v>
      </c>
      <c r="AK24" s="50">
        <v>0.46</v>
      </c>
      <c r="AL24" s="47">
        <v>1</v>
      </c>
    </row>
    <row r="25" spans="1:38" ht="18.75" customHeight="1" x14ac:dyDescent="0.25">
      <c r="A25" s="51">
        <f t="shared" si="8"/>
        <v>85</v>
      </c>
      <c r="B25" s="51" t="s">
        <v>34</v>
      </c>
      <c r="C25" s="51">
        <f t="shared" si="9"/>
        <v>85</v>
      </c>
      <c r="D25" s="33" t="s">
        <v>65</v>
      </c>
      <c r="E25" s="35"/>
      <c r="F25" s="34"/>
      <c r="G25" s="1"/>
      <c r="H25" s="1"/>
      <c r="I25" s="1"/>
      <c r="J25" s="1"/>
      <c r="K25" s="1"/>
      <c r="L25" s="47">
        <v>20</v>
      </c>
      <c r="M25" s="34"/>
      <c r="N25" s="34"/>
      <c r="O25" s="34"/>
      <c r="P25" s="34"/>
      <c r="Q25" s="35"/>
      <c r="R25" s="34"/>
      <c r="S25" s="1"/>
      <c r="T25" s="1"/>
      <c r="U25" s="1"/>
      <c r="V25" s="1"/>
      <c r="W25" s="1"/>
      <c r="X25" s="36"/>
      <c r="Y25" s="34"/>
      <c r="Z25" s="34"/>
      <c r="AA25" s="34"/>
      <c r="AB25" s="34"/>
      <c r="AC25" s="60">
        <f t="shared" si="2"/>
        <v>20</v>
      </c>
      <c r="AD25" s="61">
        <v>1</v>
      </c>
      <c r="AE25" s="62">
        <f t="shared" si="7"/>
        <v>20</v>
      </c>
      <c r="AG25" s="47">
        <f t="shared" si="14"/>
        <v>10.200000000000001</v>
      </c>
      <c r="AH25" s="47">
        <f t="shared" si="15"/>
        <v>9.2000000000000011</v>
      </c>
      <c r="AI25" s="47">
        <f t="shared" si="16"/>
        <v>10.200000000000001</v>
      </c>
      <c r="AJ25" s="47">
        <f t="shared" si="17"/>
        <v>9.2000000000000011</v>
      </c>
      <c r="AK25" s="50">
        <v>0.46</v>
      </c>
      <c r="AL25" s="47">
        <v>1</v>
      </c>
    </row>
    <row r="26" spans="1:38" ht="18.75" customHeight="1" x14ac:dyDescent="0.25">
      <c r="A26" s="51">
        <f t="shared" si="8"/>
        <v>86</v>
      </c>
      <c r="B26" s="51" t="s">
        <v>34</v>
      </c>
      <c r="C26" s="51">
        <f t="shared" si="9"/>
        <v>86</v>
      </c>
      <c r="D26" s="33" t="s">
        <v>65</v>
      </c>
      <c r="E26" s="35"/>
      <c r="F26" s="34"/>
      <c r="G26" s="1"/>
      <c r="H26" s="1"/>
      <c r="I26" s="1"/>
      <c r="J26" s="1"/>
      <c r="K26" s="1"/>
      <c r="L26" s="47">
        <v>19</v>
      </c>
      <c r="M26" s="34"/>
      <c r="N26" s="34"/>
      <c r="O26" s="34"/>
      <c r="P26" s="34"/>
      <c r="Q26" s="35"/>
      <c r="R26" s="34"/>
      <c r="S26" s="1"/>
      <c r="T26" s="1"/>
      <c r="U26" s="1"/>
      <c r="V26" s="1"/>
      <c r="W26" s="1"/>
      <c r="X26" s="36"/>
      <c r="Y26" s="34"/>
      <c r="Z26" s="34"/>
      <c r="AA26" s="34"/>
      <c r="AB26" s="34"/>
      <c r="AC26" s="60">
        <f t="shared" si="2"/>
        <v>19</v>
      </c>
      <c r="AD26" s="61">
        <v>1</v>
      </c>
      <c r="AE26" s="62">
        <f t="shared" si="7"/>
        <v>19</v>
      </c>
      <c r="AG26" s="47">
        <f t="shared" si="14"/>
        <v>9.74</v>
      </c>
      <c r="AH26" s="47">
        <f t="shared" si="15"/>
        <v>8.74</v>
      </c>
      <c r="AI26" s="47">
        <f t="shared" si="16"/>
        <v>9.74</v>
      </c>
      <c r="AJ26" s="47">
        <f t="shared" si="17"/>
        <v>8.74</v>
      </c>
      <c r="AK26" s="50">
        <v>0.46</v>
      </c>
      <c r="AL26" s="47">
        <v>1</v>
      </c>
    </row>
    <row r="27" spans="1:38" s="44" customFormat="1" ht="18.75" customHeight="1" x14ac:dyDescent="0.25">
      <c r="A27" s="51">
        <f t="shared" si="8"/>
        <v>87</v>
      </c>
      <c r="B27" s="51" t="s">
        <v>34</v>
      </c>
      <c r="C27" s="51">
        <f t="shared" si="9"/>
        <v>87</v>
      </c>
      <c r="D27" s="33" t="s">
        <v>65</v>
      </c>
      <c r="E27" s="35"/>
      <c r="F27" s="34"/>
      <c r="G27" s="1"/>
      <c r="H27" s="1"/>
      <c r="I27" s="1"/>
      <c r="J27" s="1"/>
      <c r="K27" s="1"/>
      <c r="L27" s="36"/>
      <c r="M27" s="34">
        <v>20</v>
      </c>
      <c r="N27" s="34"/>
      <c r="O27" s="34"/>
      <c r="P27" s="34"/>
      <c r="Q27" s="35"/>
      <c r="R27" s="34"/>
      <c r="S27" s="1"/>
      <c r="T27" s="1"/>
      <c r="U27" s="1"/>
      <c r="V27" s="1"/>
      <c r="W27" s="1"/>
      <c r="X27" s="36"/>
      <c r="Y27" s="34"/>
      <c r="Z27" s="34"/>
      <c r="AA27" s="34"/>
      <c r="AB27" s="34"/>
      <c r="AC27" s="60">
        <f t="shared" ref="AC27" si="30">SUM(E27:AB27)</f>
        <v>20</v>
      </c>
      <c r="AD27" s="61">
        <v>1</v>
      </c>
      <c r="AE27" s="62">
        <f t="shared" ref="AE27" si="31">AD27*AC27</f>
        <v>20</v>
      </c>
      <c r="AF27" s="2"/>
      <c r="AG27" s="47">
        <f t="shared" ref="AG27" si="32">AH27+1</f>
        <v>10.200000000000001</v>
      </c>
      <c r="AH27" s="47">
        <f t="shared" ref="AH27" si="33">AK27*AC27</f>
        <v>9.2000000000000011</v>
      </c>
      <c r="AI27" s="47">
        <f t="shared" ref="AI27" si="34">AG27*AD27</f>
        <v>10.200000000000001</v>
      </c>
      <c r="AJ27" s="47">
        <f t="shared" ref="AJ27" si="35">AH27*AD27</f>
        <v>9.2000000000000011</v>
      </c>
      <c r="AK27" s="50">
        <v>0.46</v>
      </c>
      <c r="AL27" s="47">
        <v>1</v>
      </c>
    </row>
    <row r="28" spans="1:38" s="44" customFormat="1" ht="18.75" customHeight="1" x14ac:dyDescent="0.25">
      <c r="A28" s="51">
        <f t="shared" si="8"/>
        <v>88</v>
      </c>
      <c r="B28" s="51" t="s">
        <v>34</v>
      </c>
      <c r="C28" s="51">
        <f t="shared" si="9"/>
        <v>88</v>
      </c>
      <c r="D28" s="33" t="s">
        <v>65</v>
      </c>
      <c r="E28" s="63"/>
      <c r="F28" s="64"/>
      <c r="G28" s="65"/>
      <c r="H28" s="65"/>
      <c r="I28" s="65"/>
      <c r="J28" s="65"/>
      <c r="K28" s="65"/>
      <c r="L28" s="66"/>
      <c r="M28" s="64">
        <v>10</v>
      </c>
      <c r="N28" s="64"/>
      <c r="O28" s="64"/>
      <c r="P28" s="64"/>
      <c r="Q28" s="63"/>
      <c r="R28" s="64"/>
      <c r="S28" s="65"/>
      <c r="T28" s="65"/>
      <c r="U28" s="65"/>
      <c r="V28" s="65"/>
      <c r="W28" s="65"/>
      <c r="X28" s="66"/>
      <c r="Y28" s="64"/>
      <c r="Z28" s="64"/>
      <c r="AA28" s="64"/>
      <c r="AB28" s="64"/>
      <c r="AC28" s="67">
        <f t="shared" si="2"/>
        <v>10</v>
      </c>
      <c r="AD28" s="68">
        <v>1</v>
      </c>
      <c r="AE28" s="69">
        <f t="shared" si="7"/>
        <v>10</v>
      </c>
      <c r="AF28" s="2"/>
      <c r="AG28" s="47">
        <f t="shared" si="14"/>
        <v>5.6000000000000005</v>
      </c>
      <c r="AH28" s="47">
        <f t="shared" si="15"/>
        <v>4.6000000000000005</v>
      </c>
      <c r="AI28" s="47">
        <f t="shared" si="16"/>
        <v>5.6000000000000005</v>
      </c>
      <c r="AJ28" s="47">
        <f t="shared" si="17"/>
        <v>4.6000000000000005</v>
      </c>
      <c r="AK28" s="50">
        <v>0.46</v>
      </c>
      <c r="AL28" s="47">
        <v>1</v>
      </c>
    </row>
    <row r="29" spans="1:38" ht="18.75" customHeight="1" x14ac:dyDescent="0.25">
      <c r="A29" s="51">
        <f t="shared" si="8"/>
        <v>89</v>
      </c>
      <c r="B29" s="51" t="s">
        <v>34</v>
      </c>
      <c r="C29" s="51">
        <f t="shared" si="9"/>
        <v>100</v>
      </c>
      <c r="D29" s="33" t="s">
        <v>65</v>
      </c>
      <c r="E29" s="35"/>
      <c r="F29" s="34"/>
      <c r="G29" s="1"/>
      <c r="H29" s="34"/>
      <c r="I29" s="1"/>
      <c r="J29" s="1"/>
      <c r="K29" s="1"/>
      <c r="L29" s="1"/>
      <c r="M29" s="1"/>
      <c r="N29" s="1">
        <v>20</v>
      </c>
      <c r="O29" s="1"/>
      <c r="P29" s="1"/>
      <c r="Q29" s="35"/>
      <c r="R29" s="34"/>
      <c r="S29" s="1"/>
      <c r="T29" s="34"/>
      <c r="U29" s="1"/>
      <c r="V29" s="1"/>
      <c r="W29" s="1"/>
      <c r="X29" s="1"/>
      <c r="Y29" s="1"/>
      <c r="Z29" s="1"/>
      <c r="AA29" s="1"/>
      <c r="AB29" s="1"/>
      <c r="AC29" s="60">
        <f t="shared" si="2"/>
        <v>20</v>
      </c>
      <c r="AD29" s="61">
        <v>12</v>
      </c>
      <c r="AE29" s="62">
        <f t="shared" si="7"/>
        <v>240</v>
      </c>
      <c r="AG29" s="47">
        <f t="shared" si="10"/>
        <v>10.200000000000001</v>
      </c>
      <c r="AH29" s="47">
        <f t="shared" si="11"/>
        <v>9.2000000000000011</v>
      </c>
      <c r="AI29" s="47">
        <f t="shared" si="12"/>
        <v>122.4</v>
      </c>
      <c r="AJ29" s="47">
        <f t="shared" si="13"/>
        <v>110.4</v>
      </c>
      <c r="AK29" s="50">
        <v>0.46</v>
      </c>
      <c r="AL29" s="47">
        <v>1</v>
      </c>
    </row>
    <row r="30" spans="1:38" ht="18.75" customHeight="1" x14ac:dyDescent="0.25">
      <c r="A30" s="51">
        <f t="shared" si="8"/>
        <v>101</v>
      </c>
      <c r="B30" s="51" t="s">
        <v>34</v>
      </c>
      <c r="C30" s="51">
        <f t="shared" si="9"/>
        <v>101</v>
      </c>
      <c r="D30" s="33" t="s">
        <v>65</v>
      </c>
      <c r="E30" s="63"/>
      <c r="F30" s="64"/>
      <c r="G30" s="65"/>
      <c r="H30" s="65"/>
      <c r="I30" s="65"/>
      <c r="J30" s="65"/>
      <c r="K30" s="65"/>
      <c r="L30" s="66"/>
      <c r="M30" s="64"/>
      <c r="N30" s="64">
        <v>4</v>
      </c>
      <c r="O30" s="64"/>
      <c r="P30" s="64"/>
      <c r="Q30" s="63"/>
      <c r="R30" s="64"/>
      <c r="S30" s="65"/>
      <c r="T30" s="65"/>
      <c r="U30" s="65"/>
      <c r="V30" s="65"/>
      <c r="W30" s="65"/>
      <c r="X30" s="66"/>
      <c r="Y30" s="64"/>
      <c r="Z30" s="64"/>
      <c r="AA30" s="64"/>
      <c r="AB30" s="64"/>
      <c r="AC30" s="67">
        <f t="shared" si="2"/>
        <v>4</v>
      </c>
      <c r="AD30" s="68">
        <v>1</v>
      </c>
      <c r="AE30" s="69">
        <f t="shared" si="7"/>
        <v>4</v>
      </c>
      <c r="AG30" s="47">
        <f t="shared" si="10"/>
        <v>2.84</v>
      </c>
      <c r="AH30" s="47">
        <f t="shared" si="11"/>
        <v>1.84</v>
      </c>
      <c r="AI30" s="47">
        <f t="shared" si="12"/>
        <v>2.84</v>
      </c>
      <c r="AJ30" s="47">
        <f t="shared" si="13"/>
        <v>1.84</v>
      </c>
      <c r="AK30" s="50">
        <v>0.46</v>
      </c>
      <c r="AL30" s="47">
        <v>1</v>
      </c>
    </row>
    <row r="31" spans="1:38" ht="18.75" customHeight="1" x14ac:dyDescent="0.25">
      <c r="A31" s="51">
        <f t="shared" si="8"/>
        <v>102</v>
      </c>
      <c r="B31" s="51" t="s">
        <v>34</v>
      </c>
      <c r="C31" s="51">
        <f t="shared" si="9"/>
        <v>111</v>
      </c>
      <c r="D31" s="33" t="s">
        <v>65</v>
      </c>
      <c r="E31" s="35"/>
      <c r="F31" s="34"/>
      <c r="G31" s="1"/>
      <c r="H31" s="1"/>
      <c r="I31" s="1"/>
      <c r="J31" s="1"/>
      <c r="K31" s="1"/>
      <c r="L31" s="36"/>
      <c r="M31" s="34"/>
      <c r="N31" s="34"/>
      <c r="O31" s="34">
        <v>20</v>
      </c>
      <c r="P31" s="34"/>
      <c r="Q31" s="35"/>
      <c r="R31" s="34"/>
      <c r="S31" s="1"/>
      <c r="T31" s="1"/>
      <c r="U31" s="1"/>
      <c r="V31" s="1"/>
      <c r="W31" s="1"/>
      <c r="X31" s="36"/>
      <c r="Y31" s="34"/>
      <c r="Z31" s="34"/>
      <c r="AA31" s="34"/>
      <c r="AB31" s="34"/>
      <c r="AC31" s="60">
        <f t="shared" si="2"/>
        <v>20</v>
      </c>
      <c r="AD31" s="61">
        <v>10</v>
      </c>
      <c r="AE31" s="62">
        <f t="shared" si="7"/>
        <v>200</v>
      </c>
      <c r="AG31" s="47">
        <f t="shared" si="10"/>
        <v>10.200000000000001</v>
      </c>
      <c r="AH31" s="47">
        <f t="shared" si="11"/>
        <v>9.2000000000000011</v>
      </c>
      <c r="AI31" s="47">
        <f t="shared" si="12"/>
        <v>102.00000000000001</v>
      </c>
      <c r="AJ31" s="47">
        <f t="shared" si="13"/>
        <v>92.000000000000014</v>
      </c>
      <c r="AK31" s="50">
        <v>0.46</v>
      </c>
      <c r="AL31" s="47">
        <v>1</v>
      </c>
    </row>
    <row r="32" spans="1:38" ht="18.75" customHeight="1" x14ac:dyDescent="0.25">
      <c r="A32" s="51">
        <f t="shared" si="8"/>
        <v>112</v>
      </c>
      <c r="B32" s="51" t="s">
        <v>34</v>
      </c>
      <c r="C32" s="51">
        <f t="shared" si="9"/>
        <v>112</v>
      </c>
      <c r="D32" s="33" t="s">
        <v>65</v>
      </c>
      <c r="E32" s="56"/>
      <c r="F32" s="57"/>
      <c r="G32" s="58"/>
      <c r="H32" s="58"/>
      <c r="I32" s="58"/>
      <c r="J32" s="58"/>
      <c r="K32" s="58"/>
      <c r="L32" s="59"/>
      <c r="M32" s="57"/>
      <c r="N32" s="57"/>
      <c r="O32" s="57">
        <v>11</v>
      </c>
      <c r="P32" s="57"/>
      <c r="Q32" s="56"/>
      <c r="R32" s="57"/>
      <c r="S32" s="58"/>
      <c r="T32" s="58"/>
      <c r="U32" s="58"/>
      <c r="V32" s="58"/>
      <c r="W32" s="58"/>
      <c r="X32" s="59"/>
      <c r="Y32" s="57"/>
      <c r="Z32" s="57"/>
      <c r="AA32" s="57"/>
      <c r="AB32" s="57"/>
      <c r="AC32" s="60">
        <f t="shared" si="2"/>
        <v>11</v>
      </c>
      <c r="AD32" s="61">
        <v>1</v>
      </c>
      <c r="AE32" s="62">
        <f t="shared" si="7"/>
        <v>11</v>
      </c>
      <c r="AG32" s="47">
        <f t="shared" si="10"/>
        <v>6.0600000000000005</v>
      </c>
      <c r="AH32" s="47">
        <f t="shared" si="11"/>
        <v>5.0600000000000005</v>
      </c>
      <c r="AI32" s="47">
        <f t="shared" si="12"/>
        <v>6.0600000000000005</v>
      </c>
      <c r="AJ32" s="47">
        <f t="shared" si="13"/>
        <v>5.0600000000000005</v>
      </c>
      <c r="AK32" s="50">
        <v>0.46</v>
      </c>
      <c r="AL32" s="47">
        <v>1</v>
      </c>
    </row>
    <row r="33" spans="1:38" ht="18.75" customHeight="1" x14ac:dyDescent="0.25">
      <c r="A33" s="51">
        <f t="shared" si="8"/>
        <v>113</v>
      </c>
      <c r="B33" s="51" t="s">
        <v>34</v>
      </c>
      <c r="C33" s="51">
        <f t="shared" si="9"/>
        <v>128</v>
      </c>
      <c r="D33" s="33" t="s">
        <v>65</v>
      </c>
      <c r="E33" s="35"/>
      <c r="F33" s="34"/>
      <c r="G33" s="1"/>
      <c r="H33" s="1"/>
      <c r="I33" s="1"/>
      <c r="J33" s="1"/>
      <c r="K33" s="1"/>
      <c r="L33" s="36"/>
      <c r="M33" s="34"/>
      <c r="N33" s="34"/>
      <c r="O33" s="34"/>
      <c r="P33" s="34">
        <v>20</v>
      </c>
      <c r="Q33" s="35"/>
      <c r="R33" s="34"/>
      <c r="S33" s="1"/>
      <c r="T33" s="1"/>
      <c r="U33" s="1"/>
      <c r="V33" s="1"/>
      <c r="W33" s="1"/>
      <c r="X33" s="36"/>
      <c r="Y33" s="34"/>
      <c r="Z33" s="34"/>
      <c r="AA33" s="34"/>
      <c r="AB33" s="34"/>
      <c r="AC33" s="60">
        <f t="shared" ref="AC33" si="36">SUM(E33:AB33)</f>
        <v>20</v>
      </c>
      <c r="AD33" s="61">
        <v>16</v>
      </c>
      <c r="AE33" s="62">
        <f t="shared" si="7"/>
        <v>320</v>
      </c>
      <c r="AG33" s="47">
        <f t="shared" si="10"/>
        <v>10.200000000000001</v>
      </c>
      <c r="AH33" s="47">
        <f t="shared" si="11"/>
        <v>9.2000000000000011</v>
      </c>
      <c r="AI33" s="47">
        <f t="shared" si="12"/>
        <v>163.20000000000002</v>
      </c>
      <c r="AJ33" s="47">
        <f t="shared" si="13"/>
        <v>147.20000000000002</v>
      </c>
      <c r="AK33" s="50">
        <v>0.46</v>
      </c>
      <c r="AL33" s="47">
        <v>1</v>
      </c>
    </row>
    <row r="34" spans="1:38" ht="18.75" customHeight="1" x14ac:dyDescent="0.25">
      <c r="A34" s="51">
        <f t="shared" si="8"/>
        <v>129</v>
      </c>
      <c r="B34" s="51" t="s">
        <v>34</v>
      </c>
      <c r="C34" s="51">
        <f t="shared" si="9"/>
        <v>129</v>
      </c>
      <c r="D34" s="33" t="s">
        <v>65</v>
      </c>
      <c r="E34" s="35"/>
      <c r="F34" s="34"/>
      <c r="G34" s="1"/>
      <c r="H34" s="1"/>
      <c r="I34" s="1"/>
      <c r="J34" s="1"/>
      <c r="K34" s="1"/>
      <c r="L34" s="36"/>
      <c r="M34" s="34"/>
      <c r="N34" s="34"/>
      <c r="O34" s="34"/>
      <c r="P34" s="34">
        <v>22</v>
      </c>
      <c r="Q34" s="35"/>
      <c r="R34" s="34"/>
      <c r="S34" s="1"/>
      <c r="T34" s="1"/>
      <c r="U34" s="1"/>
      <c r="V34" s="1"/>
      <c r="W34" s="1"/>
      <c r="X34" s="36"/>
      <c r="Y34" s="34"/>
      <c r="Z34" s="34"/>
      <c r="AA34" s="34"/>
      <c r="AB34" s="34"/>
      <c r="AC34" s="60">
        <f t="shared" ref="AC34" si="37">SUM(E34:AB34)</f>
        <v>22</v>
      </c>
      <c r="AD34" s="61">
        <v>1</v>
      </c>
      <c r="AE34" s="62">
        <f t="shared" ref="AE34" si="38">AD34*AC34</f>
        <v>22</v>
      </c>
      <c r="AG34" s="47">
        <f t="shared" ref="AG34" si="39">AH34+1</f>
        <v>11.120000000000001</v>
      </c>
      <c r="AH34" s="47">
        <f t="shared" ref="AH34" si="40">AK34*AC34</f>
        <v>10.120000000000001</v>
      </c>
      <c r="AI34" s="47">
        <f t="shared" ref="AI34" si="41">AG34*AD34</f>
        <v>11.120000000000001</v>
      </c>
      <c r="AJ34" s="47">
        <f t="shared" ref="AJ34" si="42">AH34*AD34</f>
        <v>10.120000000000001</v>
      </c>
      <c r="AK34" s="50">
        <v>0.46</v>
      </c>
      <c r="AL34" s="47">
        <v>1</v>
      </c>
    </row>
    <row r="35" spans="1:38" ht="18.75" customHeight="1" x14ac:dyDescent="0.25">
      <c r="A35" s="51">
        <f t="shared" si="8"/>
        <v>130</v>
      </c>
      <c r="B35" s="51" t="s">
        <v>34</v>
      </c>
      <c r="C35" s="51">
        <f t="shared" si="9"/>
        <v>145</v>
      </c>
      <c r="D35" s="33" t="s">
        <v>65</v>
      </c>
      <c r="E35" s="35"/>
      <c r="F35" s="34"/>
      <c r="G35" s="1"/>
      <c r="H35" s="1"/>
      <c r="I35" s="1"/>
      <c r="J35" s="1"/>
      <c r="K35" s="1"/>
      <c r="L35" s="36"/>
      <c r="M35" s="34"/>
      <c r="N35" s="34"/>
      <c r="O35" s="34"/>
      <c r="P35" s="34"/>
      <c r="Q35" s="1">
        <v>20</v>
      </c>
      <c r="R35" s="34"/>
      <c r="S35" s="1"/>
      <c r="T35" s="1"/>
      <c r="U35" s="1"/>
      <c r="V35" s="1"/>
      <c r="W35" s="1"/>
      <c r="X35" s="36"/>
      <c r="Y35" s="34"/>
      <c r="Z35" s="34"/>
      <c r="AA35" s="34"/>
      <c r="AB35" s="34"/>
      <c r="AC35" s="60">
        <f t="shared" si="2"/>
        <v>20</v>
      </c>
      <c r="AD35" s="61">
        <v>16</v>
      </c>
      <c r="AE35" s="62">
        <f t="shared" si="7"/>
        <v>320</v>
      </c>
      <c r="AG35" s="47">
        <f t="shared" si="10"/>
        <v>10.200000000000001</v>
      </c>
      <c r="AH35" s="47">
        <f t="shared" si="11"/>
        <v>9.2000000000000011</v>
      </c>
      <c r="AI35" s="47">
        <f t="shared" si="12"/>
        <v>163.20000000000002</v>
      </c>
      <c r="AJ35" s="47">
        <f t="shared" si="13"/>
        <v>147.20000000000002</v>
      </c>
      <c r="AK35" s="50">
        <v>0.46</v>
      </c>
      <c r="AL35" s="47">
        <v>1</v>
      </c>
    </row>
    <row r="36" spans="1:38" ht="18.75" customHeight="1" x14ac:dyDescent="0.25">
      <c r="A36" s="51">
        <f t="shared" si="8"/>
        <v>146</v>
      </c>
      <c r="B36" s="51" t="s">
        <v>34</v>
      </c>
      <c r="C36" s="51">
        <f t="shared" si="9"/>
        <v>146</v>
      </c>
      <c r="D36" s="33" t="s">
        <v>65</v>
      </c>
      <c r="E36" s="35"/>
      <c r="F36" s="34"/>
      <c r="G36" s="1"/>
      <c r="H36" s="1"/>
      <c r="I36" s="1"/>
      <c r="J36" s="1"/>
      <c r="K36" s="1"/>
      <c r="L36" s="47"/>
      <c r="M36" s="34"/>
      <c r="N36" s="34"/>
      <c r="O36" s="34"/>
      <c r="P36" s="34"/>
      <c r="Q36" s="1">
        <v>19</v>
      </c>
      <c r="R36" s="34"/>
      <c r="S36" s="1"/>
      <c r="T36" s="1"/>
      <c r="U36" s="1"/>
      <c r="V36" s="1"/>
      <c r="W36" s="1"/>
      <c r="X36" s="47"/>
      <c r="Y36" s="34"/>
      <c r="Z36" s="34"/>
      <c r="AA36" s="34"/>
      <c r="AB36" s="34"/>
      <c r="AC36" s="60">
        <f t="shared" si="2"/>
        <v>19</v>
      </c>
      <c r="AD36" s="61">
        <v>1</v>
      </c>
      <c r="AE36" s="62">
        <f t="shared" si="7"/>
        <v>19</v>
      </c>
      <c r="AG36" s="47">
        <f t="shared" si="10"/>
        <v>9.74</v>
      </c>
      <c r="AH36" s="47">
        <f t="shared" si="11"/>
        <v>8.74</v>
      </c>
      <c r="AI36" s="47">
        <f t="shared" si="12"/>
        <v>9.74</v>
      </c>
      <c r="AJ36" s="47">
        <f t="shared" si="13"/>
        <v>8.74</v>
      </c>
      <c r="AK36" s="50">
        <v>0.46</v>
      </c>
      <c r="AL36" s="47">
        <v>1</v>
      </c>
    </row>
    <row r="37" spans="1:38" ht="18.75" customHeight="1" x14ac:dyDescent="0.25">
      <c r="A37" s="51">
        <f t="shared" si="8"/>
        <v>147</v>
      </c>
      <c r="B37" s="51" t="s">
        <v>34</v>
      </c>
      <c r="C37" s="51">
        <f t="shared" si="9"/>
        <v>156</v>
      </c>
      <c r="D37" s="33" t="s">
        <v>65</v>
      </c>
      <c r="E37" s="35"/>
      <c r="F37" s="34"/>
      <c r="G37" s="1"/>
      <c r="H37" s="1"/>
      <c r="I37" s="1"/>
      <c r="J37" s="1"/>
      <c r="K37" s="1"/>
      <c r="L37" s="47"/>
      <c r="M37" s="34"/>
      <c r="N37" s="34"/>
      <c r="O37" s="34"/>
      <c r="P37" s="34"/>
      <c r="Q37" s="35"/>
      <c r="R37" s="34">
        <v>20</v>
      </c>
      <c r="S37" s="1"/>
      <c r="T37" s="1"/>
      <c r="U37" s="1"/>
      <c r="V37" s="1"/>
      <c r="W37" s="1"/>
      <c r="X37" s="47"/>
      <c r="Y37" s="34"/>
      <c r="Z37" s="34"/>
      <c r="AA37" s="34"/>
      <c r="AB37" s="34"/>
      <c r="AC37" s="60">
        <f t="shared" si="2"/>
        <v>20</v>
      </c>
      <c r="AD37" s="61">
        <v>10</v>
      </c>
      <c r="AE37" s="62">
        <f t="shared" si="7"/>
        <v>200</v>
      </c>
      <c r="AG37" s="47">
        <f t="shared" si="10"/>
        <v>10.200000000000001</v>
      </c>
      <c r="AH37" s="47">
        <f t="shared" si="11"/>
        <v>9.2000000000000011</v>
      </c>
      <c r="AI37" s="47">
        <f t="shared" si="12"/>
        <v>102.00000000000001</v>
      </c>
      <c r="AJ37" s="47">
        <f t="shared" si="13"/>
        <v>92.000000000000014</v>
      </c>
      <c r="AK37" s="50">
        <v>0.46</v>
      </c>
      <c r="AL37" s="47">
        <v>1</v>
      </c>
    </row>
    <row r="38" spans="1:38" ht="18.75" customHeight="1" x14ac:dyDescent="0.25">
      <c r="A38" s="51">
        <f t="shared" si="8"/>
        <v>157</v>
      </c>
      <c r="B38" s="51" t="s">
        <v>34</v>
      </c>
      <c r="C38" s="51">
        <f t="shared" si="9"/>
        <v>157</v>
      </c>
      <c r="D38" s="33" t="s">
        <v>65</v>
      </c>
      <c r="E38" s="35"/>
      <c r="F38" s="34"/>
      <c r="G38" s="1"/>
      <c r="H38" s="1"/>
      <c r="I38" s="1"/>
      <c r="J38" s="1"/>
      <c r="K38" s="1"/>
      <c r="L38" s="36"/>
      <c r="M38" s="34"/>
      <c r="N38" s="34"/>
      <c r="O38" s="34"/>
      <c r="P38" s="34"/>
      <c r="Q38" s="35"/>
      <c r="R38" s="34">
        <v>16</v>
      </c>
      <c r="S38" s="1"/>
      <c r="T38" s="1"/>
      <c r="U38" s="1"/>
      <c r="V38" s="1"/>
      <c r="W38" s="1"/>
      <c r="X38" s="36"/>
      <c r="Y38" s="34"/>
      <c r="Z38" s="34"/>
      <c r="AA38" s="34"/>
      <c r="AB38" s="34"/>
      <c r="AC38" s="60">
        <f t="shared" si="2"/>
        <v>16</v>
      </c>
      <c r="AD38" s="61">
        <v>1</v>
      </c>
      <c r="AE38" s="62">
        <f t="shared" si="7"/>
        <v>16</v>
      </c>
      <c r="AG38" s="47">
        <f t="shared" si="10"/>
        <v>8.36</v>
      </c>
      <c r="AH38" s="47">
        <f t="shared" si="11"/>
        <v>7.36</v>
      </c>
      <c r="AI38" s="47">
        <f t="shared" si="12"/>
        <v>8.36</v>
      </c>
      <c r="AJ38" s="47">
        <f t="shared" si="13"/>
        <v>7.36</v>
      </c>
      <c r="AK38" s="50">
        <v>0.46</v>
      </c>
      <c r="AL38" s="47">
        <v>1</v>
      </c>
    </row>
    <row r="39" spans="1:38" ht="18.75" customHeight="1" x14ac:dyDescent="0.25">
      <c r="A39" s="51">
        <f t="shared" si="8"/>
        <v>158</v>
      </c>
      <c r="B39" s="51" t="s">
        <v>34</v>
      </c>
      <c r="C39" s="51">
        <f t="shared" si="9"/>
        <v>158</v>
      </c>
      <c r="D39" s="33" t="s">
        <v>65</v>
      </c>
      <c r="E39" s="35"/>
      <c r="F39" s="34"/>
      <c r="G39" s="1"/>
      <c r="H39" s="1"/>
      <c r="I39" s="1"/>
      <c r="J39" s="1"/>
      <c r="K39" s="1"/>
      <c r="L39" s="36"/>
      <c r="M39" s="34"/>
      <c r="N39" s="34"/>
      <c r="O39" s="34"/>
      <c r="P39" s="34"/>
      <c r="Q39" s="35"/>
      <c r="R39" s="34"/>
      <c r="S39" s="1">
        <v>20</v>
      </c>
      <c r="T39" s="1"/>
      <c r="U39" s="1"/>
      <c r="V39" s="1"/>
      <c r="W39" s="1"/>
      <c r="X39" s="36"/>
      <c r="Y39" s="34"/>
      <c r="Z39" s="34"/>
      <c r="AA39" s="34"/>
      <c r="AB39" s="34"/>
      <c r="AC39" s="60">
        <f t="shared" si="2"/>
        <v>20</v>
      </c>
      <c r="AD39" s="61">
        <v>1</v>
      </c>
      <c r="AE39" s="62">
        <f t="shared" si="7"/>
        <v>20</v>
      </c>
      <c r="AG39" s="47">
        <f t="shared" si="10"/>
        <v>10.200000000000001</v>
      </c>
      <c r="AH39" s="47">
        <f t="shared" si="11"/>
        <v>9.2000000000000011</v>
      </c>
      <c r="AI39" s="47">
        <f t="shared" si="12"/>
        <v>10.200000000000001</v>
      </c>
      <c r="AJ39" s="47">
        <f t="shared" si="13"/>
        <v>9.2000000000000011</v>
      </c>
      <c r="AK39" s="50">
        <v>0.46</v>
      </c>
      <c r="AL39" s="47">
        <v>1</v>
      </c>
    </row>
    <row r="40" spans="1:38" ht="18.75" customHeight="1" x14ac:dyDescent="0.25">
      <c r="A40" s="51">
        <f t="shared" si="8"/>
        <v>159</v>
      </c>
      <c r="B40" s="51" t="s">
        <v>34</v>
      </c>
      <c r="C40" s="51">
        <f t="shared" si="9"/>
        <v>159</v>
      </c>
      <c r="D40" s="33" t="s">
        <v>65</v>
      </c>
      <c r="E40" s="63"/>
      <c r="F40" s="64"/>
      <c r="G40" s="65"/>
      <c r="H40" s="65"/>
      <c r="I40" s="65"/>
      <c r="J40" s="65"/>
      <c r="K40" s="65"/>
      <c r="L40" s="66"/>
      <c r="M40" s="64"/>
      <c r="N40" s="64"/>
      <c r="O40" s="64"/>
      <c r="P40" s="64"/>
      <c r="Q40" s="63"/>
      <c r="R40" s="64"/>
      <c r="S40" s="65">
        <v>10</v>
      </c>
      <c r="T40" s="65"/>
      <c r="U40" s="65"/>
      <c r="V40" s="65"/>
      <c r="W40" s="65"/>
      <c r="X40" s="66"/>
      <c r="Y40" s="64"/>
      <c r="Z40" s="64"/>
      <c r="AA40" s="64"/>
      <c r="AB40" s="64"/>
      <c r="AC40" s="67">
        <f t="shared" si="2"/>
        <v>10</v>
      </c>
      <c r="AD40" s="68">
        <v>1</v>
      </c>
      <c r="AE40" s="69">
        <f t="shared" si="7"/>
        <v>10</v>
      </c>
      <c r="AG40" s="47">
        <f t="shared" si="10"/>
        <v>5.6000000000000005</v>
      </c>
      <c r="AH40" s="47">
        <f t="shared" si="11"/>
        <v>4.6000000000000005</v>
      </c>
      <c r="AI40" s="47">
        <f t="shared" si="12"/>
        <v>5.6000000000000005</v>
      </c>
      <c r="AJ40" s="47">
        <f t="shared" si="13"/>
        <v>4.6000000000000005</v>
      </c>
      <c r="AK40" s="50">
        <v>0.46</v>
      </c>
      <c r="AL40" s="47">
        <v>1</v>
      </c>
    </row>
    <row r="41" spans="1:38" s="44" customFormat="1" ht="18.75" customHeight="1" x14ac:dyDescent="0.25">
      <c r="A41" s="51">
        <f t="shared" si="8"/>
        <v>160</v>
      </c>
      <c r="B41" s="51" t="s">
        <v>34</v>
      </c>
      <c r="C41" s="51">
        <f t="shared" si="9"/>
        <v>167</v>
      </c>
      <c r="D41" s="33" t="s">
        <v>65</v>
      </c>
      <c r="E41" s="35"/>
      <c r="F41" s="34"/>
      <c r="G41" s="1"/>
      <c r="H41" s="1"/>
      <c r="I41" s="1"/>
      <c r="J41" s="1"/>
      <c r="K41" s="1"/>
      <c r="L41" s="36"/>
      <c r="M41" s="34"/>
      <c r="N41" s="34"/>
      <c r="O41" s="34"/>
      <c r="P41" s="34"/>
      <c r="Q41" s="35"/>
      <c r="R41" s="34"/>
      <c r="S41" s="1"/>
      <c r="T41" s="1">
        <v>20</v>
      </c>
      <c r="U41" s="1"/>
      <c r="V41" s="1"/>
      <c r="W41" s="1"/>
      <c r="X41" s="36"/>
      <c r="Y41" s="34"/>
      <c r="Z41" s="34"/>
      <c r="AA41" s="34"/>
      <c r="AB41" s="34"/>
      <c r="AC41" s="60">
        <f t="shared" si="2"/>
        <v>20</v>
      </c>
      <c r="AD41" s="61">
        <v>8</v>
      </c>
      <c r="AE41" s="62">
        <f t="shared" si="7"/>
        <v>160</v>
      </c>
      <c r="AF41" s="2"/>
      <c r="AG41" s="47">
        <f t="shared" si="10"/>
        <v>10.200000000000001</v>
      </c>
      <c r="AH41" s="47">
        <f t="shared" si="11"/>
        <v>9.2000000000000011</v>
      </c>
      <c r="AI41" s="47">
        <f t="shared" si="12"/>
        <v>81.600000000000009</v>
      </c>
      <c r="AJ41" s="47">
        <f t="shared" si="13"/>
        <v>73.600000000000009</v>
      </c>
      <c r="AK41" s="50">
        <v>0.46</v>
      </c>
      <c r="AL41" s="47">
        <v>1</v>
      </c>
    </row>
    <row r="42" spans="1:38" ht="18.75" customHeight="1" x14ac:dyDescent="0.25">
      <c r="A42" s="51">
        <f t="shared" si="8"/>
        <v>168</v>
      </c>
      <c r="B42" s="51" t="s">
        <v>34</v>
      </c>
      <c r="C42" s="51">
        <f t="shared" si="9"/>
        <v>168</v>
      </c>
      <c r="D42" s="33" t="s">
        <v>65</v>
      </c>
      <c r="E42" s="35"/>
      <c r="F42" s="34"/>
      <c r="G42" s="1"/>
      <c r="H42" s="34"/>
      <c r="I42" s="1"/>
      <c r="J42" s="1"/>
      <c r="K42" s="1"/>
      <c r="L42" s="1"/>
      <c r="M42" s="1"/>
      <c r="N42" s="1"/>
      <c r="O42" s="1"/>
      <c r="P42" s="1"/>
      <c r="Q42" s="35"/>
      <c r="R42" s="34"/>
      <c r="S42" s="1"/>
      <c r="T42" s="34">
        <v>22</v>
      </c>
      <c r="U42" s="1"/>
      <c r="V42" s="1"/>
      <c r="W42" s="1"/>
      <c r="X42" s="1"/>
      <c r="Y42" s="1"/>
      <c r="Z42" s="1"/>
      <c r="AA42" s="1"/>
      <c r="AB42" s="1"/>
      <c r="AC42" s="60">
        <f t="shared" si="2"/>
        <v>22</v>
      </c>
      <c r="AD42" s="61">
        <v>1</v>
      </c>
      <c r="AE42" s="62">
        <f t="shared" si="7"/>
        <v>22</v>
      </c>
      <c r="AG42" s="47">
        <f t="shared" ref="AG42:AG55" si="43">AH42+1</f>
        <v>11.120000000000001</v>
      </c>
      <c r="AH42" s="47">
        <f t="shared" ref="AH42:AH55" si="44">AK42*AC42</f>
        <v>10.120000000000001</v>
      </c>
      <c r="AI42" s="47">
        <f t="shared" ref="AI42:AI55" si="45">AG42*AD42</f>
        <v>11.120000000000001</v>
      </c>
      <c r="AJ42" s="47">
        <f t="shared" ref="AJ42:AJ55" si="46">AH42*AD42</f>
        <v>10.120000000000001</v>
      </c>
      <c r="AK42" s="50">
        <v>0.46</v>
      </c>
      <c r="AL42" s="47">
        <v>1</v>
      </c>
    </row>
    <row r="43" spans="1:38" ht="18.75" customHeight="1" x14ac:dyDescent="0.25">
      <c r="A43" s="51">
        <f t="shared" si="8"/>
        <v>169</v>
      </c>
      <c r="B43" s="51" t="s">
        <v>34</v>
      </c>
      <c r="C43" s="51">
        <f t="shared" si="9"/>
        <v>177</v>
      </c>
      <c r="D43" s="33" t="s">
        <v>65</v>
      </c>
      <c r="E43" s="35"/>
      <c r="F43" s="34"/>
      <c r="G43" s="1"/>
      <c r="H43" s="1"/>
      <c r="I43" s="1"/>
      <c r="J43" s="1"/>
      <c r="K43" s="1"/>
      <c r="L43" s="36"/>
      <c r="M43" s="34"/>
      <c r="N43" s="34"/>
      <c r="O43" s="34"/>
      <c r="P43" s="34"/>
      <c r="Q43" s="35"/>
      <c r="R43" s="34"/>
      <c r="S43" s="1"/>
      <c r="T43" s="1"/>
      <c r="U43" s="1">
        <v>20</v>
      </c>
      <c r="V43" s="1"/>
      <c r="W43" s="1"/>
      <c r="X43" s="36"/>
      <c r="Y43" s="34"/>
      <c r="Z43" s="34"/>
      <c r="AA43" s="34"/>
      <c r="AB43" s="34"/>
      <c r="AC43" s="60">
        <f t="shared" si="2"/>
        <v>20</v>
      </c>
      <c r="AD43" s="61">
        <v>9</v>
      </c>
      <c r="AE43" s="62">
        <f t="shared" si="7"/>
        <v>180</v>
      </c>
      <c r="AG43" s="47">
        <f t="shared" si="43"/>
        <v>10.200000000000001</v>
      </c>
      <c r="AH43" s="47">
        <f t="shared" si="44"/>
        <v>9.2000000000000011</v>
      </c>
      <c r="AI43" s="47">
        <f t="shared" si="45"/>
        <v>91.800000000000011</v>
      </c>
      <c r="AJ43" s="47">
        <f t="shared" si="46"/>
        <v>82.800000000000011</v>
      </c>
      <c r="AK43" s="50">
        <v>0.46</v>
      </c>
      <c r="AL43" s="47">
        <v>1</v>
      </c>
    </row>
    <row r="44" spans="1:38" ht="18.75" customHeight="1" x14ac:dyDescent="0.25">
      <c r="A44" s="51">
        <f t="shared" si="8"/>
        <v>178</v>
      </c>
      <c r="B44" s="51" t="s">
        <v>34</v>
      </c>
      <c r="C44" s="51">
        <f t="shared" si="9"/>
        <v>178</v>
      </c>
      <c r="D44" s="33" t="s">
        <v>65</v>
      </c>
      <c r="E44" s="63"/>
      <c r="F44" s="64"/>
      <c r="G44" s="65"/>
      <c r="H44" s="65"/>
      <c r="I44" s="65"/>
      <c r="J44" s="65"/>
      <c r="K44" s="65"/>
      <c r="L44" s="66"/>
      <c r="M44" s="64"/>
      <c r="N44" s="64"/>
      <c r="O44" s="64"/>
      <c r="P44" s="64"/>
      <c r="Q44" s="63"/>
      <c r="R44" s="64"/>
      <c r="S44" s="65"/>
      <c r="T44" s="65"/>
      <c r="U44" s="65">
        <v>10</v>
      </c>
      <c r="V44" s="65"/>
      <c r="W44" s="65"/>
      <c r="X44" s="66"/>
      <c r="Y44" s="64"/>
      <c r="Z44" s="64"/>
      <c r="AA44" s="64"/>
      <c r="AB44" s="64"/>
      <c r="AC44" s="67">
        <f t="shared" si="2"/>
        <v>10</v>
      </c>
      <c r="AD44" s="68">
        <v>1</v>
      </c>
      <c r="AE44" s="69">
        <f t="shared" si="7"/>
        <v>10</v>
      </c>
      <c r="AG44" s="47">
        <f t="shared" si="43"/>
        <v>5.6000000000000005</v>
      </c>
      <c r="AH44" s="47">
        <f t="shared" si="44"/>
        <v>4.6000000000000005</v>
      </c>
      <c r="AI44" s="47">
        <f t="shared" si="45"/>
        <v>5.6000000000000005</v>
      </c>
      <c r="AJ44" s="47">
        <f t="shared" si="46"/>
        <v>4.6000000000000005</v>
      </c>
      <c r="AK44" s="50">
        <v>0.46</v>
      </c>
      <c r="AL44" s="47">
        <v>1</v>
      </c>
    </row>
    <row r="45" spans="1:38" ht="18.75" customHeight="1" x14ac:dyDescent="0.25">
      <c r="A45" s="51">
        <f t="shared" si="8"/>
        <v>179</v>
      </c>
      <c r="B45" s="51" t="s">
        <v>34</v>
      </c>
      <c r="C45" s="51">
        <f t="shared" si="9"/>
        <v>189</v>
      </c>
      <c r="D45" s="33" t="s">
        <v>65</v>
      </c>
      <c r="E45" s="56"/>
      <c r="F45" s="57"/>
      <c r="G45" s="58"/>
      <c r="H45" s="58"/>
      <c r="I45" s="58"/>
      <c r="J45" s="58"/>
      <c r="K45" s="58"/>
      <c r="L45" s="59"/>
      <c r="M45" s="57"/>
      <c r="N45" s="57"/>
      <c r="O45" s="57"/>
      <c r="P45" s="57"/>
      <c r="Q45" s="56"/>
      <c r="R45" s="57"/>
      <c r="S45" s="58"/>
      <c r="T45" s="58"/>
      <c r="U45" s="58"/>
      <c r="V45" s="58">
        <v>20</v>
      </c>
      <c r="W45" s="58"/>
      <c r="X45" s="59"/>
      <c r="Y45" s="57"/>
      <c r="Z45" s="57"/>
      <c r="AA45" s="57"/>
      <c r="AB45" s="57"/>
      <c r="AC45" s="60">
        <f t="shared" ref="AC45" si="47">SUM(E45:AB45)</f>
        <v>20</v>
      </c>
      <c r="AD45" s="61">
        <v>11</v>
      </c>
      <c r="AE45" s="62">
        <f t="shared" ref="AE45" si="48">AD45*AC45</f>
        <v>220</v>
      </c>
      <c r="AG45" s="47">
        <f t="shared" ref="AG45" si="49">AH45+1</f>
        <v>10.200000000000001</v>
      </c>
      <c r="AH45" s="47">
        <f t="shared" ref="AH45" si="50">AK45*AC45</f>
        <v>9.2000000000000011</v>
      </c>
      <c r="AI45" s="47">
        <f t="shared" ref="AI45" si="51">AG45*AD45</f>
        <v>112.20000000000002</v>
      </c>
      <c r="AJ45" s="47">
        <f t="shared" ref="AJ45" si="52">AH45*AD45</f>
        <v>101.20000000000002</v>
      </c>
      <c r="AK45" s="50">
        <v>0.46</v>
      </c>
      <c r="AL45" s="47">
        <v>1</v>
      </c>
    </row>
    <row r="46" spans="1:38" ht="18.75" customHeight="1" x14ac:dyDescent="0.25">
      <c r="A46" s="51">
        <f t="shared" si="8"/>
        <v>190</v>
      </c>
      <c r="B46" s="51" t="s">
        <v>34</v>
      </c>
      <c r="C46" s="51">
        <f t="shared" si="9"/>
        <v>190</v>
      </c>
      <c r="D46" s="33" t="s">
        <v>65</v>
      </c>
      <c r="E46" s="71"/>
      <c r="F46" s="72"/>
      <c r="G46" s="73"/>
      <c r="H46" s="73"/>
      <c r="I46" s="73"/>
      <c r="J46" s="73"/>
      <c r="K46" s="73"/>
      <c r="L46" s="74"/>
      <c r="M46" s="72"/>
      <c r="N46" s="72"/>
      <c r="O46" s="72"/>
      <c r="P46" s="72"/>
      <c r="Q46" s="71"/>
      <c r="R46" s="72"/>
      <c r="S46" s="73"/>
      <c r="T46" s="73"/>
      <c r="U46" s="73"/>
      <c r="V46" s="73">
        <v>9</v>
      </c>
      <c r="W46" s="73"/>
      <c r="X46" s="74"/>
      <c r="Y46" s="72"/>
      <c r="Z46" s="72"/>
      <c r="AA46" s="72"/>
      <c r="AB46" s="72"/>
      <c r="AC46" s="67">
        <f t="shared" si="2"/>
        <v>9</v>
      </c>
      <c r="AD46" s="68">
        <v>1</v>
      </c>
      <c r="AE46" s="69">
        <f t="shared" si="7"/>
        <v>9</v>
      </c>
      <c r="AG46" s="47">
        <f t="shared" si="43"/>
        <v>5.1400000000000006</v>
      </c>
      <c r="AH46" s="47">
        <f t="shared" si="44"/>
        <v>4.1400000000000006</v>
      </c>
      <c r="AI46" s="47">
        <f t="shared" si="45"/>
        <v>5.1400000000000006</v>
      </c>
      <c r="AJ46" s="47">
        <f t="shared" si="46"/>
        <v>4.1400000000000006</v>
      </c>
      <c r="AK46" s="50">
        <v>0.46</v>
      </c>
      <c r="AL46" s="47">
        <v>1</v>
      </c>
    </row>
    <row r="47" spans="1:38" ht="18.75" customHeight="1" x14ac:dyDescent="0.25">
      <c r="A47" s="51">
        <f t="shared" si="8"/>
        <v>191</v>
      </c>
      <c r="B47" s="51" t="s">
        <v>34</v>
      </c>
      <c r="C47" s="51">
        <f t="shared" si="9"/>
        <v>191</v>
      </c>
      <c r="D47" s="33" t="s">
        <v>65</v>
      </c>
      <c r="E47" s="35"/>
      <c r="F47" s="34"/>
      <c r="G47" s="1"/>
      <c r="H47" s="1"/>
      <c r="I47" s="1"/>
      <c r="J47" s="1"/>
      <c r="K47" s="1"/>
      <c r="L47" s="36"/>
      <c r="M47" s="34"/>
      <c r="N47" s="34"/>
      <c r="O47" s="34"/>
      <c r="P47" s="34"/>
      <c r="Q47" s="35"/>
      <c r="R47" s="34"/>
      <c r="S47" s="1"/>
      <c r="T47" s="1"/>
      <c r="U47" s="1"/>
      <c r="V47" s="1"/>
      <c r="W47" s="1">
        <v>20</v>
      </c>
      <c r="X47" s="36"/>
      <c r="Y47" s="34"/>
      <c r="Z47" s="34"/>
      <c r="AA47" s="34"/>
      <c r="AB47" s="34"/>
      <c r="AC47" s="60">
        <f t="shared" ref="AC47" si="53">SUM(E47:AB47)</f>
        <v>20</v>
      </c>
      <c r="AD47" s="61">
        <v>1</v>
      </c>
      <c r="AE47" s="62">
        <f t="shared" ref="AE47" si="54">AD47*AC47</f>
        <v>20</v>
      </c>
      <c r="AG47" s="47">
        <f t="shared" ref="AG47" si="55">AH47+1</f>
        <v>10.200000000000001</v>
      </c>
      <c r="AH47" s="47">
        <f t="shared" ref="AH47" si="56">AK47*AC47</f>
        <v>9.2000000000000011</v>
      </c>
      <c r="AI47" s="47">
        <f t="shared" ref="AI47" si="57">AG47*AD47</f>
        <v>10.200000000000001</v>
      </c>
      <c r="AJ47" s="47">
        <f t="shared" ref="AJ47" si="58">AH47*AD47</f>
        <v>9.2000000000000011</v>
      </c>
      <c r="AK47" s="50">
        <v>0.46</v>
      </c>
      <c r="AL47" s="47">
        <v>1</v>
      </c>
    </row>
    <row r="48" spans="1:38" ht="18.75" customHeight="1" x14ac:dyDescent="0.25">
      <c r="A48" s="51">
        <f t="shared" si="8"/>
        <v>192</v>
      </c>
      <c r="B48" s="51" t="s">
        <v>34</v>
      </c>
      <c r="C48" s="51">
        <f t="shared" si="9"/>
        <v>192</v>
      </c>
      <c r="D48" s="33" t="s">
        <v>65</v>
      </c>
      <c r="E48" s="35"/>
      <c r="F48" s="34"/>
      <c r="G48" s="1"/>
      <c r="H48" s="1"/>
      <c r="I48" s="1"/>
      <c r="J48" s="1"/>
      <c r="K48" s="1"/>
      <c r="L48" s="36"/>
      <c r="M48" s="34"/>
      <c r="N48" s="34"/>
      <c r="O48" s="34"/>
      <c r="P48" s="34"/>
      <c r="Q48" s="35"/>
      <c r="R48" s="34"/>
      <c r="S48" s="1"/>
      <c r="T48" s="1"/>
      <c r="U48" s="1"/>
      <c r="V48" s="1"/>
      <c r="W48" s="1">
        <v>15</v>
      </c>
      <c r="X48" s="36"/>
      <c r="Y48" s="34"/>
      <c r="Z48" s="34"/>
      <c r="AA48" s="34"/>
      <c r="AB48" s="34"/>
      <c r="AC48" s="60">
        <f t="shared" si="2"/>
        <v>15</v>
      </c>
      <c r="AD48" s="61">
        <v>1</v>
      </c>
      <c r="AE48" s="62">
        <f t="shared" si="7"/>
        <v>15</v>
      </c>
      <c r="AG48" s="47">
        <f t="shared" si="43"/>
        <v>7.9</v>
      </c>
      <c r="AH48" s="47">
        <f t="shared" si="44"/>
        <v>6.9</v>
      </c>
      <c r="AI48" s="47">
        <f t="shared" si="45"/>
        <v>7.9</v>
      </c>
      <c r="AJ48" s="47">
        <f t="shared" si="46"/>
        <v>6.9</v>
      </c>
      <c r="AK48" s="50">
        <v>0.46</v>
      </c>
      <c r="AL48" s="47">
        <v>1</v>
      </c>
    </row>
    <row r="49" spans="1:38" ht="18.75" customHeight="1" x14ac:dyDescent="0.25">
      <c r="A49" s="51">
        <f t="shared" si="8"/>
        <v>193</v>
      </c>
      <c r="B49" s="51" t="s">
        <v>34</v>
      </c>
      <c r="C49" s="51">
        <f t="shared" si="9"/>
        <v>193</v>
      </c>
      <c r="D49" s="33" t="s">
        <v>65</v>
      </c>
      <c r="E49" s="35"/>
      <c r="F49" s="34"/>
      <c r="G49" s="1"/>
      <c r="H49" s="1"/>
      <c r="I49" s="1"/>
      <c r="J49" s="1"/>
      <c r="K49" s="1"/>
      <c r="L49" s="47"/>
      <c r="M49" s="34"/>
      <c r="N49" s="34"/>
      <c r="O49" s="34"/>
      <c r="P49" s="34"/>
      <c r="Q49" s="35"/>
      <c r="R49" s="34"/>
      <c r="S49" s="1"/>
      <c r="T49" s="1"/>
      <c r="U49" s="1"/>
      <c r="V49" s="1"/>
      <c r="W49" s="1"/>
      <c r="X49" s="47">
        <v>20</v>
      </c>
      <c r="Y49" s="34"/>
      <c r="Z49" s="34"/>
      <c r="AA49" s="34"/>
      <c r="AB49" s="34"/>
      <c r="AC49" s="60">
        <f t="shared" si="2"/>
        <v>20</v>
      </c>
      <c r="AD49" s="61">
        <v>1</v>
      </c>
      <c r="AE49" s="62">
        <f t="shared" si="7"/>
        <v>20</v>
      </c>
      <c r="AG49" s="47">
        <f t="shared" si="43"/>
        <v>10.200000000000001</v>
      </c>
      <c r="AH49" s="47">
        <f t="shared" si="44"/>
        <v>9.2000000000000011</v>
      </c>
      <c r="AI49" s="47">
        <f t="shared" si="45"/>
        <v>10.200000000000001</v>
      </c>
      <c r="AJ49" s="47">
        <f t="shared" si="46"/>
        <v>9.2000000000000011</v>
      </c>
      <c r="AK49" s="50">
        <v>0.46</v>
      </c>
      <c r="AL49" s="47">
        <v>1</v>
      </c>
    </row>
    <row r="50" spans="1:38" ht="18.75" customHeight="1" x14ac:dyDescent="0.25">
      <c r="A50" s="51">
        <f t="shared" si="8"/>
        <v>194</v>
      </c>
      <c r="B50" s="51" t="s">
        <v>34</v>
      </c>
      <c r="C50" s="51">
        <f t="shared" si="9"/>
        <v>194</v>
      </c>
      <c r="D50" s="33" t="s">
        <v>65</v>
      </c>
      <c r="E50" s="63"/>
      <c r="F50" s="64"/>
      <c r="G50" s="65"/>
      <c r="H50" s="65"/>
      <c r="I50" s="65"/>
      <c r="J50" s="65"/>
      <c r="K50" s="65"/>
      <c r="L50" s="70"/>
      <c r="M50" s="64"/>
      <c r="N50" s="64"/>
      <c r="O50" s="64"/>
      <c r="P50" s="64"/>
      <c r="Q50" s="63"/>
      <c r="R50" s="64"/>
      <c r="S50" s="65"/>
      <c r="T50" s="65"/>
      <c r="U50" s="65"/>
      <c r="V50" s="65"/>
      <c r="W50" s="65"/>
      <c r="X50" s="70">
        <v>5</v>
      </c>
      <c r="Y50" s="64"/>
      <c r="Z50" s="64"/>
      <c r="AA50" s="64"/>
      <c r="AB50" s="64"/>
      <c r="AC50" s="67">
        <f t="shared" si="2"/>
        <v>5</v>
      </c>
      <c r="AD50" s="68">
        <v>1</v>
      </c>
      <c r="AE50" s="69">
        <f t="shared" si="7"/>
        <v>5</v>
      </c>
      <c r="AG50" s="47">
        <f t="shared" si="43"/>
        <v>3.3000000000000003</v>
      </c>
      <c r="AH50" s="47">
        <f t="shared" si="44"/>
        <v>2.3000000000000003</v>
      </c>
      <c r="AI50" s="47">
        <f t="shared" si="45"/>
        <v>3.3000000000000003</v>
      </c>
      <c r="AJ50" s="47">
        <f t="shared" si="46"/>
        <v>2.3000000000000003</v>
      </c>
      <c r="AK50" s="50">
        <v>0.46</v>
      </c>
      <c r="AL50" s="47">
        <v>1</v>
      </c>
    </row>
    <row r="51" spans="1:38" ht="18.75" customHeight="1" x14ac:dyDescent="0.25">
      <c r="A51" s="51">
        <f t="shared" si="8"/>
        <v>195</v>
      </c>
      <c r="B51" s="51" t="s">
        <v>34</v>
      </c>
      <c r="C51" s="51">
        <f t="shared" si="9"/>
        <v>203</v>
      </c>
      <c r="D51" s="33" t="s">
        <v>65</v>
      </c>
      <c r="E51" s="35"/>
      <c r="F51" s="34"/>
      <c r="G51" s="1"/>
      <c r="H51" s="1"/>
      <c r="I51" s="1"/>
      <c r="J51" s="1"/>
      <c r="K51" s="1"/>
      <c r="L51" s="36"/>
      <c r="M51" s="34"/>
      <c r="N51" s="34"/>
      <c r="O51" s="34"/>
      <c r="P51" s="34"/>
      <c r="Q51" s="35"/>
      <c r="R51" s="34"/>
      <c r="S51" s="1"/>
      <c r="T51" s="1"/>
      <c r="U51" s="1"/>
      <c r="V51" s="1"/>
      <c r="W51" s="1"/>
      <c r="X51" s="36"/>
      <c r="Y51" s="34">
        <v>20</v>
      </c>
      <c r="Z51" s="34"/>
      <c r="AA51" s="34"/>
      <c r="AB51" s="34"/>
      <c r="AC51" s="60">
        <f t="shared" ref="AC51" si="59">SUM(E51:AB51)</f>
        <v>20</v>
      </c>
      <c r="AD51" s="61">
        <v>9</v>
      </c>
      <c r="AE51" s="62">
        <f>AD51*AC51</f>
        <v>180</v>
      </c>
      <c r="AG51" s="47">
        <f t="shared" ref="AG51" si="60">AH51+1</f>
        <v>10.200000000000001</v>
      </c>
      <c r="AH51" s="47">
        <f t="shared" ref="AH51" si="61">AK51*AC51</f>
        <v>9.2000000000000011</v>
      </c>
      <c r="AI51" s="47">
        <f t="shared" ref="AI51" si="62">AG51*AD51</f>
        <v>91.800000000000011</v>
      </c>
      <c r="AJ51" s="47">
        <f t="shared" ref="AJ51" si="63">AH51*AD51</f>
        <v>82.800000000000011</v>
      </c>
      <c r="AK51" s="50">
        <v>0.46</v>
      </c>
      <c r="AL51" s="47">
        <v>1</v>
      </c>
    </row>
    <row r="52" spans="1:38" ht="18.75" customHeight="1" x14ac:dyDescent="0.25">
      <c r="A52" s="51">
        <f t="shared" si="8"/>
        <v>204</v>
      </c>
      <c r="B52" s="51" t="s">
        <v>34</v>
      </c>
      <c r="C52" s="51">
        <f t="shared" si="9"/>
        <v>204</v>
      </c>
      <c r="D52" s="33" t="s">
        <v>65</v>
      </c>
      <c r="E52" s="63"/>
      <c r="F52" s="64"/>
      <c r="G52" s="65"/>
      <c r="H52" s="65"/>
      <c r="I52" s="65"/>
      <c r="J52" s="65"/>
      <c r="K52" s="65"/>
      <c r="L52" s="66"/>
      <c r="M52" s="64"/>
      <c r="N52" s="64"/>
      <c r="O52" s="64"/>
      <c r="P52" s="64"/>
      <c r="Q52" s="63"/>
      <c r="R52" s="64"/>
      <c r="S52" s="65"/>
      <c r="T52" s="65"/>
      <c r="U52" s="65"/>
      <c r="V52" s="65"/>
      <c r="W52" s="65"/>
      <c r="X52" s="66"/>
      <c r="Y52" s="64">
        <v>10</v>
      </c>
      <c r="Z52" s="64"/>
      <c r="AA52" s="64"/>
      <c r="AB52" s="64"/>
      <c r="AC52" s="67">
        <f t="shared" si="2"/>
        <v>10</v>
      </c>
      <c r="AD52" s="68">
        <v>1</v>
      </c>
      <c r="AE52" s="69">
        <f t="shared" si="7"/>
        <v>10</v>
      </c>
      <c r="AG52" s="47">
        <f t="shared" si="43"/>
        <v>5.6000000000000005</v>
      </c>
      <c r="AH52" s="47">
        <f t="shared" si="44"/>
        <v>4.6000000000000005</v>
      </c>
      <c r="AI52" s="47">
        <f t="shared" si="45"/>
        <v>5.6000000000000005</v>
      </c>
      <c r="AJ52" s="47">
        <f t="shared" si="46"/>
        <v>4.6000000000000005</v>
      </c>
      <c r="AK52" s="50">
        <v>0.46</v>
      </c>
      <c r="AL52" s="47">
        <v>1</v>
      </c>
    </row>
    <row r="53" spans="1:38" ht="18.75" customHeight="1" x14ac:dyDescent="0.25">
      <c r="A53" s="51">
        <f t="shared" si="8"/>
        <v>205</v>
      </c>
      <c r="B53" s="51" t="s">
        <v>34</v>
      </c>
      <c r="C53" s="51">
        <f t="shared" si="9"/>
        <v>205</v>
      </c>
      <c r="D53" s="33" t="s">
        <v>65</v>
      </c>
      <c r="E53" s="35"/>
      <c r="F53" s="34"/>
      <c r="G53" s="1"/>
      <c r="H53" s="1"/>
      <c r="I53" s="1"/>
      <c r="J53" s="1"/>
      <c r="K53" s="1"/>
      <c r="L53" s="36"/>
      <c r="M53" s="34"/>
      <c r="N53" s="34"/>
      <c r="O53" s="34"/>
      <c r="P53" s="34"/>
      <c r="Q53" s="35"/>
      <c r="R53" s="34"/>
      <c r="S53" s="1"/>
      <c r="T53" s="1"/>
      <c r="U53" s="1"/>
      <c r="V53" s="1"/>
      <c r="W53" s="1"/>
      <c r="X53" s="36"/>
      <c r="Y53" s="34"/>
      <c r="Z53" s="34">
        <v>20</v>
      </c>
      <c r="AA53" s="34"/>
      <c r="AB53" s="34"/>
      <c r="AC53" s="60">
        <f t="shared" si="2"/>
        <v>20</v>
      </c>
      <c r="AD53" s="61">
        <v>1</v>
      </c>
      <c r="AE53" s="62">
        <f t="shared" si="7"/>
        <v>20</v>
      </c>
      <c r="AG53" s="47">
        <f t="shared" si="43"/>
        <v>10.200000000000001</v>
      </c>
      <c r="AH53" s="47">
        <f t="shared" si="44"/>
        <v>9.2000000000000011</v>
      </c>
      <c r="AI53" s="47">
        <f t="shared" si="45"/>
        <v>10.200000000000001</v>
      </c>
      <c r="AJ53" s="47">
        <f t="shared" si="46"/>
        <v>9.2000000000000011</v>
      </c>
      <c r="AK53" s="50">
        <v>0.46</v>
      </c>
      <c r="AL53" s="47">
        <v>1</v>
      </c>
    </row>
    <row r="54" spans="1:38" ht="18.75" customHeight="1" x14ac:dyDescent="0.25">
      <c r="A54" s="51">
        <f t="shared" si="8"/>
        <v>206</v>
      </c>
      <c r="B54" s="51" t="s">
        <v>34</v>
      </c>
      <c r="C54" s="51">
        <f t="shared" si="9"/>
        <v>206</v>
      </c>
      <c r="D54" s="33" t="s">
        <v>65</v>
      </c>
      <c r="E54" s="63"/>
      <c r="F54" s="64"/>
      <c r="G54" s="65"/>
      <c r="H54" s="65"/>
      <c r="I54" s="65"/>
      <c r="J54" s="65"/>
      <c r="K54" s="65"/>
      <c r="L54" s="66"/>
      <c r="M54" s="64"/>
      <c r="N54" s="64"/>
      <c r="O54" s="64"/>
      <c r="P54" s="64"/>
      <c r="Q54" s="63"/>
      <c r="R54" s="64"/>
      <c r="S54" s="65"/>
      <c r="T54" s="65"/>
      <c r="U54" s="65"/>
      <c r="V54" s="65"/>
      <c r="W54" s="65"/>
      <c r="X54" s="66"/>
      <c r="Y54" s="64"/>
      <c r="Z54" s="64">
        <v>5</v>
      </c>
      <c r="AA54" s="64"/>
      <c r="AB54" s="64"/>
      <c r="AC54" s="67">
        <f t="shared" si="2"/>
        <v>5</v>
      </c>
      <c r="AD54" s="68">
        <v>1</v>
      </c>
      <c r="AE54" s="69">
        <f t="shared" si="7"/>
        <v>5</v>
      </c>
      <c r="AG54" s="47">
        <f t="shared" si="43"/>
        <v>3.3000000000000003</v>
      </c>
      <c r="AH54" s="47">
        <f t="shared" si="44"/>
        <v>2.3000000000000003</v>
      </c>
      <c r="AI54" s="47">
        <f t="shared" si="45"/>
        <v>3.3000000000000003</v>
      </c>
      <c r="AJ54" s="47">
        <f t="shared" si="46"/>
        <v>2.3000000000000003</v>
      </c>
      <c r="AK54" s="50">
        <v>0.46</v>
      </c>
      <c r="AL54" s="47">
        <v>1</v>
      </c>
    </row>
    <row r="55" spans="1:38" s="44" customFormat="1" ht="18.75" customHeight="1" x14ac:dyDescent="0.25">
      <c r="A55" s="51">
        <f t="shared" si="8"/>
        <v>207</v>
      </c>
      <c r="B55" s="51" t="s">
        <v>34</v>
      </c>
      <c r="C55" s="51">
        <f t="shared" si="9"/>
        <v>207</v>
      </c>
      <c r="D55" s="33" t="s">
        <v>65</v>
      </c>
      <c r="E55" s="35"/>
      <c r="F55" s="34"/>
      <c r="G55" s="1"/>
      <c r="H55" s="1"/>
      <c r="I55" s="1"/>
      <c r="J55" s="1"/>
      <c r="K55" s="1"/>
      <c r="L55" s="36"/>
      <c r="M55" s="34"/>
      <c r="N55" s="34"/>
      <c r="O55" s="34"/>
      <c r="P55" s="34"/>
      <c r="Q55" s="35"/>
      <c r="R55" s="34"/>
      <c r="S55" s="1"/>
      <c r="T55" s="1"/>
      <c r="U55" s="1"/>
      <c r="V55" s="1"/>
      <c r="W55" s="1"/>
      <c r="X55" s="36"/>
      <c r="Y55" s="34"/>
      <c r="Z55" s="34"/>
      <c r="AA55" s="34">
        <v>20</v>
      </c>
      <c r="AB55" s="34"/>
      <c r="AC55" s="60">
        <f t="shared" si="2"/>
        <v>20</v>
      </c>
      <c r="AD55" s="61">
        <v>1</v>
      </c>
      <c r="AE55" s="62">
        <f t="shared" si="7"/>
        <v>20</v>
      </c>
      <c r="AF55" s="2"/>
      <c r="AG55" s="47">
        <f t="shared" si="43"/>
        <v>10.200000000000001</v>
      </c>
      <c r="AH55" s="47">
        <f t="shared" si="44"/>
        <v>9.2000000000000011</v>
      </c>
      <c r="AI55" s="47">
        <f t="shared" si="45"/>
        <v>10.200000000000001</v>
      </c>
      <c r="AJ55" s="47">
        <f t="shared" si="46"/>
        <v>9.2000000000000011</v>
      </c>
      <c r="AK55" s="50">
        <v>0.46</v>
      </c>
      <c r="AL55" s="47">
        <v>1</v>
      </c>
    </row>
    <row r="56" spans="1:38" ht="18.75" customHeight="1" x14ac:dyDescent="0.25">
      <c r="A56" s="51">
        <f t="shared" si="8"/>
        <v>208</v>
      </c>
      <c r="B56" s="51" t="s">
        <v>34</v>
      </c>
      <c r="C56" s="51">
        <f t="shared" si="9"/>
        <v>208</v>
      </c>
      <c r="D56" s="33" t="s">
        <v>65</v>
      </c>
      <c r="E56" s="63"/>
      <c r="F56" s="64"/>
      <c r="G56" s="65"/>
      <c r="H56" s="64"/>
      <c r="I56" s="65"/>
      <c r="J56" s="65"/>
      <c r="K56" s="65"/>
      <c r="L56" s="65"/>
      <c r="M56" s="65"/>
      <c r="N56" s="65"/>
      <c r="O56" s="65"/>
      <c r="P56" s="65"/>
      <c r="Q56" s="63"/>
      <c r="R56" s="64"/>
      <c r="S56" s="65"/>
      <c r="T56" s="64"/>
      <c r="U56" s="65"/>
      <c r="V56" s="65"/>
      <c r="W56" s="65"/>
      <c r="X56" s="65"/>
      <c r="Y56" s="65"/>
      <c r="Z56" s="65"/>
      <c r="AA56" s="65">
        <v>5</v>
      </c>
      <c r="AB56" s="65"/>
      <c r="AC56" s="67">
        <f t="shared" si="2"/>
        <v>5</v>
      </c>
      <c r="AD56" s="68">
        <v>1</v>
      </c>
      <c r="AE56" s="69">
        <f t="shared" si="7"/>
        <v>5</v>
      </c>
      <c r="AG56" s="47">
        <f t="shared" si="10"/>
        <v>3.3000000000000003</v>
      </c>
      <c r="AH56" s="47">
        <f t="shared" si="11"/>
        <v>2.3000000000000003</v>
      </c>
      <c r="AI56" s="47">
        <f t="shared" si="12"/>
        <v>3.3000000000000003</v>
      </c>
      <c r="AJ56" s="47">
        <f t="shared" si="13"/>
        <v>2.3000000000000003</v>
      </c>
      <c r="AK56" s="50">
        <v>0.46</v>
      </c>
      <c r="AL56" s="47">
        <v>1</v>
      </c>
    </row>
    <row r="57" spans="1:38" ht="18.75" customHeight="1" x14ac:dyDescent="0.25">
      <c r="A57" s="51">
        <f t="shared" si="8"/>
        <v>209</v>
      </c>
      <c r="B57" s="51" t="s">
        <v>34</v>
      </c>
      <c r="C57" s="51">
        <f t="shared" si="9"/>
        <v>209</v>
      </c>
      <c r="D57" s="33" t="s">
        <v>65</v>
      </c>
      <c r="E57" s="35"/>
      <c r="F57" s="34"/>
      <c r="G57" s="1"/>
      <c r="H57" s="1"/>
      <c r="I57" s="1"/>
      <c r="J57" s="1"/>
      <c r="K57" s="1"/>
      <c r="L57" s="36"/>
      <c r="M57" s="34"/>
      <c r="N57" s="34"/>
      <c r="O57" s="34"/>
      <c r="P57" s="34"/>
      <c r="Q57" s="35"/>
      <c r="R57" s="34"/>
      <c r="S57" s="1"/>
      <c r="T57" s="1"/>
      <c r="U57" s="1"/>
      <c r="V57" s="1"/>
      <c r="W57" s="1"/>
      <c r="X57" s="36"/>
      <c r="Y57" s="34"/>
      <c r="Z57" s="34"/>
      <c r="AA57" s="34"/>
      <c r="AB57" s="34">
        <v>20</v>
      </c>
      <c r="AC57" s="60">
        <f t="shared" ref="AC57" si="64">SUM(E57:AB57)</f>
        <v>20</v>
      </c>
      <c r="AD57" s="61">
        <v>1</v>
      </c>
      <c r="AE57" s="62">
        <f t="shared" si="7"/>
        <v>20</v>
      </c>
      <c r="AG57" s="47">
        <f t="shared" si="10"/>
        <v>10.200000000000001</v>
      </c>
      <c r="AH57" s="47">
        <f t="shared" si="11"/>
        <v>9.2000000000000011</v>
      </c>
      <c r="AI57" s="47">
        <f t="shared" si="12"/>
        <v>10.200000000000001</v>
      </c>
      <c r="AJ57" s="47">
        <f t="shared" si="13"/>
        <v>9.2000000000000011</v>
      </c>
      <c r="AK57" s="50">
        <v>0.46</v>
      </c>
      <c r="AL57" s="47">
        <v>1</v>
      </c>
    </row>
    <row r="58" spans="1:38" ht="18.75" customHeight="1" x14ac:dyDescent="0.25">
      <c r="A58" s="51">
        <f t="shared" si="8"/>
        <v>210</v>
      </c>
      <c r="B58" s="51" t="s">
        <v>34</v>
      </c>
      <c r="C58" s="51">
        <f t="shared" si="9"/>
        <v>210</v>
      </c>
      <c r="D58" s="33" t="s">
        <v>65</v>
      </c>
      <c r="E58" s="63"/>
      <c r="F58" s="64"/>
      <c r="G58" s="65"/>
      <c r="H58" s="65"/>
      <c r="I58" s="65"/>
      <c r="J58" s="65"/>
      <c r="K58" s="65"/>
      <c r="L58" s="66"/>
      <c r="M58" s="64"/>
      <c r="N58" s="64"/>
      <c r="O58" s="64"/>
      <c r="P58" s="64"/>
      <c r="Q58" s="63"/>
      <c r="R58" s="64"/>
      <c r="S58" s="65"/>
      <c r="T58" s="65"/>
      <c r="U58" s="65"/>
      <c r="V58" s="65"/>
      <c r="W58" s="65"/>
      <c r="X58" s="66"/>
      <c r="Y58" s="64"/>
      <c r="Z58" s="64"/>
      <c r="AA58" s="64"/>
      <c r="AB58" s="64">
        <v>5</v>
      </c>
      <c r="AC58" s="67">
        <f t="shared" ref="AC58" si="65">SUM(E58:AB58)</f>
        <v>5</v>
      </c>
      <c r="AD58" s="68">
        <v>1</v>
      </c>
      <c r="AE58" s="69">
        <f t="shared" ref="AE58" si="66">AD58*AC58</f>
        <v>5</v>
      </c>
      <c r="AG58" s="47">
        <f t="shared" ref="AG58" si="67">AH58+1</f>
        <v>3.3000000000000003</v>
      </c>
      <c r="AH58" s="47">
        <f t="shared" ref="AH58" si="68">AK58*AC58</f>
        <v>2.3000000000000003</v>
      </c>
      <c r="AI58" s="47">
        <f t="shared" ref="AI58" si="69">AG58*AD58</f>
        <v>3.3000000000000003</v>
      </c>
      <c r="AJ58" s="47">
        <f t="shared" ref="AJ58" si="70">AH58*AD58</f>
        <v>2.3000000000000003</v>
      </c>
      <c r="AK58" s="50">
        <v>0.46</v>
      </c>
      <c r="AL58" s="47">
        <v>1</v>
      </c>
    </row>
    <row r="59" spans="1:38" ht="18.75" customHeight="1" x14ac:dyDescent="0.25">
      <c r="A59" s="87" t="s">
        <v>17</v>
      </c>
      <c r="B59" s="87"/>
      <c r="C59" s="87"/>
      <c r="D59" s="87"/>
      <c r="E59" s="37"/>
      <c r="F59" s="37"/>
      <c r="G59" s="37"/>
      <c r="H59" s="37"/>
      <c r="I59" s="1"/>
      <c r="J59" s="1"/>
      <c r="K59" s="1"/>
      <c r="L59" s="1"/>
      <c r="M59" s="1"/>
      <c r="N59" s="1"/>
      <c r="O59" s="1"/>
      <c r="P59" s="1"/>
      <c r="Q59" s="37"/>
      <c r="R59" s="37"/>
      <c r="S59" s="37"/>
      <c r="T59" s="37"/>
      <c r="U59" s="1"/>
      <c r="V59" s="1"/>
      <c r="W59" s="1"/>
      <c r="X59" s="1"/>
      <c r="Y59" s="1"/>
      <c r="Z59" s="1"/>
      <c r="AA59" s="1"/>
      <c r="AB59" s="1"/>
      <c r="AC59" s="1"/>
      <c r="AD59" s="1">
        <f>SUM(AD11:AD58)</f>
        <v>210</v>
      </c>
      <c r="AE59" s="1">
        <f>SUM(AE11:AE58)</f>
        <v>4002</v>
      </c>
      <c r="AG59" s="49">
        <f>SUM(AG11:AG58)</f>
        <v>398.51999999999992</v>
      </c>
      <c r="AH59" s="49">
        <f>SUM(AH11:AH58)</f>
        <v>350.51999999999992</v>
      </c>
      <c r="AI59" s="49">
        <f>SUM(AI11:AI58)</f>
        <v>2050.92</v>
      </c>
      <c r="AJ59" s="49">
        <f>SUM(AJ11:AJ58)</f>
        <v>1840.9199999999998</v>
      </c>
      <c r="AK59" s="46"/>
      <c r="AL59" s="47"/>
    </row>
    <row r="60" spans="1:38" ht="20.25" customHeight="1" x14ac:dyDescent="0.25"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spans="1:38" ht="20.25" customHeight="1" x14ac:dyDescent="0.25">
      <c r="A61" s="88" t="s">
        <v>19</v>
      </c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G61" s="48"/>
      <c r="AH61" s="48"/>
      <c r="AI61" s="48">
        <f>AI59</f>
        <v>2050.92</v>
      </c>
      <c r="AJ61" s="48">
        <f>AJ59</f>
        <v>1840.9199999999998</v>
      </c>
    </row>
    <row r="62" spans="1:38" ht="20.25" customHeight="1" thickBot="1" x14ac:dyDescent="0.3"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</row>
    <row r="63" spans="1:38" ht="21.75" customHeight="1" thickBot="1" x14ac:dyDescent="0.3">
      <c r="C63" s="89" t="s">
        <v>5</v>
      </c>
      <c r="D63" s="90"/>
      <c r="E63" s="77" t="str">
        <f t="shared" ref="E63:AB63" si="71">E10</f>
        <v>28X28</v>
      </c>
      <c r="F63" s="77" t="str">
        <f t="shared" si="71"/>
        <v>28X30</v>
      </c>
      <c r="G63" s="77" t="str">
        <f t="shared" si="71"/>
        <v>28X32</v>
      </c>
      <c r="H63" s="77" t="str">
        <f t="shared" si="71"/>
        <v>29X30</v>
      </c>
      <c r="I63" s="77" t="str">
        <f t="shared" si="71"/>
        <v>29X32</v>
      </c>
      <c r="J63" s="77" t="str">
        <f t="shared" si="71"/>
        <v>30X30</v>
      </c>
      <c r="K63" s="77" t="str">
        <f t="shared" si="71"/>
        <v>30X32</v>
      </c>
      <c r="L63" s="77" t="str">
        <f t="shared" si="71"/>
        <v>30X34</v>
      </c>
      <c r="M63" s="77" t="str">
        <f t="shared" si="71"/>
        <v>30X28</v>
      </c>
      <c r="N63" s="77" t="str">
        <f t="shared" si="71"/>
        <v>31X30</v>
      </c>
      <c r="O63" s="77" t="str">
        <f t="shared" si="71"/>
        <v>31X32</v>
      </c>
      <c r="P63" s="77" t="str">
        <f t="shared" si="71"/>
        <v>32X30</v>
      </c>
      <c r="Q63" s="77" t="str">
        <f t="shared" si="71"/>
        <v>32X32</v>
      </c>
      <c r="R63" s="77" t="str">
        <f t="shared" si="71"/>
        <v>32X34</v>
      </c>
      <c r="S63" s="77" t="str">
        <f t="shared" si="71"/>
        <v>33X30</v>
      </c>
      <c r="T63" s="77" t="str">
        <f t="shared" si="71"/>
        <v>33X32</v>
      </c>
      <c r="U63" s="77" t="str">
        <f t="shared" si="71"/>
        <v>34X30</v>
      </c>
      <c r="V63" s="77" t="str">
        <f t="shared" si="71"/>
        <v>34X32</v>
      </c>
      <c r="W63" s="77" t="str">
        <f t="shared" si="71"/>
        <v>34X34</v>
      </c>
      <c r="X63" s="77" t="str">
        <f t="shared" si="71"/>
        <v>36X30</v>
      </c>
      <c r="Y63" s="77" t="str">
        <f t="shared" si="71"/>
        <v>36X32</v>
      </c>
      <c r="Z63" s="77" t="str">
        <f t="shared" si="71"/>
        <v>36X34</v>
      </c>
      <c r="AA63" s="77" t="str">
        <f t="shared" si="71"/>
        <v>38X30</v>
      </c>
      <c r="AB63" s="77" t="str">
        <f t="shared" si="71"/>
        <v>38X32</v>
      </c>
      <c r="AC63" s="91" t="s">
        <v>9</v>
      </c>
      <c r="AD63" s="92"/>
    </row>
    <row r="64" spans="1:38" ht="21.75" customHeight="1" x14ac:dyDescent="0.25">
      <c r="C64" s="93" t="s">
        <v>0</v>
      </c>
      <c r="D64" s="94"/>
      <c r="E64" s="52">
        <v>46</v>
      </c>
      <c r="F64" s="52">
        <v>416</v>
      </c>
      <c r="G64" s="52">
        <v>42</v>
      </c>
      <c r="H64" s="52">
        <v>363</v>
      </c>
      <c r="I64" s="52">
        <v>42</v>
      </c>
      <c r="J64" s="52">
        <v>383</v>
      </c>
      <c r="K64" s="52">
        <v>333</v>
      </c>
      <c r="L64" s="52">
        <v>39</v>
      </c>
      <c r="M64" s="52">
        <v>30</v>
      </c>
      <c r="N64" s="52">
        <v>244</v>
      </c>
      <c r="O64" s="52">
        <v>211</v>
      </c>
      <c r="P64" s="52">
        <v>342</v>
      </c>
      <c r="Q64" s="52">
        <v>339</v>
      </c>
      <c r="R64" s="52">
        <v>216</v>
      </c>
      <c r="S64" s="52">
        <v>30</v>
      </c>
      <c r="T64" s="52">
        <v>182</v>
      </c>
      <c r="U64" s="52">
        <v>190</v>
      </c>
      <c r="V64" s="52">
        <v>229</v>
      </c>
      <c r="W64" s="52">
        <v>35</v>
      </c>
      <c r="X64" s="52">
        <v>25</v>
      </c>
      <c r="Y64" s="52">
        <v>190</v>
      </c>
      <c r="Z64" s="52">
        <v>25</v>
      </c>
      <c r="AA64" s="52">
        <v>25</v>
      </c>
      <c r="AB64" s="52">
        <v>25</v>
      </c>
      <c r="AC64" s="53">
        <f>SUM(E64:AB64)</f>
        <v>4002</v>
      </c>
      <c r="AD64" s="54" t="s">
        <v>2</v>
      </c>
    </row>
    <row r="65" spans="1:34" ht="21.75" customHeight="1" x14ac:dyDescent="0.25">
      <c r="C65" s="83" t="s">
        <v>15</v>
      </c>
      <c r="D65" s="84"/>
      <c r="E65" s="3">
        <f>AE11+AE12</f>
        <v>46</v>
      </c>
      <c r="F65" s="52">
        <f>AE13+AE14</f>
        <v>416</v>
      </c>
      <c r="G65" s="52">
        <f>AE15+AE16</f>
        <v>42</v>
      </c>
      <c r="H65" s="52">
        <f>AE17+AE18</f>
        <v>363</v>
      </c>
      <c r="I65" s="3">
        <f>AE19+AE20</f>
        <v>42</v>
      </c>
      <c r="J65" s="3">
        <f>AE21+AE22</f>
        <v>383</v>
      </c>
      <c r="K65" s="52">
        <f>AE23+AE24</f>
        <v>333</v>
      </c>
      <c r="L65" s="3">
        <f>AE25+AE26</f>
        <v>39</v>
      </c>
      <c r="M65" s="52">
        <f>AE27+AE28</f>
        <v>30</v>
      </c>
      <c r="N65" s="52">
        <f>AE29+AE30</f>
        <v>244</v>
      </c>
      <c r="O65" s="52">
        <f>AE31+AE32</f>
        <v>211</v>
      </c>
      <c r="P65" s="52">
        <f>AE33+AE34</f>
        <v>342</v>
      </c>
      <c r="Q65" s="3">
        <f>AE35+AE36</f>
        <v>339</v>
      </c>
      <c r="R65" s="52">
        <f>AE37+AE38</f>
        <v>216</v>
      </c>
      <c r="S65" s="52">
        <f>AE39+AE40</f>
        <v>30</v>
      </c>
      <c r="T65" s="52">
        <f>AE41+AE42</f>
        <v>182</v>
      </c>
      <c r="U65" s="3">
        <f>AE43+AE44</f>
        <v>190</v>
      </c>
      <c r="V65" s="3">
        <f>AE45+AE46</f>
        <v>229</v>
      </c>
      <c r="W65" s="52">
        <f>AE47+AE48</f>
        <v>35</v>
      </c>
      <c r="X65" s="3">
        <f>AE49+AE50</f>
        <v>25</v>
      </c>
      <c r="Y65" s="52">
        <f>AE51+AE52</f>
        <v>190</v>
      </c>
      <c r="Z65" s="52">
        <f>AE53+AE54</f>
        <v>25</v>
      </c>
      <c r="AA65" s="52">
        <f>AE55+AE56</f>
        <v>25</v>
      </c>
      <c r="AB65" s="52">
        <f>AE57+AE58</f>
        <v>25</v>
      </c>
      <c r="AC65" s="3">
        <f>SUM(E65:AB65)</f>
        <v>4002</v>
      </c>
      <c r="AD65" s="4" t="s">
        <v>2</v>
      </c>
    </row>
    <row r="66" spans="1:34" ht="21.75" customHeight="1" x14ac:dyDescent="0.25">
      <c r="C66" s="83" t="s">
        <v>16</v>
      </c>
      <c r="D66" s="84"/>
      <c r="E66" s="39">
        <f t="shared" ref="E66:P66" si="72">E65-E64</f>
        <v>0</v>
      </c>
      <c r="F66" s="39">
        <f t="shared" si="72"/>
        <v>0</v>
      </c>
      <c r="G66" s="39">
        <f t="shared" si="72"/>
        <v>0</v>
      </c>
      <c r="H66" s="39">
        <f t="shared" si="72"/>
        <v>0</v>
      </c>
      <c r="I66" s="39">
        <f t="shared" si="72"/>
        <v>0</v>
      </c>
      <c r="J66" s="39">
        <f t="shared" si="72"/>
        <v>0</v>
      </c>
      <c r="K66" s="39">
        <f t="shared" si="72"/>
        <v>0</v>
      </c>
      <c r="L66" s="39">
        <f t="shared" si="72"/>
        <v>0</v>
      </c>
      <c r="M66" s="39">
        <f t="shared" si="72"/>
        <v>0</v>
      </c>
      <c r="N66" s="39">
        <f t="shared" si="72"/>
        <v>0</v>
      </c>
      <c r="O66" s="39">
        <f t="shared" si="72"/>
        <v>0</v>
      </c>
      <c r="P66" s="39">
        <f t="shared" si="72"/>
        <v>0</v>
      </c>
      <c r="Q66" s="39">
        <f t="shared" ref="Q66:AB66" si="73">Q65-Q64</f>
        <v>0</v>
      </c>
      <c r="R66" s="39">
        <f t="shared" si="73"/>
        <v>0</v>
      </c>
      <c r="S66" s="39">
        <f t="shared" si="73"/>
        <v>0</v>
      </c>
      <c r="T66" s="39">
        <f t="shared" si="73"/>
        <v>0</v>
      </c>
      <c r="U66" s="39">
        <f t="shared" si="73"/>
        <v>0</v>
      </c>
      <c r="V66" s="39">
        <f t="shared" si="73"/>
        <v>0</v>
      </c>
      <c r="W66" s="39">
        <f t="shared" si="73"/>
        <v>0</v>
      </c>
      <c r="X66" s="39">
        <f t="shared" si="73"/>
        <v>0</v>
      </c>
      <c r="Y66" s="39">
        <f t="shared" ref="Y66" si="74">Y65-Y64</f>
        <v>0</v>
      </c>
      <c r="Z66" s="39">
        <f t="shared" si="73"/>
        <v>0</v>
      </c>
      <c r="AA66" s="39">
        <f t="shared" si="73"/>
        <v>0</v>
      </c>
      <c r="AB66" s="39">
        <f t="shared" si="73"/>
        <v>0</v>
      </c>
      <c r="AC66" s="3">
        <f>SUM(E66:AB66)</f>
        <v>0</v>
      </c>
      <c r="AD66" s="4" t="s">
        <v>2</v>
      </c>
    </row>
    <row r="67" spans="1:34" ht="21.75" customHeight="1" thickBot="1" x14ac:dyDescent="0.3">
      <c r="C67" s="85" t="s">
        <v>3</v>
      </c>
      <c r="D67" s="86"/>
      <c r="E67" s="40">
        <f>E66/E64*100</f>
        <v>0</v>
      </c>
      <c r="F67" s="40">
        <f t="shared" ref="F67:AB67" si="75">F66/F64*100</f>
        <v>0</v>
      </c>
      <c r="G67" s="40">
        <f t="shared" si="75"/>
        <v>0</v>
      </c>
      <c r="H67" s="40">
        <f t="shared" si="75"/>
        <v>0</v>
      </c>
      <c r="I67" s="40">
        <f t="shared" si="75"/>
        <v>0</v>
      </c>
      <c r="J67" s="40">
        <f t="shared" si="75"/>
        <v>0</v>
      </c>
      <c r="K67" s="40">
        <f t="shared" si="75"/>
        <v>0</v>
      </c>
      <c r="L67" s="40">
        <f t="shared" si="75"/>
        <v>0</v>
      </c>
      <c r="M67" s="40">
        <f t="shared" si="75"/>
        <v>0</v>
      </c>
      <c r="N67" s="40">
        <f t="shared" si="75"/>
        <v>0</v>
      </c>
      <c r="O67" s="40">
        <f t="shared" si="75"/>
        <v>0</v>
      </c>
      <c r="P67" s="40">
        <f t="shared" si="75"/>
        <v>0</v>
      </c>
      <c r="Q67" s="40">
        <f t="shared" si="75"/>
        <v>0</v>
      </c>
      <c r="R67" s="40">
        <f t="shared" si="75"/>
        <v>0</v>
      </c>
      <c r="S67" s="40">
        <f t="shared" si="75"/>
        <v>0</v>
      </c>
      <c r="T67" s="40">
        <f t="shared" si="75"/>
        <v>0</v>
      </c>
      <c r="U67" s="40">
        <f t="shared" si="75"/>
        <v>0</v>
      </c>
      <c r="V67" s="40">
        <f t="shared" si="75"/>
        <v>0</v>
      </c>
      <c r="W67" s="40">
        <f t="shared" si="75"/>
        <v>0</v>
      </c>
      <c r="X67" s="40">
        <f t="shared" si="75"/>
        <v>0</v>
      </c>
      <c r="Y67" s="40">
        <f t="shared" si="75"/>
        <v>0</v>
      </c>
      <c r="Z67" s="40">
        <f t="shared" si="75"/>
        <v>0</v>
      </c>
      <c r="AA67" s="40">
        <f t="shared" si="75"/>
        <v>0</v>
      </c>
      <c r="AB67" s="40">
        <f t="shared" si="75"/>
        <v>0</v>
      </c>
      <c r="AC67" s="40">
        <f>AC66/AC64*100</f>
        <v>0</v>
      </c>
      <c r="AD67" s="41" t="s">
        <v>4</v>
      </c>
    </row>
    <row r="68" spans="1:34" ht="20.25" customHeight="1" x14ac:dyDescent="0.25"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4" x14ac:dyDescent="0.25">
      <c r="A69" s="6" t="s">
        <v>48</v>
      </c>
      <c r="D69" s="6"/>
      <c r="E69" s="7"/>
      <c r="F69" s="7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/>
      <c r="S69" s="5"/>
      <c r="T69" s="5"/>
      <c r="U69" s="5"/>
      <c r="V69" s="5"/>
      <c r="W69" s="5"/>
      <c r="X69" s="5"/>
      <c r="Y69" s="5"/>
      <c r="Z69" s="5"/>
      <c r="AA69" s="5"/>
      <c r="AB69" s="5"/>
      <c r="AC69" s="82"/>
      <c r="AD69" s="82"/>
      <c r="AE69" s="82"/>
    </row>
    <row r="70" spans="1:34" x14ac:dyDescent="0.25">
      <c r="A70" s="6" t="s">
        <v>49</v>
      </c>
      <c r="D70" s="6"/>
      <c r="E70" s="7"/>
      <c r="F70" s="7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/>
      <c r="S70" s="5"/>
      <c r="T70" s="5"/>
      <c r="U70" s="5"/>
      <c r="V70" s="5"/>
      <c r="W70" s="5"/>
      <c r="X70" s="5"/>
      <c r="Y70" s="5"/>
      <c r="Z70" s="5"/>
      <c r="AA70" s="5"/>
      <c r="AB70" s="5"/>
      <c r="AC70" s="43"/>
      <c r="AD70" s="43"/>
      <c r="AE70" s="43"/>
      <c r="AG70" s="55" t="s">
        <v>33</v>
      </c>
      <c r="AH70" s="2">
        <f>AD59-AH71</f>
        <v>197</v>
      </c>
    </row>
    <row r="71" spans="1:34" x14ac:dyDescent="0.25">
      <c r="A71" s="6"/>
      <c r="B71" s="6"/>
      <c r="C71" s="8"/>
      <c r="E71" s="9"/>
      <c r="F71" s="10"/>
      <c r="G71" s="11"/>
      <c r="H71" s="5"/>
      <c r="I71" s="5"/>
      <c r="J71" s="5"/>
      <c r="K71" s="5"/>
      <c r="L71" s="5"/>
      <c r="M71" s="5"/>
      <c r="N71" s="5"/>
      <c r="O71" s="5"/>
      <c r="P71" s="5"/>
      <c r="Q71" s="9"/>
      <c r="R71" s="10"/>
      <c r="S71" s="11"/>
      <c r="T71" s="5"/>
      <c r="U71" s="5"/>
      <c r="V71" s="5"/>
      <c r="W71" s="5"/>
      <c r="X71" s="5"/>
      <c r="Y71" s="5"/>
      <c r="Z71" s="5"/>
      <c r="AA71" s="5"/>
      <c r="AB71" s="5"/>
      <c r="AC71" s="43"/>
      <c r="AD71" s="43"/>
      <c r="AE71" s="42"/>
      <c r="AG71" s="55" t="s">
        <v>32</v>
      </c>
      <c r="AH71" s="2">
        <v>13</v>
      </c>
    </row>
    <row r="72" spans="1:34" x14ac:dyDescent="0.25">
      <c r="A72" s="6"/>
      <c r="B72" s="6"/>
      <c r="C72" s="12"/>
      <c r="E72" s="9"/>
      <c r="F72" s="10"/>
      <c r="G72" s="5"/>
      <c r="H72" s="11"/>
      <c r="I72" s="5"/>
      <c r="J72" s="5"/>
      <c r="K72" s="5"/>
      <c r="L72" s="5"/>
      <c r="M72" s="5"/>
      <c r="N72" s="5"/>
      <c r="O72" s="5"/>
      <c r="P72" s="5"/>
      <c r="Q72" s="9"/>
      <c r="R72" s="10"/>
      <c r="S72" s="5"/>
      <c r="T72" s="11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4" x14ac:dyDescent="0.25">
      <c r="A73" s="6" t="s">
        <v>24</v>
      </c>
      <c r="B73" s="6"/>
      <c r="C73" s="8"/>
      <c r="D73" s="2">
        <f>AI61</f>
        <v>2050.92</v>
      </c>
      <c r="E73" s="9" t="s">
        <v>22</v>
      </c>
      <c r="Q73" s="9"/>
    </row>
    <row r="74" spans="1:34" x14ac:dyDescent="0.25">
      <c r="A74" s="6" t="s">
        <v>25</v>
      </c>
      <c r="B74" s="6"/>
      <c r="C74" s="12"/>
      <c r="D74" s="2">
        <f>AJ61</f>
        <v>1840.9199999999998</v>
      </c>
      <c r="E74" s="9" t="s">
        <v>22</v>
      </c>
      <c r="Q74" s="9"/>
    </row>
  </sheetData>
  <mergeCells count="27">
    <mergeCell ref="AJ9:AJ10"/>
    <mergeCell ref="A1:AE1"/>
    <mergeCell ref="A2:AE2"/>
    <mergeCell ref="AD3:AE3"/>
    <mergeCell ref="C4:D4"/>
    <mergeCell ref="C5:D5"/>
    <mergeCell ref="C6:D6"/>
    <mergeCell ref="A9:C10"/>
    <mergeCell ref="D9:D10"/>
    <mergeCell ref="AC9:AC10"/>
    <mergeCell ref="E9:AB9"/>
    <mergeCell ref="AK9:AK10"/>
    <mergeCell ref="AL9:AL10"/>
    <mergeCell ref="AC69:AE69"/>
    <mergeCell ref="C66:D66"/>
    <mergeCell ref="C67:D67"/>
    <mergeCell ref="C65:D65"/>
    <mergeCell ref="A59:D59"/>
    <mergeCell ref="A61:AE61"/>
    <mergeCell ref="C63:D63"/>
    <mergeCell ref="AC63:AD63"/>
    <mergeCell ref="C64:D64"/>
    <mergeCell ref="AE9:AE10"/>
    <mergeCell ref="AD9:AD10"/>
    <mergeCell ref="AG9:AG10"/>
    <mergeCell ref="AH9:AH10"/>
    <mergeCell ref="AI9:AI10"/>
  </mergeCells>
  <phoneticPr fontId="18" type="noConversion"/>
  <printOptions horizontalCentered="1"/>
  <pageMargins left="0" right="0" top="0" bottom="0" header="0.3" footer="0"/>
  <pageSetup scale="44" orientation="landscape" r:id="rId1"/>
  <headerFooter>
    <oddHeader>&amp;R&amp;"+,Regular"Pages : 1 of 40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List (5)</vt:lpstr>
      <vt:lpstr>'Packing List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Packing CCL1-B</cp:lastModifiedBy>
  <cp:lastPrinted>2026-10-13T03:57:05Z</cp:lastPrinted>
  <dcterms:created xsi:type="dcterms:W3CDTF">2012-05-29T11:19:40Z</dcterms:created>
  <dcterms:modified xsi:type="dcterms:W3CDTF">2026-10-13T03:57:15Z</dcterms:modified>
</cp:coreProperties>
</file>