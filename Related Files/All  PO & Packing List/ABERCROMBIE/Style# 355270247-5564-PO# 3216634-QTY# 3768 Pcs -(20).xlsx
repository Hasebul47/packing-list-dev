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UYER ASMARA PACKING LIST (2)\UPCOMING PL\"/>
    </mc:Choice>
  </mc:AlternateContent>
  <xr:revisionPtr revIDLastSave="0" documentId="13_ncr:1_{ABC66C87-E3C8-47FD-A0AC-FD35BBB6D7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cking List (5)" sheetId="6" r:id="rId1"/>
  </sheets>
  <definedNames>
    <definedName name="_xlnm.Print_Area" localSheetId="0">'Packing List (5)'!$A$1:$AY$80</definedName>
  </definedNames>
  <calcPr calcId="191029"/>
</workbook>
</file>

<file path=xl/calcChain.xml><?xml version="1.0" encoding="utf-8"?>
<calcChain xmlns="http://schemas.openxmlformats.org/spreadsheetml/2006/main">
  <c r="AV65" i="6" l="1"/>
  <c r="AT65" i="6"/>
  <c r="AS65" i="6"/>
  <c r="A14" i="6"/>
  <c r="C14" i="6" s="1"/>
  <c r="A15" i="6" s="1"/>
  <c r="C15" i="6" s="1"/>
  <c r="A16" i="6" s="1"/>
  <c r="C16" i="6" s="1"/>
  <c r="A17" i="6" s="1"/>
  <c r="C17" i="6" s="1"/>
  <c r="A18" i="6" s="1"/>
  <c r="C18" i="6" s="1"/>
  <c r="A19" i="6" s="1"/>
  <c r="C19" i="6" s="1"/>
  <c r="A20" i="6" s="1"/>
  <c r="C20" i="6" s="1"/>
  <c r="A21" i="6" s="1"/>
  <c r="C21" i="6" s="1"/>
  <c r="A22" i="6" s="1"/>
  <c r="C22" i="6" s="1"/>
  <c r="A23" i="6" s="1"/>
  <c r="C23" i="6" s="1"/>
  <c r="A24" i="6" s="1"/>
  <c r="C24" i="6" s="1"/>
  <c r="A25" i="6" s="1"/>
  <c r="C25" i="6" s="1"/>
  <c r="A26" i="6" s="1"/>
  <c r="C26" i="6" s="1"/>
  <c r="A27" i="6" s="1"/>
  <c r="C27" i="6" s="1"/>
  <c r="A28" i="6" s="1"/>
  <c r="C28" i="6" s="1"/>
  <c r="A29" i="6" s="1"/>
  <c r="C29" i="6" s="1"/>
  <c r="A30" i="6" s="1"/>
  <c r="C30" i="6" s="1"/>
  <c r="A31" i="6" s="1"/>
  <c r="C31" i="6" s="1"/>
  <c r="A32" i="6" s="1"/>
  <c r="C32" i="6" s="1"/>
  <c r="A33" i="6" s="1"/>
  <c r="C33" i="6" s="1"/>
  <c r="A34" i="6" s="1"/>
  <c r="C34" i="6" s="1"/>
  <c r="A35" i="6" s="1"/>
  <c r="C35" i="6" s="1"/>
  <c r="A36" i="6" s="1"/>
  <c r="C36" i="6" s="1"/>
  <c r="A37" i="6" s="1"/>
  <c r="C37" i="6" s="1"/>
  <c r="A38" i="6" s="1"/>
  <c r="C38" i="6" s="1"/>
  <c r="A39" i="6" s="1"/>
  <c r="C39" i="6" s="1"/>
  <c r="A40" i="6" s="1"/>
  <c r="C40" i="6" s="1"/>
  <c r="A41" i="6" s="1"/>
  <c r="C41" i="6" s="1"/>
  <c r="A42" i="6" s="1"/>
  <c r="C42" i="6" s="1"/>
  <c r="A43" i="6" s="1"/>
  <c r="C43" i="6" s="1"/>
  <c r="A44" i="6" s="1"/>
  <c r="C44" i="6" s="1"/>
  <c r="A45" i="6" s="1"/>
  <c r="C45" i="6" s="1"/>
  <c r="A46" i="6" s="1"/>
  <c r="C46" i="6" s="1"/>
  <c r="A47" i="6" s="1"/>
  <c r="C47" i="6" s="1"/>
  <c r="A48" i="6" s="1"/>
  <c r="C48" i="6" s="1"/>
  <c r="A49" i="6" s="1"/>
  <c r="C49" i="6" s="1"/>
  <c r="A50" i="6" s="1"/>
  <c r="C50" i="6" s="1"/>
  <c r="A51" i="6" s="1"/>
  <c r="C51" i="6" s="1"/>
  <c r="A52" i="6" s="1"/>
  <c r="C52" i="6" s="1"/>
  <c r="A53" i="6" s="1"/>
  <c r="C53" i="6" s="1"/>
  <c r="A54" i="6" s="1"/>
  <c r="C54" i="6" s="1"/>
  <c r="A55" i="6" s="1"/>
  <c r="C55" i="6" s="1"/>
  <c r="A56" i="6" s="1"/>
  <c r="C56" i="6" s="1"/>
  <c r="A57" i="6" s="1"/>
  <c r="C57" i="6" s="1"/>
  <c r="A58" i="6" s="1"/>
  <c r="C58" i="6" s="1"/>
  <c r="A59" i="6" s="1"/>
  <c r="C59" i="6" s="1"/>
  <c r="A60" i="6" s="1"/>
  <c r="C60" i="6" s="1"/>
  <c r="A61" i="6" s="1"/>
  <c r="C61" i="6" s="1"/>
  <c r="A62" i="6" s="1"/>
  <c r="C62" i="6" s="1"/>
  <c r="A63" i="6" s="1"/>
  <c r="C63" i="6" s="1"/>
  <c r="A64" i="6" s="1"/>
  <c r="C64" i="6" s="1"/>
  <c r="AQ71" i="6"/>
  <c r="AP71" i="6"/>
  <c r="AO71" i="6"/>
  <c r="AN71" i="6"/>
  <c r="AM71" i="6"/>
  <c r="AL71" i="6"/>
  <c r="AK71" i="6"/>
  <c r="AR52" i="6"/>
  <c r="AW52" i="6" s="1"/>
  <c r="AR51" i="6"/>
  <c r="AW51" i="6" s="1"/>
  <c r="AR50" i="6"/>
  <c r="AW50" i="6" s="1"/>
  <c r="AR55" i="6"/>
  <c r="AT55" i="6" s="1"/>
  <c r="AI71" i="6" s="1"/>
  <c r="AR54" i="6"/>
  <c r="AT54" i="6" s="1"/>
  <c r="AH71" i="6" s="1"/>
  <c r="AR53" i="6"/>
  <c r="AT53" i="6" s="1"/>
  <c r="AR58" i="6"/>
  <c r="AT58" i="6" s="1"/>
  <c r="AR57" i="6"/>
  <c r="AT57" i="6" s="1"/>
  <c r="AR56" i="6"/>
  <c r="AT56" i="6" s="1"/>
  <c r="AR61" i="6"/>
  <c r="AT61" i="6" s="1"/>
  <c r="AR60" i="6"/>
  <c r="AT60" i="6" s="1"/>
  <c r="AR59" i="6"/>
  <c r="AT59" i="6" s="1"/>
  <c r="AR64" i="6"/>
  <c r="AT64" i="6" s="1"/>
  <c r="AR63" i="6"/>
  <c r="AT63" i="6" s="1"/>
  <c r="AR62" i="6"/>
  <c r="AT62" i="6" s="1"/>
  <c r="AR42" i="6"/>
  <c r="AT42" i="6" s="1"/>
  <c r="Z71" i="6" s="1"/>
  <c r="AR41" i="6"/>
  <c r="AT41" i="6" s="1"/>
  <c r="Y71" i="6" s="1"/>
  <c r="AR40" i="6"/>
  <c r="AT40" i="6" s="1"/>
  <c r="AR39" i="6"/>
  <c r="AT39" i="6" s="1"/>
  <c r="AR46" i="6"/>
  <c r="AT46" i="6" s="1"/>
  <c r="AR45" i="6"/>
  <c r="AT45" i="6" s="1"/>
  <c r="AB71" i="6" s="1"/>
  <c r="AR44" i="6"/>
  <c r="AT44" i="6" s="1"/>
  <c r="AR43" i="6"/>
  <c r="AT43" i="6" s="1"/>
  <c r="AR37" i="6"/>
  <c r="AT37" i="6" s="1"/>
  <c r="V71" i="6" s="1"/>
  <c r="AR38" i="6"/>
  <c r="AT38" i="6" s="1"/>
  <c r="W71" i="6" s="1"/>
  <c r="AR34" i="6"/>
  <c r="AT34" i="6" s="1"/>
  <c r="T71" i="6" s="1"/>
  <c r="AR33" i="6"/>
  <c r="AT33" i="6" s="1"/>
  <c r="S71" i="6" s="1"/>
  <c r="AR29" i="6"/>
  <c r="AT29" i="6" s="1"/>
  <c r="P71" i="6" s="1"/>
  <c r="AR30" i="6"/>
  <c r="AT30" i="6" s="1"/>
  <c r="Q71" i="6" s="1"/>
  <c r="AR24" i="6"/>
  <c r="AT24" i="6" s="1"/>
  <c r="AR23" i="6"/>
  <c r="AT23" i="6" s="1"/>
  <c r="AR25" i="6"/>
  <c r="AW25" i="6" s="1"/>
  <c r="AR21" i="6"/>
  <c r="AT21" i="6" s="1"/>
  <c r="AR20" i="6"/>
  <c r="AT20" i="6" s="1"/>
  <c r="J71" i="6" s="1"/>
  <c r="AR16" i="6"/>
  <c r="AT16" i="6" s="1"/>
  <c r="AR15" i="6"/>
  <c r="AT15" i="6" s="1"/>
  <c r="G71" i="6" s="1"/>
  <c r="AR13" i="6"/>
  <c r="AT13" i="6" s="1"/>
  <c r="AR26" i="6"/>
  <c r="AT26" i="6" s="1"/>
  <c r="N71" i="6" s="1"/>
  <c r="AJ71" i="6" l="1"/>
  <c r="AT52" i="6"/>
  <c r="AG71" i="6" s="1"/>
  <c r="AT51" i="6"/>
  <c r="AF71" i="6" s="1"/>
  <c r="AT50" i="6"/>
  <c r="AE71" i="6" s="1"/>
  <c r="AV51" i="6"/>
  <c r="AX51" i="6" s="1"/>
  <c r="AY51" i="6"/>
  <c r="AY52" i="6"/>
  <c r="AV52" i="6"/>
  <c r="AX52" i="6" s="1"/>
  <c r="AY50" i="6"/>
  <c r="AV50" i="6"/>
  <c r="AX50" i="6" s="1"/>
  <c r="AW59" i="6"/>
  <c r="AW53" i="6"/>
  <c r="AW54" i="6"/>
  <c r="AW55" i="6"/>
  <c r="AW60" i="6"/>
  <c r="AY60" i="6" s="1"/>
  <c r="AW56" i="6"/>
  <c r="AW57" i="6"/>
  <c r="AW58" i="6"/>
  <c r="AV60" i="6"/>
  <c r="AX60" i="6" s="1"/>
  <c r="AW61" i="6"/>
  <c r="AA71" i="6"/>
  <c r="X71" i="6"/>
  <c r="AW62" i="6"/>
  <c r="AW63" i="6"/>
  <c r="AW64" i="6"/>
  <c r="AW39" i="6"/>
  <c r="AW40" i="6"/>
  <c r="AW41" i="6"/>
  <c r="AW42" i="6"/>
  <c r="AW43" i="6"/>
  <c r="AW44" i="6"/>
  <c r="AW45" i="6"/>
  <c r="AW46" i="6"/>
  <c r="AW37" i="6"/>
  <c r="AW38" i="6"/>
  <c r="AW33" i="6"/>
  <c r="AW34" i="6"/>
  <c r="L71" i="6"/>
  <c r="AW29" i="6"/>
  <c r="AW30" i="6"/>
  <c r="AW23" i="6"/>
  <c r="AW24" i="6"/>
  <c r="AT25" i="6"/>
  <c r="M71" i="6" s="1"/>
  <c r="AY25" i="6"/>
  <c r="AV25" i="6"/>
  <c r="AX25" i="6" s="1"/>
  <c r="AW21" i="6"/>
  <c r="AW20" i="6"/>
  <c r="AW16" i="6"/>
  <c r="AW15" i="6"/>
  <c r="AW13" i="6"/>
  <c r="AW26" i="6"/>
  <c r="AR18" i="6"/>
  <c r="AT18" i="6" s="1"/>
  <c r="AY54" i="6" l="1"/>
  <c r="AV54" i="6"/>
  <c r="AX54" i="6" s="1"/>
  <c r="AY53" i="6"/>
  <c r="AV53" i="6"/>
  <c r="AX53" i="6" s="1"/>
  <c r="AY55" i="6"/>
  <c r="AV55" i="6"/>
  <c r="AX55" i="6" s="1"/>
  <c r="AY59" i="6"/>
  <c r="AV59" i="6"/>
  <c r="AX59" i="6" s="1"/>
  <c r="AY58" i="6"/>
  <c r="AV58" i="6"/>
  <c r="AX58" i="6" s="1"/>
  <c r="AY57" i="6"/>
  <c r="AV57" i="6"/>
  <c r="AX57" i="6" s="1"/>
  <c r="AY61" i="6"/>
  <c r="AV61" i="6"/>
  <c r="AX61" i="6" s="1"/>
  <c r="AY56" i="6"/>
  <c r="AV56" i="6"/>
  <c r="AX56" i="6" s="1"/>
  <c r="AY63" i="6"/>
  <c r="AV63" i="6"/>
  <c r="AX63" i="6" s="1"/>
  <c r="AY64" i="6"/>
  <c r="AV64" i="6"/>
  <c r="AX64" i="6" s="1"/>
  <c r="AY62" i="6"/>
  <c r="AV62" i="6"/>
  <c r="AX62" i="6" s="1"/>
  <c r="AY42" i="6"/>
  <c r="AV42" i="6"/>
  <c r="AX42" i="6" s="1"/>
  <c r="AY41" i="6"/>
  <c r="AV41" i="6"/>
  <c r="AX41" i="6" s="1"/>
  <c r="AY40" i="6"/>
  <c r="AV40" i="6"/>
  <c r="AX40" i="6" s="1"/>
  <c r="AY39" i="6"/>
  <c r="AV39" i="6"/>
  <c r="AX39" i="6" s="1"/>
  <c r="AY46" i="6"/>
  <c r="AV46" i="6"/>
  <c r="AX46" i="6" s="1"/>
  <c r="AY45" i="6"/>
  <c r="AV45" i="6"/>
  <c r="AX45" i="6" s="1"/>
  <c r="AY44" i="6"/>
  <c r="AV44" i="6"/>
  <c r="AX44" i="6" s="1"/>
  <c r="AY43" i="6"/>
  <c r="AV43" i="6"/>
  <c r="AX43" i="6" s="1"/>
  <c r="AY37" i="6"/>
  <c r="AV37" i="6"/>
  <c r="AX37" i="6" s="1"/>
  <c r="AY38" i="6"/>
  <c r="AV38" i="6"/>
  <c r="AX38" i="6" s="1"/>
  <c r="AY34" i="6"/>
  <c r="AV34" i="6"/>
  <c r="AX34" i="6" s="1"/>
  <c r="AY33" i="6"/>
  <c r="AV33" i="6"/>
  <c r="AX33" i="6" s="1"/>
  <c r="AY29" i="6"/>
  <c r="AV29" i="6"/>
  <c r="AX29" i="6" s="1"/>
  <c r="AY30" i="6"/>
  <c r="AV30" i="6"/>
  <c r="AX30" i="6" s="1"/>
  <c r="AY24" i="6"/>
  <c r="AV24" i="6"/>
  <c r="AX24" i="6" s="1"/>
  <c r="AY23" i="6"/>
  <c r="AV23" i="6"/>
  <c r="AX23" i="6" s="1"/>
  <c r="AY21" i="6"/>
  <c r="AV21" i="6"/>
  <c r="AX21" i="6" s="1"/>
  <c r="AY20" i="6"/>
  <c r="AV20" i="6"/>
  <c r="AX20" i="6" s="1"/>
  <c r="AY16" i="6"/>
  <c r="AV16" i="6"/>
  <c r="AX16" i="6" s="1"/>
  <c r="AY15" i="6"/>
  <c r="AV15" i="6"/>
  <c r="AX15" i="6" s="1"/>
  <c r="AY13" i="6"/>
  <c r="AV13" i="6"/>
  <c r="AX13" i="6" s="1"/>
  <c r="AY26" i="6"/>
  <c r="AV26" i="6"/>
  <c r="AX26" i="6" s="1"/>
  <c r="AW18" i="6"/>
  <c r="AY18" i="6" l="1"/>
  <c r="AV18" i="6"/>
  <c r="AX18" i="6" s="1"/>
  <c r="AR27" i="6"/>
  <c r="AT27" i="6" s="1"/>
  <c r="AR22" i="6"/>
  <c r="AT22" i="6" s="1"/>
  <c r="K71" i="6" s="1"/>
  <c r="AR19" i="6"/>
  <c r="AT19" i="6" s="1"/>
  <c r="I71" i="6" s="1"/>
  <c r="M75" i="6"/>
  <c r="AW27" i="6" l="1"/>
  <c r="AW22" i="6"/>
  <c r="AW19" i="6"/>
  <c r="AR17" i="6"/>
  <c r="AT17" i="6" s="1"/>
  <c r="H71" i="6" s="1"/>
  <c r="AY27" i="6" l="1"/>
  <c r="AV27" i="6"/>
  <c r="AX27" i="6" s="1"/>
  <c r="AY22" i="6"/>
  <c r="AV22" i="6"/>
  <c r="AX22" i="6" s="1"/>
  <c r="AY19" i="6"/>
  <c r="AV19" i="6"/>
  <c r="AX19" i="6" s="1"/>
  <c r="AW17" i="6"/>
  <c r="AR35" i="6"/>
  <c r="AT35" i="6" s="1"/>
  <c r="AR14" i="6"/>
  <c r="AT14" i="6" s="1"/>
  <c r="F71" i="6" s="1"/>
  <c r="AR11" i="6"/>
  <c r="AT11" i="6" s="1"/>
  <c r="C11" i="6"/>
  <c r="AR47" i="6"/>
  <c r="AT47" i="6" s="1"/>
  <c r="AC71" i="6" s="1"/>
  <c r="AR48" i="6"/>
  <c r="AW48" i="6" s="1"/>
  <c r="AY17" i="6" l="1"/>
  <c r="AV17" i="6"/>
  <c r="AX17" i="6" s="1"/>
  <c r="A12" i="6"/>
  <c r="AW35" i="6"/>
  <c r="AW14" i="6"/>
  <c r="AW11" i="6"/>
  <c r="AW47" i="6"/>
  <c r="AT48" i="6"/>
  <c r="AY48" i="6"/>
  <c r="AV48" i="6"/>
  <c r="AX48" i="6" s="1"/>
  <c r="AY35" i="6" l="1"/>
  <c r="AV35" i="6"/>
  <c r="AX35" i="6" s="1"/>
  <c r="AY14" i="6"/>
  <c r="AV14" i="6"/>
  <c r="AX14" i="6" s="1"/>
  <c r="AY11" i="6"/>
  <c r="AV11" i="6"/>
  <c r="AX11" i="6" s="1"/>
  <c r="AY47" i="6"/>
  <c r="AV47" i="6"/>
  <c r="AX47" i="6" s="1"/>
  <c r="AR49" i="6"/>
  <c r="AT49" i="6" s="1"/>
  <c r="AD71" i="6" s="1"/>
  <c r="AR36" i="6"/>
  <c r="AT36" i="6" s="1"/>
  <c r="U71" i="6" s="1"/>
  <c r="AR31" i="6"/>
  <c r="AT31" i="6" s="1"/>
  <c r="AW49" i="6" l="1"/>
  <c r="AW36" i="6"/>
  <c r="AW31" i="6"/>
  <c r="AR12" i="6"/>
  <c r="AW12" i="6" s="1"/>
  <c r="C12" i="6"/>
  <c r="A13" i="6" s="1"/>
  <c r="C13" i="6" s="1"/>
  <c r="AY49" i="6" l="1"/>
  <c r="AV49" i="6"/>
  <c r="AX49" i="6" s="1"/>
  <c r="AY36" i="6"/>
  <c r="AV36" i="6"/>
  <c r="AX36" i="6" s="1"/>
  <c r="AY31" i="6"/>
  <c r="AV31" i="6"/>
  <c r="AX31" i="6" s="1"/>
  <c r="AY12" i="6"/>
  <c r="AV12" i="6"/>
  <c r="AT12" i="6"/>
  <c r="E71" i="6" l="1"/>
  <c r="AX12" i="6"/>
  <c r="AR70" i="6"/>
  <c r="AR28" i="6" l="1"/>
  <c r="AT28" i="6" s="1"/>
  <c r="O71" i="6" s="1"/>
  <c r="AW28" i="6" l="1"/>
  <c r="AY28" i="6" l="1"/>
  <c r="AV28" i="6"/>
  <c r="AX28" i="6" s="1"/>
  <c r="AR32" i="6" l="1"/>
  <c r="AW32" i="6" s="1"/>
  <c r="AV32" i="6" l="1"/>
  <c r="AX32" i="6" s="1"/>
  <c r="AY32" i="6"/>
  <c r="AT32" i="6"/>
  <c r="R71" i="6" l="1"/>
  <c r="AW65" i="6" l="1"/>
  <c r="AY65" i="6" l="1"/>
  <c r="AX65" i="6" l="1"/>
  <c r="AR76" i="6"/>
  <c r="AO72" i="6" l="1"/>
  <c r="AM72" i="6" l="1"/>
  <c r="AI72" i="6"/>
  <c r="AC72" i="6" l="1"/>
  <c r="AC73" i="6" s="1"/>
  <c r="AJ72" i="6" l="1"/>
  <c r="AJ73" i="6" s="1"/>
  <c r="AL72" i="6" l="1"/>
  <c r="AN72" i="6"/>
  <c r="AK72" i="6"/>
  <c r="AQ72" i="6" l="1"/>
  <c r="AP72" i="6"/>
  <c r="AH72" i="6"/>
  <c r="E72" i="6" l="1"/>
  <c r="E73" i="6" s="1"/>
  <c r="AG72" i="6"/>
  <c r="AG73" i="6" s="1"/>
  <c r="AD72" i="6"/>
  <c r="AD73" i="6" s="1"/>
  <c r="AA72" i="6"/>
  <c r="AA73" i="6" s="1"/>
  <c r="Z72" i="6"/>
  <c r="AE72" i="6"/>
  <c r="AF72" i="6"/>
  <c r="AS4" i="6"/>
  <c r="AY67" i="6" l="1"/>
  <c r="D80" i="6" s="1"/>
  <c r="AX67" i="6"/>
  <c r="D79" i="6" s="1"/>
  <c r="AR71" i="6"/>
  <c r="I72" i="6"/>
  <c r="I73" i="6" s="1"/>
  <c r="U72" i="6"/>
  <c r="U73" i="6" s="1"/>
  <c r="X72" i="6"/>
  <c r="X73" i="6" s="1"/>
  <c r="AB72" i="6"/>
  <c r="N72" i="6" l="1"/>
  <c r="Q72" i="6"/>
  <c r="O72" i="6"/>
  <c r="O73" i="6" s="1"/>
  <c r="L72" i="6"/>
  <c r="L73" i="6" s="1"/>
  <c r="M72" i="6"/>
  <c r="J72" i="6"/>
  <c r="K72" i="6"/>
  <c r="K73" i="6" s="1"/>
  <c r="T72" i="6"/>
  <c r="R72" i="6"/>
  <c r="R73" i="6" s="1"/>
  <c r="P72" i="6"/>
  <c r="Y72" i="6"/>
  <c r="V72" i="6"/>
  <c r="W72" i="6"/>
  <c r="S72" i="6"/>
  <c r="F72" i="6" l="1"/>
  <c r="F73" i="6" s="1"/>
  <c r="H72" i="6" l="1"/>
  <c r="H73" i="6" s="1"/>
  <c r="G72" i="6"/>
  <c r="AR72" i="6" l="1"/>
  <c r="AR73" i="6" s="1"/>
  <c r="AS5" i="6"/>
  <c r="AS6" i="6" l="1"/>
  <c r="AS7" i="6"/>
</calcChain>
</file>

<file path=xl/sharedStrings.xml><?xml version="1.0" encoding="utf-8"?>
<sst xmlns="http://schemas.openxmlformats.org/spreadsheetml/2006/main" count="190" uniqueCount="81">
  <si>
    <t>ORDER QTY</t>
  </si>
  <si>
    <t>:</t>
  </si>
  <si>
    <t>PCS</t>
  </si>
  <si>
    <t>PACK QTY</t>
  </si>
  <si>
    <t>EXCESS/SHORT QTY</t>
  </si>
  <si>
    <t>PERCENTAGE</t>
  </si>
  <si>
    <t>%</t>
  </si>
  <si>
    <t>SIZE</t>
  </si>
  <si>
    <t>QTY/ CTN</t>
  </si>
  <si>
    <t>TOTAL CTN</t>
  </si>
  <si>
    <t>TOTAL PCS</t>
  </si>
  <si>
    <t xml:space="preserve">TOTAL </t>
  </si>
  <si>
    <t>COLOR</t>
  </si>
  <si>
    <t>CASE LABEL NO.</t>
  </si>
  <si>
    <t>BUYER</t>
  </si>
  <si>
    <t>P.O NO</t>
  </si>
  <si>
    <t>DESCRIPTION</t>
  </si>
  <si>
    <t>SHIP QTY</t>
  </si>
  <si>
    <t>EXS/SHT QTY</t>
  </si>
  <si>
    <t>TOTAL</t>
  </si>
  <si>
    <t>PACKING LIST DETAILS .</t>
  </si>
  <si>
    <t>SUMMARY : COLOR &amp; SIZEWISE BREAKDOWN</t>
  </si>
  <si>
    <t>ABERCROMBIE</t>
  </si>
  <si>
    <t>STYLE</t>
  </si>
  <si>
    <t>KGS</t>
  </si>
  <si>
    <t>0-R</t>
  </si>
  <si>
    <t>0-S</t>
  </si>
  <si>
    <t>0-L</t>
  </si>
  <si>
    <t>CREATIVE COLLECTIONS LTD.U-1B</t>
  </si>
  <si>
    <t>00-S</t>
  </si>
  <si>
    <t>00-R</t>
  </si>
  <si>
    <t>00-L</t>
  </si>
  <si>
    <t xml:space="preserve">Total  Carton BIG= </t>
  </si>
  <si>
    <t>Total  Carton Small=</t>
  </si>
  <si>
    <t>T. GROSS WEIGHT :</t>
  </si>
  <si>
    <t>T. NET      WEIGHT :</t>
  </si>
  <si>
    <t>Grs,wt,pr ctn</t>
  </si>
  <si>
    <t>Net,wt,pr ctn</t>
  </si>
  <si>
    <t>total,Grs,wt</t>
  </si>
  <si>
    <t>total net,wt</t>
  </si>
  <si>
    <t>size wise per pcs wt</t>
  </si>
  <si>
    <t>per cnt wt</t>
  </si>
  <si>
    <t>2-S</t>
  </si>
  <si>
    <t>2-R</t>
  </si>
  <si>
    <t>2-L</t>
  </si>
  <si>
    <t>4-S</t>
  </si>
  <si>
    <t>4-R</t>
  </si>
  <si>
    <t>4-L</t>
  </si>
  <si>
    <t>6-S</t>
  </si>
  <si>
    <t>6-R</t>
  </si>
  <si>
    <t>6-L</t>
  </si>
  <si>
    <t>8-S</t>
  </si>
  <si>
    <t>8-R</t>
  </si>
  <si>
    <t>8-L</t>
  </si>
  <si>
    <t>10-S</t>
  </si>
  <si>
    <t>10-R</t>
  </si>
  <si>
    <t>10-L</t>
  </si>
  <si>
    <t>12-S</t>
  </si>
  <si>
    <t>12-R</t>
  </si>
  <si>
    <t>12-L</t>
  </si>
  <si>
    <t>000S</t>
  </si>
  <si>
    <t>000R</t>
  </si>
  <si>
    <t>000L</t>
  </si>
  <si>
    <t>14S</t>
  </si>
  <si>
    <t>14R</t>
  </si>
  <si>
    <t>14L</t>
  </si>
  <si>
    <t>16S</t>
  </si>
  <si>
    <t>16R</t>
  </si>
  <si>
    <t>16L</t>
  </si>
  <si>
    <t>18S</t>
  </si>
  <si>
    <t>18R</t>
  </si>
  <si>
    <t>18L</t>
  </si>
  <si>
    <t>20-S</t>
  </si>
  <si>
    <t>20-R</t>
  </si>
  <si>
    <t>20-L</t>
  </si>
  <si>
    <t>-</t>
  </si>
  <si>
    <t>CARTON MEASUREMENT : L 64 X W 39 X H 13 CM</t>
  </si>
  <si>
    <t>355270247</t>
  </si>
  <si>
    <t>CARTON MEASUREMENT : L 64 X W 39 X H 21 CM</t>
  </si>
  <si>
    <t>US1BU</t>
  </si>
  <si>
    <t>CBM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</si>
</sst>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1"/>
      <name val="Arial"/>
      <family val="2"/>
    </font>
    <font>
      <b/>
      <sz val="10"/>
      <name val="Calibri"/>
      <family val="2"/>
      <scheme val="minor"/>
    </font>
    <font>
      <b/>
      <u/>
      <sz val="16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Calibri"/>
      <family val="2"/>
      <scheme val="minor"/>
    </font>
    <font>
      <sz val="11"/>
      <name val="Arial"/>
      <family val="2"/>
    </font>
    <font>
      <b/>
      <sz val="12"/>
      <name val="Calibri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20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0" xfId="1" applyFill="1" applyAlignment="1">
      <alignment vertical="center"/>
    </xf>
    <xf numFmtId="0" fontId="3" fillId="2" borderId="0" xfId="6" applyFont="1" applyFill="1" applyAlignment="1">
      <alignment vertical="center"/>
    </xf>
    <xf numFmtId="0" fontId="3" fillId="2" borderId="0" xfId="1" applyFont="1" applyFill="1" applyAlignment="1">
      <alignment vertical="center"/>
    </xf>
    <xf numFmtId="0" fontId="0" fillId="2" borderId="0" xfId="0" applyFill="1"/>
    <xf numFmtId="0" fontId="3" fillId="2" borderId="0" xfId="6" applyFont="1" applyFill="1" applyAlignment="1">
      <alignment horizontal="left" vertical="center"/>
    </xf>
    <xf numFmtId="0" fontId="3" fillId="2" borderId="0" xfId="1" applyFont="1" applyFill="1" applyAlignment="1">
      <alignment horizontal="center" vertical="center"/>
    </xf>
    <xf numFmtId="10" fontId="1" fillId="2" borderId="0" xfId="1" applyNumberFormat="1" applyFill="1" applyAlignment="1">
      <alignment vertical="center"/>
    </xf>
    <xf numFmtId="0" fontId="0" fillId="2" borderId="0" xfId="0" applyFill="1" applyAlignment="1">
      <alignment horizontal="center"/>
    </xf>
    <xf numFmtId="0" fontId="3" fillId="2" borderId="3" xfId="4" applyFont="1" applyFill="1" applyBorder="1" applyAlignment="1">
      <alignment vertical="center"/>
    </xf>
    <xf numFmtId="0" fontId="10" fillId="2" borderId="4" xfId="0" applyFont="1" applyFill="1" applyBorder="1" applyAlignment="1">
      <alignment horizontal="center" vertical="center"/>
    </xf>
    <xf numFmtId="0" fontId="3" fillId="2" borderId="4" xfId="1" applyFont="1" applyFill="1" applyBorder="1" applyAlignment="1">
      <alignment vertical="center"/>
    </xf>
    <xf numFmtId="0" fontId="3" fillId="2" borderId="5" xfId="1" applyFont="1" applyFill="1" applyBorder="1" applyAlignment="1">
      <alignment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7" xfId="4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3" fillId="2" borderId="8" xfId="1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0" fontId="7" fillId="2" borderId="10" xfId="4" applyFont="1" applyFill="1" applyBorder="1" applyAlignment="1">
      <alignment vertical="center"/>
    </xf>
    <xf numFmtId="0" fontId="10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vertical="center"/>
    </xf>
    <xf numFmtId="0" fontId="3" fillId="2" borderId="11" xfId="1" applyFont="1" applyFill="1" applyBorder="1" applyAlignment="1">
      <alignment vertical="center"/>
    </xf>
    <xf numFmtId="0" fontId="3" fillId="2" borderId="12" xfId="1" applyFont="1" applyFill="1" applyBorder="1" applyAlignment="1">
      <alignment vertical="center"/>
    </xf>
    <xf numFmtId="0" fontId="3" fillId="2" borderId="11" xfId="1" applyFont="1" applyFill="1" applyBorder="1" applyAlignment="1">
      <alignment horizontal="center" vertical="center"/>
    </xf>
    <xf numFmtId="2" fontId="3" fillId="2" borderId="11" xfId="0" applyNumberFormat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3" fillId="2" borderId="29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2" borderId="35" xfId="0" quotePrefix="1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19" fillId="2" borderId="1" xfId="1" applyFont="1" applyFill="1" applyBorder="1" applyAlignment="1">
      <alignment horizontal="center" vertical="center"/>
    </xf>
    <xf numFmtId="0" fontId="19" fillId="2" borderId="1" xfId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20" fillId="2" borderId="1" xfId="2" applyFont="1" applyFill="1" applyBorder="1" applyAlignment="1">
      <alignment horizontal="center" vertical="center"/>
    </xf>
    <xf numFmtId="0" fontId="19" fillId="2" borderId="1" xfId="1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0" fontId="19" fillId="2" borderId="24" xfId="1" applyFont="1" applyFill="1" applyBorder="1" applyAlignment="1">
      <alignment vertical="center"/>
    </xf>
    <xf numFmtId="0" fontId="19" fillId="2" borderId="24" xfId="1" applyFont="1" applyFill="1" applyBorder="1" applyAlignment="1">
      <alignment horizontal="center" vertical="center" wrapText="1"/>
    </xf>
    <xf numFmtId="0" fontId="19" fillId="2" borderId="24" xfId="1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vertical="center"/>
    </xf>
    <xf numFmtId="0" fontId="19" fillId="2" borderId="24" xfId="0" applyFont="1" applyFill="1" applyBorder="1" applyAlignment="1">
      <alignment horizontal="center" vertical="center" wrapText="1"/>
    </xf>
    <xf numFmtId="0" fontId="19" fillId="2" borderId="27" xfId="0" applyFont="1" applyFill="1" applyBorder="1" applyAlignment="1">
      <alignment horizontal="center" vertical="center" wrapText="1"/>
    </xf>
    <xf numFmtId="0" fontId="21" fillId="2" borderId="25" xfId="0" applyFont="1" applyFill="1" applyBorder="1" applyAlignment="1">
      <alignment horizontal="center" vertical="center"/>
    </xf>
    <xf numFmtId="0" fontId="22" fillId="2" borderId="1" xfId="1" applyFont="1" applyFill="1" applyBorder="1" applyAlignment="1">
      <alignment horizontal="center" vertical="center" wrapText="1"/>
    </xf>
    <xf numFmtId="0" fontId="23" fillId="2" borderId="1" xfId="1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9" fillId="5" borderId="1" xfId="1" applyFont="1" applyFill="1" applyBorder="1" applyAlignment="1">
      <alignment horizontal="center" vertical="center"/>
    </xf>
    <xf numFmtId="0" fontId="19" fillId="5" borderId="1" xfId="1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22" fillId="5" borderId="1" xfId="1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19" fillId="5" borderId="1" xfId="1" applyFont="1" applyFill="1" applyBorder="1" applyAlignment="1">
      <alignment vertical="center"/>
    </xf>
    <xf numFmtId="0" fontId="18" fillId="5" borderId="1" xfId="0" applyFont="1" applyFill="1" applyBorder="1" applyAlignment="1">
      <alignment vertical="center"/>
    </xf>
    <xf numFmtId="0" fontId="19" fillId="5" borderId="24" xfId="0" applyFont="1" applyFill="1" applyBorder="1" applyAlignment="1">
      <alignment horizontal="center" vertical="center" wrapText="1"/>
    </xf>
    <xf numFmtId="0" fontId="19" fillId="5" borderId="27" xfId="0" applyFont="1" applyFill="1" applyBorder="1" applyAlignment="1">
      <alignment horizontal="center" vertical="center" wrapText="1"/>
    </xf>
    <xf numFmtId="0" fontId="15" fillId="2" borderId="33" xfId="0" applyFont="1" applyFill="1" applyBorder="1" applyAlignment="1">
      <alignment horizontal="center" vertical="center" wrapText="1"/>
    </xf>
    <xf numFmtId="0" fontId="15" fillId="2" borderId="34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4" fontId="2" fillId="2" borderId="11" xfId="1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11" fontId="3" fillId="2" borderId="0" xfId="0" quotePrefix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6" fillId="2" borderId="26" xfId="3" applyFont="1" applyFill="1" applyBorder="1" applyAlignment="1">
      <alignment horizontal="center" vertical="center" wrapText="1"/>
    </xf>
    <xf numFmtId="0" fontId="6" fillId="2" borderId="25" xfId="3" applyFont="1" applyFill="1" applyBorder="1" applyAlignment="1">
      <alignment horizontal="center" vertical="center" wrapText="1"/>
    </xf>
    <xf numFmtId="0" fontId="6" fillId="2" borderId="31" xfId="3" applyFont="1" applyFill="1" applyBorder="1" applyAlignment="1">
      <alignment horizontal="center" vertical="center" wrapText="1"/>
    </xf>
    <xf numFmtId="0" fontId="6" fillId="2" borderId="32" xfId="3" applyFont="1" applyFill="1" applyBorder="1" applyAlignment="1">
      <alignment horizontal="center" vertical="center" wrapText="1"/>
    </xf>
    <xf numFmtId="0" fontId="6" fillId="2" borderId="20" xfId="2" applyFont="1" applyFill="1" applyBorder="1" applyAlignment="1">
      <alignment horizontal="center" vertical="center" wrapText="1"/>
    </xf>
    <xf numFmtId="0" fontId="6" fillId="2" borderId="23" xfId="2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/>
    </xf>
    <xf numFmtId="0" fontId="6" fillId="2" borderId="19" xfId="1" applyFont="1" applyFill="1" applyBorder="1" applyAlignment="1">
      <alignment horizontal="center" vertical="center"/>
    </xf>
    <xf numFmtId="0" fontId="3" fillId="2" borderId="16" xfId="1" applyFont="1" applyFill="1" applyBorder="1" applyAlignment="1">
      <alignment horizontal="center" vertical="center" wrapText="1"/>
    </xf>
    <xf numFmtId="0" fontId="3" fillId="2" borderId="24" xfId="1" applyFont="1" applyFill="1" applyBorder="1" applyAlignment="1">
      <alignment horizontal="center" vertical="center" wrapText="1"/>
    </xf>
    <xf numFmtId="0" fontId="17" fillId="2" borderId="36" xfId="0" applyFont="1" applyFill="1" applyBorder="1" applyAlignment="1">
      <alignment horizontal="center" vertical="center" wrapText="1"/>
    </xf>
    <xf numFmtId="0" fontId="17" fillId="2" borderId="38" xfId="0" applyFont="1" applyFill="1" applyBorder="1" applyAlignment="1">
      <alignment horizontal="center" vertical="center" wrapText="1"/>
    </xf>
    <xf numFmtId="0" fontId="16" fillId="2" borderId="37" xfId="0" applyFont="1" applyFill="1" applyBorder="1" applyAlignment="1">
      <alignment horizontal="center" vertical="center" wrapText="1"/>
    </xf>
    <xf numFmtId="0" fontId="16" fillId="2" borderId="39" xfId="0" applyFont="1" applyFill="1" applyBorder="1" applyAlignment="1">
      <alignment horizontal="center" vertical="center" wrapText="1"/>
    </xf>
    <xf numFmtId="0" fontId="14" fillId="2" borderId="0" xfId="1" applyFont="1" applyFill="1" applyAlignment="1">
      <alignment horizontal="center" vertical="center"/>
    </xf>
    <xf numFmtId="0" fontId="4" fillId="2" borderId="21" xfId="5" applyFont="1" applyFill="1" applyBorder="1" applyAlignment="1">
      <alignment horizontal="left" vertical="center"/>
    </xf>
    <xf numFmtId="0" fontId="4" fillId="2" borderId="1" xfId="5" applyFont="1" applyFill="1" applyBorder="1" applyAlignment="1">
      <alignment horizontal="left" vertical="center"/>
    </xf>
    <xf numFmtId="0" fontId="4" fillId="2" borderId="28" xfId="5" applyFont="1" applyFill="1" applyBorder="1" applyAlignment="1">
      <alignment horizontal="left" vertical="center"/>
    </xf>
    <xf numFmtId="0" fontId="4" fillId="2" borderId="29" xfId="5" applyFont="1" applyFill="1" applyBorder="1" applyAlignment="1">
      <alignment horizontal="left" vertical="center"/>
    </xf>
    <xf numFmtId="0" fontId="11" fillId="2" borderId="1" xfId="7" applyFont="1" applyFill="1" applyBorder="1" applyAlignment="1">
      <alignment horizontal="center" vertical="center"/>
    </xf>
    <xf numFmtId="0" fontId="5" fillId="2" borderId="0" xfId="8" applyFont="1" applyFill="1" applyAlignment="1">
      <alignment horizontal="center" vertical="center"/>
    </xf>
    <xf numFmtId="0" fontId="4" fillId="2" borderId="22" xfId="5" applyFont="1" applyFill="1" applyBorder="1" applyAlignment="1">
      <alignment horizontal="left" vertical="center"/>
    </xf>
    <xf numFmtId="0" fontId="4" fillId="2" borderId="14" xfId="5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4" fillId="2" borderId="40" xfId="5" applyFont="1" applyFill="1" applyBorder="1" applyAlignment="1">
      <alignment horizontal="left" vertical="center"/>
    </xf>
    <xf numFmtId="0" fontId="4" fillId="2" borderId="35" xfId="5" applyFont="1" applyFill="1" applyBorder="1" applyAlignment="1">
      <alignment horizontal="left" vertical="center"/>
    </xf>
    <xf numFmtId="0" fontId="3" fillId="2" borderId="17" xfId="1" applyFont="1" applyFill="1" applyBorder="1" applyAlignment="1">
      <alignment horizontal="center" vertical="center" wrapText="1"/>
    </xf>
    <xf numFmtId="0" fontId="3" fillId="2" borderId="27" xfId="1" applyFont="1" applyFill="1" applyBorder="1" applyAlignment="1">
      <alignment horizontal="center" vertical="center" wrapText="1"/>
    </xf>
    <xf numFmtId="0" fontId="19" fillId="5" borderId="24" xfId="1" applyFont="1" applyFill="1" applyBorder="1" applyAlignment="1">
      <alignment vertical="center"/>
    </xf>
    <xf numFmtId="0" fontId="19" fillId="5" borderId="24" xfId="1" applyFont="1" applyFill="1" applyBorder="1" applyAlignment="1">
      <alignment horizontal="center" vertical="center" wrapText="1"/>
    </xf>
    <xf numFmtId="0" fontId="19" fillId="5" borderId="24" xfId="1" applyFont="1" applyFill="1" applyBorder="1" applyAlignment="1">
      <alignment horizontal="center" vertical="center"/>
    </xf>
    <xf numFmtId="0" fontId="18" fillId="5" borderId="24" xfId="0" applyFont="1" applyFill="1" applyBorder="1" applyAlignment="1">
      <alignment vertical="center"/>
    </xf>
  </cellXfs>
  <cellStyles count="9">
    <cellStyle name="Normal" xfId="0" builtinId="0"/>
    <cellStyle name="Normal 12" xfId="8" xr:uid="{00000000-0005-0000-0000-000001000000}"/>
    <cellStyle name="Normal 2" xfId="1" xr:uid="{00000000-0005-0000-0000-000002000000}"/>
    <cellStyle name="Normal 4" xfId="2" xr:uid="{00000000-0005-0000-0000-000003000000}"/>
    <cellStyle name="Normal 5" xfId="3" xr:uid="{00000000-0005-0000-0000-000004000000}"/>
    <cellStyle name="Normal 6" xfId="4" xr:uid="{00000000-0005-0000-0000-000005000000}"/>
    <cellStyle name="Normal 7" xfId="5" xr:uid="{00000000-0005-0000-0000-000006000000}"/>
    <cellStyle name="Normal 8" xfId="6" xr:uid="{00000000-0005-0000-0000-000007000000}"/>
    <cellStyle name="Normal 9" xfId="7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A80"/>
  <sheetViews>
    <sheetView tabSelected="1" view="pageBreakPreview" topLeftCell="A61" zoomScale="70" zoomScaleNormal="85" zoomScaleSheetLayoutView="70" workbookViewId="0">
      <selection activeCell="U79" sqref="U79"/>
    </sheetView>
  </sheetViews>
  <sheetFormatPr defaultColWidth="9.140625" defaultRowHeight="15" x14ac:dyDescent="0.25"/>
  <cols>
    <col min="1" max="1" width="10" style="2" customWidth="1"/>
    <col min="2" max="2" width="1.42578125" style="2" customWidth="1"/>
    <col min="3" max="3" width="8.85546875" style="2" customWidth="1"/>
    <col min="4" max="4" width="11.28515625" style="2" customWidth="1"/>
    <col min="5" max="5" width="6.140625" style="2" customWidth="1"/>
    <col min="6" max="6" width="5.85546875" style="2" customWidth="1"/>
    <col min="7" max="7" width="5.7109375" style="2" customWidth="1"/>
    <col min="8" max="8" width="5.28515625" style="2" customWidth="1"/>
    <col min="9" max="9" width="6.28515625" style="2" customWidth="1"/>
    <col min="10" max="11" width="5.28515625" style="2" customWidth="1"/>
    <col min="12" max="12" width="5.85546875" style="2" customWidth="1"/>
    <col min="13" max="14" width="5.28515625" style="2" customWidth="1"/>
    <col min="15" max="15" width="6.28515625" style="2" customWidth="1"/>
    <col min="16" max="17" width="5.28515625" style="2" customWidth="1"/>
    <col min="18" max="18" width="5.85546875" style="2" customWidth="1"/>
    <col min="19" max="29" width="5.28515625" style="2" customWidth="1"/>
    <col min="30" max="30" width="5.85546875" style="2" customWidth="1"/>
    <col min="31" max="43" width="5.28515625" style="2" customWidth="1"/>
    <col min="44" max="44" width="11.140625" style="2" customWidth="1"/>
    <col min="45" max="45" width="8.28515625" style="2" customWidth="1"/>
    <col min="46" max="46" width="7.28515625" style="2" customWidth="1"/>
    <col min="47" max="47" width="1.42578125" style="2" customWidth="1"/>
    <col min="48" max="16384" width="9.140625" style="2"/>
  </cols>
  <sheetData>
    <row r="1" spans="1:53" ht="23.25" x14ac:dyDescent="0.25">
      <c r="A1" s="79" t="s">
        <v>28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</row>
    <row r="2" spans="1:53" ht="20.25" x14ac:dyDescent="0.25">
      <c r="A2" s="80" t="s">
        <v>20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</row>
    <row r="3" spans="1:53" ht="13.7" customHeight="1" thickBot="1" x14ac:dyDescent="0.3"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7"/>
      <c r="AS3" s="81"/>
      <c r="AT3" s="81"/>
    </row>
    <row r="4" spans="1:53" ht="15.95" customHeight="1" x14ac:dyDescent="0.25">
      <c r="A4" s="13" t="s">
        <v>14</v>
      </c>
      <c r="B4" s="14" t="s">
        <v>1</v>
      </c>
      <c r="C4" s="82" t="s">
        <v>22</v>
      </c>
      <c r="D4" s="82"/>
      <c r="E4" s="15"/>
      <c r="F4" s="15"/>
      <c r="G4" s="15"/>
      <c r="H4" s="15"/>
      <c r="I4" s="15"/>
      <c r="J4" s="15"/>
      <c r="K4" s="15"/>
      <c r="L4" s="15"/>
      <c r="M4" s="15"/>
      <c r="N4" s="16"/>
      <c r="O4" s="15"/>
      <c r="P4" s="15"/>
      <c r="Q4" s="15"/>
      <c r="R4" s="15"/>
      <c r="S4" s="15"/>
      <c r="T4" s="15"/>
      <c r="U4" s="15"/>
      <c r="V4" s="16" t="s">
        <v>0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7" t="s">
        <v>1</v>
      </c>
      <c r="AS4" s="18">
        <f>AR70</f>
        <v>3768</v>
      </c>
      <c r="AT4" s="19" t="s">
        <v>2</v>
      </c>
    </row>
    <row r="5" spans="1:53" ht="15.95" customHeight="1" x14ac:dyDescent="0.25">
      <c r="A5" s="20" t="s">
        <v>23</v>
      </c>
      <c r="B5" s="21" t="s">
        <v>1</v>
      </c>
      <c r="C5" s="83" t="s">
        <v>77</v>
      </c>
      <c r="D5" s="83"/>
      <c r="E5" s="7"/>
      <c r="F5" s="7"/>
      <c r="G5" s="7"/>
      <c r="H5" s="7"/>
      <c r="I5" s="7"/>
      <c r="J5" s="7"/>
      <c r="K5" s="7"/>
      <c r="L5" s="7"/>
      <c r="M5" s="7"/>
      <c r="N5" s="22"/>
      <c r="O5" s="7"/>
      <c r="P5" s="7"/>
      <c r="Q5" s="7"/>
      <c r="R5" s="7"/>
      <c r="S5" s="7"/>
      <c r="T5" s="7"/>
      <c r="U5" s="7"/>
      <c r="V5" s="22" t="s">
        <v>3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10" t="s">
        <v>1</v>
      </c>
      <c r="AS5" s="23">
        <f>AR71</f>
        <v>3768</v>
      </c>
      <c r="AT5" s="24" t="s">
        <v>2</v>
      </c>
    </row>
    <row r="6" spans="1:53" ht="15.95" customHeight="1" x14ac:dyDescent="0.25">
      <c r="A6" s="20" t="s">
        <v>15</v>
      </c>
      <c r="B6" s="21" t="s">
        <v>1</v>
      </c>
      <c r="C6" s="84">
        <v>3216634</v>
      </c>
      <c r="D6" s="84"/>
      <c r="E6" s="7"/>
      <c r="F6" s="7"/>
      <c r="G6" s="7"/>
      <c r="H6" s="7"/>
      <c r="I6" s="7"/>
      <c r="J6" s="7"/>
      <c r="K6" s="7"/>
      <c r="L6" s="7"/>
      <c r="M6" s="7"/>
      <c r="N6" s="22"/>
      <c r="O6" s="7"/>
      <c r="P6" s="7"/>
      <c r="Q6" s="7"/>
      <c r="R6" s="7"/>
      <c r="S6" s="7"/>
      <c r="T6" s="7"/>
      <c r="U6" s="7"/>
      <c r="V6" s="22" t="s">
        <v>4</v>
      </c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10" t="s">
        <v>1</v>
      </c>
      <c r="AS6" s="23">
        <f>AR72</f>
        <v>0</v>
      </c>
      <c r="AT6" s="24" t="s">
        <v>2</v>
      </c>
    </row>
    <row r="7" spans="1:53" ht="15.95" customHeight="1" thickBot="1" x14ac:dyDescent="0.3">
      <c r="A7" s="25" t="s">
        <v>16</v>
      </c>
      <c r="B7" s="26" t="s">
        <v>1</v>
      </c>
      <c r="C7" s="27" t="s">
        <v>79</v>
      </c>
      <c r="D7" s="27"/>
      <c r="E7" s="28"/>
      <c r="F7" s="28"/>
      <c r="G7" s="28"/>
      <c r="H7" s="28"/>
      <c r="I7" s="28"/>
      <c r="J7" s="28"/>
      <c r="K7" s="28"/>
      <c r="L7" s="28"/>
      <c r="M7" s="28"/>
      <c r="N7" s="29"/>
      <c r="O7" s="28"/>
      <c r="P7" s="28"/>
      <c r="Q7" s="28"/>
      <c r="R7" s="28"/>
      <c r="S7" s="28"/>
      <c r="T7" s="28"/>
      <c r="U7" s="28"/>
      <c r="V7" s="29" t="s">
        <v>5</v>
      </c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30" t="s">
        <v>1</v>
      </c>
      <c r="AS7" s="31">
        <f>AR73</f>
        <v>0</v>
      </c>
      <c r="AT7" s="32" t="s">
        <v>6</v>
      </c>
    </row>
    <row r="8" spans="1:53" ht="9" customHeight="1" thickBot="1" x14ac:dyDescent="0.3"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</row>
    <row r="9" spans="1:53" ht="15.95" customHeight="1" x14ac:dyDescent="0.25">
      <c r="A9" s="85" t="s">
        <v>13</v>
      </c>
      <c r="B9" s="86"/>
      <c r="C9" s="87"/>
      <c r="D9" s="91" t="s">
        <v>12</v>
      </c>
      <c r="E9" s="93" t="s">
        <v>7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5" t="s">
        <v>8</v>
      </c>
      <c r="AS9" s="95" t="s">
        <v>9</v>
      </c>
      <c r="AT9" s="114" t="s">
        <v>10</v>
      </c>
      <c r="AV9" s="77" t="s">
        <v>36</v>
      </c>
      <c r="AW9" s="77" t="s">
        <v>37</v>
      </c>
      <c r="AX9" s="77" t="s">
        <v>38</v>
      </c>
      <c r="AY9" s="77" t="s">
        <v>39</v>
      </c>
      <c r="AZ9" s="97" t="s">
        <v>40</v>
      </c>
      <c r="BA9" s="99" t="s">
        <v>41</v>
      </c>
    </row>
    <row r="10" spans="1:53" ht="30" customHeight="1" thickBot="1" x14ac:dyDescent="0.3">
      <c r="A10" s="88"/>
      <c r="B10" s="89"/>
      <c r="C10" s="90"/>
      <c r="D10" s="92"/>
      <c r="E10" s="33" t="s">
        <v>30</v>
      </c>
      <c r="F10" s="33" t="s">
        <v>29</v>
      </c>
      <c r="G10" s="33" t="s">
        <v>31</v>
      </c>
      <c r="H10" s="33" t="s">
        <v>26</v>
      </c>
      <c r="I10" s="33" t="s">
        <v>25</v>
      </c>
      <c r="J10" s="33" t="s">
        <v>27</v>
      </c>
      <c r="K10" s="33" t="s">
        <v>42</v>
      </c>
      <c r="L10" s="33" t="s">
        <v>43</v>
      </c>
      <c r="M10" s="33" t="s">
        <v>44</v>
      </c>
      <c r="N10" s="33" t="s">
        <v>45</v>
      </c>
      <c r="O10" s="33" t="s">
        <v>46</v>
      </c>
      <c r="P10" s="33" t="s">
        <v>47</v>
      </c>
      <c r="Q10" s="33" t="s">
        <v>48</v>
      </c>
      <c r="R10" s="33" t="s">
        <v>49</v>
      </c>
      <c r="S10" s="33" t="s">
        <v>50</v>
      </c>
      <c r="T10" s="33" t="s">
        <v>51</v>
      </c>
      <c r="U10" s="33" t="s">
        <v>52</v>
      </c>
      <c r="V10" s="33" t="s">
        <v>53</v>
      </c>
      <c r="W10" s="33" t="s">
        <v>54</v>
      </c>
      <c r="X10" s="33" t="s">
        <v>55</v>
      </c>
      <c r="Y10" s="33" t="s">
        <v>56</v>
      </c>
      <c r="Z10" s="33" t="s">
        <v>57</v>
      </c>
      <c r="AA10" s="33" t="s">
        <v>58</v>
      </c>
      <c r="AB10" s="33" t="s">
        <v>59</v>
      </c>
      <c r="AC10" s="33" t="s">
        <v>60</v>
      </c>
      <c r="AD10" s="33" t="s">
        <v>61</v>
      </c>
      <c r="AE10" s="33" t="s">
        <v>62</v>
      </c>
      <c r="AF10" s="33" t="s">
        <v>63</v>
      </c>
      <c r="AG10" s="33" t="s">
        <v>64</v>
      </c>
      <c r="AH10" s="33" t="s">
        <v>65</v>
      </c>
      <c r="AI10" s="33" t="s">
        <v>66</v>
      </c>
      <c r="AJ10" s="33" t="s">
        <v>67</v>
      </c>
      <c r="AK10" s="33" t="s">
        <v>68</v>
      </c>
      <c r="AL10" s="33" t="s">
        <v>69</v>
      </c>
      <c r="AM10" s="33" t="s">
        <v>70</v>
      </c>
      <c r="AN10" s="33" t="s">
        <v>71</v>
      </c>
      <c r="AO10" s="33" t="s">
        <v>72</v>
      </c>
      <c r="AP10" s="33" t="s">
        <v>73</v>
      </c>
      <c r="AQ10" s="33" t="s">
        <v>74</v>
      </c>
      <c r="AR10" s="96"/>
      <c r="AS10" s="96"/>
      <c r="AT10" s="115"/>
      <c r="AV10" s="78"/>
      <c r="AW10" s="78"/>
      <c r="AX10" s="78"/>
      <c r="AY10" s="78"/>
      <c r="AZ10" s="98"/>
      <c r="BA10" s="100"/>
    </row>
    <row r="11" spans="1:53" ht="18.75" customHeight="1" x14ac:dyDescent="0.25">
      <c r="A11" s="61">
        <v>1</v>
      </c>
      <c r="B11" s="61" t="s">
        <v>75</v>
      </c>
      <c r="C11" s="61">
        <f>A11-1+AS11</f>
        <v>11</v>
      </c>
      <c r="D11" s="52">
        <v>5564</v>
      </c>
      <c r="E11" s="48">
        <v>20</v>
      </c>
      <c r="F11" s="49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50">
        <f t="shared" ref="AR11" si="0">SUM(E11:AQ11)</f>
        <v>20</v>
      </c>
      <c r="AS11" s="62">
        <v>11</v>
      </c>
      <c r="AT11" s="51">
        <f t="shared" ref="AT11" si="1">AS11*AR11</f>
        <v>220</v>
      </c>
      <c r="AV11" s="47">
        <f t="shared" ref="AV11" si="2">AW11+1</f>
        <v>13.2</v>
      </c>
      <c r="AW11" s="47">
        <f>AZ11*AR11</f>
        <v>12.2</v>
      </c>
      <c r="AX11" s="47">
        <f>AV11*AS11</f>
        <v>145.19999999999999</v>
      </c>
      <c r="AY11" s="47">
        <f t="shared" ref="AY11" si="3">AW11*AS11</f>
        <v>134.19999999999999</v>
      </c>
      <c r="AZ11" s="46">
        <v>0.61</v>
      </c>
      <c r="BA11" s="47">
        <v>1</v>
      </c>
    </row>
    <row r="12" spans="1:53" ht="18.75" customHeight="1" x14ac:dyDescent="0.25">
      <c r="A12" s="61">
        <f>C11+1</f>
        <v>12</v>
      </c>
      <c r="B12" s="61" t="s">
        <v>75</v>
      </c>
      <c r="C12" s="61">
        <f>A12-1+AS12</f>
        <v>12</v>
      </c>
      <c r="D12" s="52">
        <v>5564</v>
      </c>
      <c r="E12" s="48">
        <v>19</v>
      </c>
      <c r="F12" s="49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50">
        <f t="shared" ref="AR12:AR14" si="4">SUM(E12:AQ12)</f>
        <v>19</v>
      </c>
      <c r="AS12" s="62">
        <v>1</v>
      </c>
      <c r="AT12" s="51">
        <f t="shared" ref="AT12:AT16" si="5">AS12*AR12</f>
        <v>19</v>
      </c>
      <c r="AV12" s="47">
        <f t="shared" ref="AV12:AV16" si="6">AW12+1</f>
        <v>12.59</v>
      </c>
      <c r="AW12" s="47">
        <f>AZ12*AR12</f>
        <v>11.59</v>
      </c>
      <c r="AX12" s="47">
        <f>AV12*AS12</f>
        <v>12.59</v>
      </c>
      <c r="AY12" s="47">
        <f t="shared" ref="AY12:AY16" si="7">AW12*AS12</f>
        <v>11.59</v>
      </c>
      <c r="AZ12" s="46">
        <v>0.61</v>
      </c>
      <c r="BA12" s="47">
        <v>1</v>
      </c>
    </row>
    <row r="13" spans="1:53" ht="18.75" customHeight="1" x14ac:dyDescent="0.25">
      <c r="A13" s="61">
        <f>C12+1</f>
        <v>13</v>
      </c>
      <c r="B13" s="61" t="s">
        <v>75</v>
      </c>
      <c r="C13" s="61">
        <f>A13-1+AS13</f>
        <v>22</v>
      </c>
      <c r="D13" s="52">
        <v>5564</v>
      </c>
      <c r="E13" s="48"/>
      <c r="F13" s="49">
        <v>20</v>
      </c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50">
        <f t="shared" ref="AR13" si="8">SUM(E13:AQ13)</f>
        <v>20</v>
      </c>
      <c r="AS13" s="62">
        <v>10</v>
      </c>
      <c r="AT13" s="51">
        <f t="shared" ref="AT13" si="9">AS13*AR13</f>
        <v>200</v>
      </c>
      <c r="AV13" s="43">
        <f t="shared" ref="AV13" si="10">AW13+1</f>
        <v>13</v>
      </c>
      <c r="AW13" s="43">
        <f t="shared" ref="AW13" si="11">AZ13*AR13</f>
        <v>12</v>
      </c>
      <c r="AX13" s="43">
        <f t="shared" ref="AX13" si="12">AV13*AS13</f>
        <v>130</v>
      </c>
      <c r="AY13" s="43">
        <f t="shared" ref="AY13" si="13">AW13*AS13</f>
        <v>120</v>
      </c>
      <c r="AZ13" s="46">
        <v>0.6</v>
      </c>
      <c r="BA13" s="43">
        <v>1</v>
      </c>
    </row>
    <row r="14" spans="1:53" ht="18.75" customHeight="1" x14ac:dyDescent="0.25">
      <c r="A14" s="61">
        <f t="shared" ref="A14:A64" si="14">C13+1</f>
        <v>23</v>
      </c>
      <c r="B14" s="61" t="s">
        <v>75</v>
      </c>
      <c r="C14" s="61">
        <f t="shared" ref="C14:C64" si="15">A14-1+AS14</f>
        <v>23</v>
      </c>
      <c r="D14" s="52">
        <v>5564</v>
      </c>
      <c r="E14" s="48"/>
      <c r="F14" s="49">
        <v>22</v>
      </c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50">
        <f t="shared" si="4"/>
        <v>22</v>
      </c>
      <c r="AS14" s="62">
        <v>1</v>
      </c>
      <c r="AT14" s="51">
        <f t="shared" si="5"/>
        <v>22</v>
      </c>
      <c r="AV14" s="43">
        <f t="shared" si="6"/>
        <v>14.2</v>
      </c>
      <c r="AW14" s="43">
        <f t="shared" ref="AW14:AW16" si="16">AZ14*AR14</f>
        <v>13.2</v>
      </c>
      <c r="AX14" s="43">
        <f t="shared" ref="AX14:AX16" si="17">AV14*AS14</f>
        <v>14.2</v>
      </c>
      <c r="AY14" s="43">
        <f t="shared" si="7"/>
        <v>13.2</v>
      </c>
      <c r="AZ14" s="46">
        <v>0.6</v>
      </c>
      <c r="BA14" s="43">
        <v>1</v>
      </c>
    </row>
    <row r="15" spans="1:53" ht="18.75" customHeight="1" x14ac:dyDescent="0.25">
      <c r="A15" s="61">
        <f t="shared" si="14"/>
        <v>24</v>
      </c>
      <c r="B15" s="61" t="s">
        <v>75</v>
      </c>
      <c r="C15" s="61">
        <f t="shared" si="15"/>
        <v>24</v>
      </c>
      <c r="D15" s="52">
        <v>5564</v>
      </c>
      <c r="E15" s="73"/>
      <c r="F15" s="69"/>
      <c r="G15" s="68">
        <v>5</v>
      </c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70">
        <f t="shared" ref="AR15:AR16" si="18">SUM(E15:AQ15)</f>
        <v>5</v>
      </c>
      <c r="AS15" s="71">
        <v>1</v>
      </c>
      <c r="AT15" s="72">
        <f t="shared" si="5"/>
        <v>5</v>
      </c>
      <c r="AV15" s="43">
        <f t="shared" si="6"/>
        <v>4.05</v>
      </c>
      <c r="AW15" s="43">
        <f t="shared" si="16"/>
        <v>3.05</v>
      </c>
      <c r="AX15" s="43">
        <f t="shared" si="17"/>
        <v>4.05</v>
      </c>
      <c r="AY15" s="43">
        <f t="shared" si="7"/>
        <v>3.05</v>
      </c>
      <c r="AZ15" s="46">
        <v>0.61</v>
      </c>
      <c r="BA15" s="43">
        <v>1</v>
      </c>
    </row>
    <row r="16" spans="1:53" ht="18.75" customHeight="1" x14ac:dyDescent="0.25">
      <c r="A16" s="61">
        <f t="shared" si="14"/>
        <v>25</v>
      </c>
      <c r="B16" s="61" t="s">
        <v>75</v>
      </c>
      <c r="C16" s="61">
        <f t="shared" si="15"/>
        <v>35</v>
      </c>
      <c r="D16" s="52">
        <v>5564</v>
      </c>
      <c r="E16" s="53"/>
      <c r="F16" s="49"/>
      <c r="G16" s="48"/>
      <c r="H16" s="48">
        <v>20</v>
      </c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50">
        <f t="shared" si="18"/>
        <v>20</v>
      </c>
      <c r="AS16" s="62">
        <v>11</v>
      </c>
      <c r="AT16" s="51">
        <f t="shared" si="5"/>
        <v>220</v>
      </c>
      <c r="AV16" s="43">
        <f t="shared" si="6"/>
        <v>13.2</v>
      </c>
      <c r="AW16" s="43">
        <f t="shared" si="16"/>
        <v>12.2</v>
      </c>
      <c r="AX16" s="43">
        <f t="shared" si="17"/>
        <v>145.19999999999999</v>
      </c>
      <c r="AY16" s="43">
        <f t="shared" si="7"/>
        <v>134.19999999999999</v>
      </c>
      <c r="AZ16" s="46">
        <v>0.61</v>
      </c>
      <c r="BA16" s="43">
        <v>1</v>
      </c>
    </row>
    <row r="17" spans="1:53" ht="18.75" customHeight="1" x14ac:dyDescent="0.25">
      <c r="A17" s="61">
        <f t="shared" si="14"/>
        <v>36</v>
      </c>
      <c r="B17" s="61" t="s">
        <v>75</v>
      </c>
      <c r="C17" s="61">
        <f t="shared" si="15"/>
        <v>36</v>
      </c>
      <c r="D17" s="52">
        <v>5564</v>
      </c>
      <c r="E17" s="53"/>
      <c r="F17" s="49"/>
      <c r="G17" s="48"/>
      <c r="H17" s="48">
        <v>13</v>
      </c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50">
        <f t="shared" ref="AR17" si="19">SUM(E17:AQ17)</f>
        <v>13</v>
      </c>
      <c r="AS17" s="62">
        <v>1</v>
      </c>
      <c r="AT17" s="51">
        <f t="shared" ref="AT17" si="20">AS17*AR17</f>
        <v>13</v>
      </c>
      <c r="AV17" s="43">
        <f t="shared" ref="AV17" si="21">AW17+1</f>
        <v>8.93</v>
      </c>
      <c r="AW17" s="43">
        <f t="shared" ref="AW17" si="22">AZ17*AR17</f>
        <v>7.93</v>
      </c>
      <c r="AX17" s="43">
        <f t="shared" ref="AX17" si="23">AV17*AS17</f>
        <v>8.93</v>
      </c>
      <c r="AY17" s="43">
        <f t="shared" ref="AY17" si="24">AW17*AS17</f>
        <v>7.93</v>
      </c>
      <c r="AZ17" s="46">
        <v>0.61</v>
      </c>
      <c r="BA17" s="43">
        <v>1</v>
      </c>
    </row>
    <row r="18" spans="1:53" ht="18.75" customHeight="1" x14ac:dyDescent="0.25">
      <c r="A18" s="61">
        <f t="shared" si="14"/>
        <v>37</v>
      </c>
      <c r="B18" s="61" t="s">
        <v>75</v>
      </c>
      <c r="C18" s="61">
        <f t="shared" si="15"/>
        <v>48</v>
      </c>
      <c r="D18" s="52">
        <v>5564</v>
      </c>
      <c r="E18" s="53"/>
      <c r="F18" s="49"/>
      <c r="G18" s="48"/>
      <c r="H18" s="49"/>
      <c r="I18" s="48">
        <v>20</v>
      </c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50">
        <f t="shared" ref="AR18" si="25">SUM(E18:AQ18)</f>
        <v>20</v>
      </c>
      <c r="AS18" s="62">
        <v>12</v>
      </c>
      <c r="AT18" s="51">
        <f t="shared" ref="AT18" si="26">AS18*AR18</f>
        <v>240</v>
      </c>
      <c r="AV18" s="43">
        <f t="shared" ref="AV18" si="27">AW18+1</f>
        <v>13.6</v>
      </c>
      <c r="AW18" s="43">
        <f t="shared" ref="AW18" si="28">AZ18*AR18</f>
        <v>12.6</v>
      </c>
      <c r="AX18" s="43">
        <f t="shared" ref="AX18" si="29">AV18*AS18</f>
        <v>163.19999999999999</v>
      </c>
      <c r="AY18" s="43">
        <f t="shared" ref="AY18" si="30">AW18*AS18</f>
        <v>151.19999999999999</v>
      </c>
      <c r="AZ18" s="46">
        <v>0.63</v>
      </c>
      <c r="BA18" s="43">
        <v>1</v>
      </c>
    </row>
    <row r="19" spans="1:53" ht="18.75" customHeight="1" x14ac:dyDescent="0.25">
      <c r="A19" s="61">
        <f t="shared" si="14"/>
        <v>49</v>
      </c>
      <c r="B19" s="61" t="s">
        <v>75</v>
      </c>
      <c r="C19" s="61">
        <f t="shared" si="15"/>
        <v>49</v>
      </c>
      <c r="D19" s="52">
        <v>5564</v>
      </c>
      <c r="E19" s="73"/>
      <c r="F19" s="69"/>
      <c r="G19" s="68"/>
      <c r="H19" s="69"/>
      <c r="I19" s="68">
        <v>7</v>
      </c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70">
        <f t="shared" ref="AR19:AR21" si="31">SUM(E19:AQ19)</f>
        <v>7</v>
      </c>
      <c r="AS19" s="71">
        <v>1</v>
      </c>
      <c r="AT19" s="72">
        <f t="shared" ref="AT19:AT21" si="32">AS19*AR19</f>
        <v>7</v>
      </c>
      <c r="AV19" s="43">
        <f t="shared" ref="AV19:AV21" si="33">AW19+1</f>
        <v>5.41</v>
      </c>
      <c r="AW19" s="43">
        <f t="shared" ref="AW19:AW21" si="34">AZ19*AR19</f>
        <v>4.41</v>
      </c>
      <c r="AX19" s="43">
        <f t="shared" ref="AX19:AX21" si="35">AV19*AS19</f>
        <v>5.41</v>
      </c>
      <c r="AY19" s="43">
        <f t="shared" ref="AY19:AY21" si="36">AW19*AS19</f>
        <v>4.41</v>
      </c>
      <c r="AZ19" s="46">
        <v>0.63</v>
      </c>
      <c r="BA19" s="43">
        <v>1</v>
      </c>
    </row>
    <row r="20" spans="1:53" ht="18.75" customHeight="1" x14ac:dyDescent="0.25">
      <c r="A20" s="61">
        <f t="shared" si="14"/>
        <v>50</v>
      </c>
      <c r="B20" s="61" t="s">
        <v>75</v>
      </c>
      <c r="C20" s="61">
        <f t="shared" si="15"/>
        <v>50</v>
      </c>
      <c r="D20" s="52">
        <v>5564</v>
      </c>
      <c r="E20" s="73"/>
      <c r="F20" s="69"/>
      <c r="G20" s="68"/>
      <c r="H20" s="69"/>
      <c r="I20" s="68"/>
      <c r="J20" s="68">
        <v>6</v>
      </c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70">
        <f t="shared" si="31"/>
        <v>6</v>
      </c>
      <c r="AS20" s="71">
        <v>1</v>
      </c>
      <c r="AT20" s="72">
        <f t="shared" si="32"/>
        <v>6</v>
      </c>
      <c r="AV20" s="43">
        <f t="shared" si="33"/>
        <v>4.66</v>
      </c>
      <c r="AW20" s="43">
        <f t="shared" si="34"/>
        <v>3.66</v>
      </c>
      <c r="AX20" s="43">
        <f t="shared" si="35"/>
        <v>4.66</v>
      </c>
      <c r="AY20" s="43">
        <f t="shared" si="36"/>
        <v>3.66</v>
      </c>
      <c r="AZ20" s="46">
        <v>0.61</v>
      </c>
      <c r="BA20" s="43">
        <v>1</v>
      </c>
    </row>
    <row r="21" spans="1:53" ht="18.75" customHeight="1" x14ac:dyDescent="0.25">
      <c r="A21" s="61">
        <f t="shared" si="14"/>
        <v>51</v>
      </c>
      <c r="B21" s="61" t="s">
        <v>75</v>
      </c>
      <c r="C21" s="61">
        <f t="shared" si="15"/>
        <v>61</v>
      </c>
      <c r="D21" s="52">
        <v>5564</v>
      </c>
      <c r="E21" s="53"/>
      <c r="F21" s="49"/>
      <c r="G21" s="48"/>
      <c r="H21" s="49"/>
      <c r="I21" s="48"/>
      <c r="J21" s="48"/>
      <c r="K21" s="48">
        <v>20</v>
      </c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50">
        <f t="shared" si="31"/>
        <v>20</v>
      </c>
      <c r="AS21" s="62">
        <v>11</v>
      </c>
      <c r="AT21" s="51">
        <f t="shared" si="32"/>
        <v>220</v>
      </c>
      <c r="AV21" s="43">
        <f t="shared" si="33"/>
        <v>13.2</v>
      </c>
      <c r="AW21" s="43">
        <f t="shared" si="34"/>
        <v>12.2</v>
      </c>
      <c r="AX21" s="43">
        <f t="shared" si="35"/>
        <v>145.19999999999999</v>
      </c>
      <c r="AY21" s="43">
        <f t="shared" si="36"/>
        <v>134.19999999999999</v>
      </c>
      <c r="AZ21" s="46">
        <v>0.61</v>
      </c>
      <c r="BA21" s="43">
        <v>1</v>
      </c>
    </row>
    <row r="22" spans="1:53" ht="18.75" customHeight="1" x14ac:dyDescent="0.25">
      <c r="A22" s="61">
        <f t="shared" si="14"/>
        <v>62</v>
      </c>
      <c r="B22" s="61" t="s">
        <v>75</v>
      </c>
      <c r="C22" s="61">
        <f t="shared" si="15"/>
        <v>62</v>
      </c>
      <c r="D22" s="52">
        <v>5564</v>
      </c>
      <c r="E22" s="53"/>
      <c r="F22" s="49"/>
      <c r="G22" s="48"/>
      <c r="H22" s="49"/>
      <c r="I22" s="48"/>
      <c r="J22" s="48"/>
      <c r="K22" s="48">
        <v>17</v>
      </c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50">
        <f t="shared" ref="AR22:AR26" si="37">SUM(E22:AQ22)</f>
        <v>17</v>
      </c>
      <c r="AS22" s="62">
        <v>1</v>
      </c>
      <c r="AT22" s="51">
        <f t="shared" ref="AT22:AT26" si="38">AS22*AR22</f>
        <v>17</v>
      </c>
      <c r="AV22" s="43">
        <f t="shared" ref="AV22:AV26" si="39">AW22+1</f>
        <v>11.37</v>
      </c>
      <c r="AW22" s="43">
        <f t="shared" ref="AW22:AW26" si="40">AZ22*AR22</f>
        <v>10.37</v>
      </c>
      <c r="AX22" s="43">
        <f t="shared" ref="AX22:AX26" si="41">AV22*AS22</f>
        <v>11.37</v>
      </c>
      <c r="AY22" s="43">
        <f t="shared" ref="AY22:AY26" si="42">AW22*AS22</f>
        <v>10.37</v>
      </c>
      <c r="AZ22" s="46">
        <v>0.61</v>
      </c>
      <c r="BA22" s="43">
        <v>1</v>
      </c>
    </row>
    <row r="23" spans="1:53" ht="18.75" customHeight="1" x14ac:dyDescent="0.25">
      <c r="A23" s="61">
        <f t="shared" si="14"/>
        <v>63</v>
      </c>
      <c r="B23" s="61" t="s">
        <v>75</v>
      </c>
      <c r="C23" s="61">
        <f t="shared" si="15"/>
        <v>74</v>
      </c>
      <c r="D23" s="52">
        <v>5564</v>
      </c>
      <c r="E23" s="53"/>
      <c r="F23" s="49"/>
      <c r="G23" s="48"/>
      <c r="H23" s="49"/>
      <c r="I23" s="48"/>
      <c r="J23" s="48"/>
      <c r="K23" s="48"/>
      <c r="L23" s="48">
        <v>20</v>
      </c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50">
        <f t="shared" si="37"/>
        <v>20</v>
      </c>
      <c r="AS23" s="62">
        <v>12</v>
      </c>
      <c r="AT23" s="51">
        <f t="shared" si="38"/>
        <v>240</v>
      </c>
      <c r="AV23" s="43">
        <f t="shared" si="39"/>
        <v>14.200000000000001</v>
      </c>
      <c r="AW23" s="43">
        <f t="shared" si="40"/>
        <v>13.200000000000001</v>
      </c>
      <c r="AX23" s="43">
        <f t="shared" si="41"/>
        <v>170.4</v>
      </c>
      <c r="AY23" s="43">
        <f t="shared" si="42"/>
        <v>158.4</v>
      </c>
      <c r="AZ23" s="46">
        <v>0.66</v>
      </c>
      <c r="BA23" s="43">
        <v>1</v>
      </c>
    </row>
    <row r="24" spans="1:53" ht="18.75" customHeight="1" x14ac:dyDescent="0.25">
      <c r="A24" s="61">
        <f t="shared" si="14"/>
        <v>75</v>
      </c>
      <c r="B24" s="61" t="s">
        <v>75</v>
      </c>
      <c r="C24" s="61">
        <f t="shared" si="15"/>
        <v>75</v>
      </c>
      <c r="D24" s="52">
        <v>5564</v>
      </c>
      <c r="E24" s="53"/>
      <c r="F24" s="49"/>
      <c r="G24" s="48"/>
      <c r="H24" s="49"/>
      <c r="I24" s="48"/>
      <c r="J24" s="48"/>
      <c r="K24" s="48"/>
      <c r="L24" s="48">
        <v>16</v>
      </c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50">
        <f t="shared" ref="AR24" si="43">SUM(E24:AQ24)</f>
        <v>16</v>
      </c>
      <c r="AS24" s="62">
        <v>1</v>
      </c>
      <c r="AT24" s="51">
        <f t="shared" ref="AT24" si="44">AS24*AR24</f>
        <v>16</v>
      </c>
      <c r="AV24" s="43">
        <f t="shared" ref="AV24" si="45">AW24+1</f>
        <v>11.56</v>
      </c>
      <c r="AW24" s="43">
        <f t="shared" ref="AW24" si="46">AZ24*AR24</f>
        <v>10.56</v>
      </c>
      <c r="AX24" s="43">
        <f t="shared" ref="AX24" si="47">AV24*AS24</f>
        <v>11.56</v>
      </c>
      <c r="AY24" s="43">
        <f t="shared" ref="AY24" si="48">AW24*AS24</f>
        <v>10.56</v>
      </c>
      <c r="AZ24" s="46">
        <v>0.66</v>
      </c>
      <c r="BA24" s="43">
        <v>1</v>
      </c>
    </row>
    <row r="25" spans="1:53" ht="18.75" customHeight="1" x14ac:dyDescent="0.25">
      <c r="A25" s="61">
        <f t="shared" si="14"/>
        <v>76</v>
      </c>
      <c r="B25" s="61" t="s">
        <v>75</v>
      </c>
      <c r="C25" s="61">
        <f t="shared" si="15"/>
        <v>76</v>
      </c>
      <c r="D25" s="52">
        <v>5564</v>
      </c>
      <c r="E25" s="73"/>
      <c r="F25" s="69"/>
      <c r="G25" s="68"/>
      <c r="H25" s="69"/>
      <c r="I25" s="68"/>
      <c r="J25" s="68"/>
      <c r="K25" s="68"/>
      <c r="L25" s="68"/>
      <c r="M25" s="68">
        <v>9</v>
      </c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70">
        <f t="shared" ref="AR25" si="49">SUM(E25:AQ25)</f>
        <v>9</v>
      </c>
      <c r="AS25" s="71">
        <v>1</v>
      </c>
      <c r="AT25" s="72">
        <f t="shared" ref="AT25" si="50">AS25*AR25</f>
        <v>9</v>
      </c>
      <c r="AV25" s="43">
        <f t="shared" ref="AV25" si="51">AW25+1</f>
        <v>6.94</v>
      </c>
      <c r="AW25" s="43">
        <f t="shared" ref="AW25" si="52">AZ25*AR25</f>
        <v>5.94</v>
      </c>
      <c r="AX25" s="43">
        <f t="shared" ref="AX25" si="53">AV25*AS25</f>
        <v>6.94</v>
      </c>
      <c r="AY25" s="43">
        <f t="shared" ref="AY25" si="54">AW25*AS25</f>
        <v>5.94</v>
      </c>
      <c r="AZ25" s="46">
        <v>0.66</v>
      </c>
      <c r="BA25" s="43">
        <v>1</v>
      </c>
    </row>
    <row r="26" spans="1:53" ht="18.75" customHeight="1" x14ac:dyDescent="0.25">
      <c r="A26" s="61">
        <f t="shared" si="14"/>
        <v>77</v>
      </c>
      <c r="B26" s="61" t="s">
        <v>75</v>
      </c>
      <c r="C26" s="61">
        <f t="shared" si="15"/>
        <v>77</v>
      </c>
      <c r="D26" s="52">
        <v>5564</v>
      </c>
      <c r="E26" s="53"/>
      <c r="F26" s="49"/>
      <c r="G26" s="48"/>
      <c r="H26" s="49"/>
      <c r="I26" s="48"/>
      <c r="J26" s="48"/>
      <c r="K26" s="48"/>
      <c r="L26" s="48"/>
      <c r="M26" s="48"/>
      <c r="N26" s="48">
        <v>12</v>
      </c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50">
        <f t="shared" si="37"/>
        <v>12</v>
      </c>
      <c r="AS26" s="62">
        <v>1</v>
      </c>
      <c r="AT26" s="51">
        <f t="shared" si="38"/>
        <v>12</v>
      </c>
      <c r="AV26" s="43">
        <f t="shared" si="39"/>
        <v>8.92</v>
      </c>
      <c r="AW26" s="43">
        <f t="shared" si="40"/>
        <v>7.92</v>
      </c>
      <c r="AX26" s="43">
        <f t="shared" si="41"/>
        <v>8.92</v>
      </c>
      <c r="AY26" s="43">
        <f t="shared" si="42"/>
        <v>7.92</v>
      </c>
      <c r="AZ26" s="46">
        <v>0.66</v>
      </c>
      <c r="BA26" s="43">
        <v>1</v>
      </c>
    </row>
    <row r="27" spans="1:53" ht="18.75" customHeight="1" x14ac:dyDescent="0.25">
      <c r="A27" s="61">
        <f t="shared" si="14"/>
        <v>78</v>
      </c>
      <c r="B27" s="61" t="s">
        <v>75</v>
      </c>
      <c r="C27" s="61">
        <f t="shared" si="15"/>
        <v>90</v>
      </c>
      <c r="D27" s="52">
        <v>5564</v>
      </c>
      <c r="E27" s="53"/>
      <c r="F27" s="49"/>
      <c r="G27" s="48"/>
      <c r="H27" s="48"/>
      <c r="I27" s="48"/>
      <c r="J27" s="48"/>
      <c r="K27" s="48"/>
      <c r="L27" s="54"/>
      <c r="M27" s="49"/>
      <c r="N27" s="49"/>
      <c r="O27" s="49">
        <v>20</v>
      </c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50">
        <f t="shared" ref="AR27" si="55">SUM(E27:AQ27)</f>
        <v>20</v>
      </c>
      <c r="AS27" s="62">
        <v>13</v>
      </c>
      <c r="AT27" s="51">
        <f t="shared" ref="AT27" si="56">AS27*AR27</f>
        <v>260</v>
      </c>
      <c r="AV27" s="43">
        <f t="shared" ref="AV27:AV31" si="57">AW27+1</f>
        <v>14.4</v>
      </c>
      <c r="AW27" s="43">
        <f t="shared" ref="AW27:AW31" si="58">AZ27*AR27</f>
        <v>13.4</v>
      </c>
      <c r="AX27" s="43">
        <f t="shared" ref="AX27:AX31" si="59">AV27*AS27</f>
        <v>187.20000000000002</v>
      </c>
      <c r="AY27" s="43">
        <f t="shared" ref="AY27:AY31" si="60">AW27*AS27</f>
        <v>174.20000000000002</v>
      </c>
      <c r="AZ27" s="46">
        <v>0.67</v>
      </c>
      <c r="BA27" s="43">
        <v>1</v>
      </c>
    </row>
    <row r="28" spans="1:53" ht="18.75" customHeight="1" x14ac:dyDescent="0.25">
      <c r="A28" s="61">
        <f t="shared" si="14"/>
        <v>91</v>
      </c>
      <c r="B28" s="61" t="s">
        <v>75</v>
      </c>
      <c r="C28" s="61">
        <f t="shared" si="15"/>
        <v>91</v>
      </c>
      <c r="D28" s="52">
        <v>5564</v>
      </c>
      <c r="E28" s="73"/>
      <c r="F28" s="69"/>
      <c r="G28" s="68"/>
      <c r="H28" s="68"/>
      <c r="I28" s="68"/>
      <c r="J28" s="68"/>
      <c r="K28" s="68"/>
      <c r="L28" s="74"/>
      <c r="M28" s="69"/>
      <c r="N28" s="69"/>
      <c r="O28" s="69">
        <v>8</v>
      </c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70">
        <f t="shared" ref="AR28:AR30" si="61">SUM(E28:AQ28)</f>
        <v>8</v>
      </c>
      <c r="AS28" s="71">
        <v>1</v>
      </c>
      <c r="AT28" s="72">
        <f t="shared" ref="AT28:AT30" si="62">AS28*AR28</f>
        <v>8</v>
      </c>
      <c r="AV28" s="43">
        <f t="shared" ref="AV28:AV30" si="63">AW28+1</f>
        <v>6.36</v>
      </c>
      <c r="AW28" s="43">
        <f t="shared" ref="AW28:AW30" si="64">AZ28*AR28</f>
        <v>5.36</v>
      </c>
      <c r="AX28" s="43">
        <f t="shared" ref="AX28:AX30" si="65">AV28*AS28</f>
        <v>6.36</v>
      </c>
      <c r="AY28" s="43">
        <f t="shared" ref="AY28:AY30" si="66">AW28*AS28</f>
        <v>5.36</v>
      </c>
      <c r="AZ28" s="46">
        <v>0.67</v>
      </c>
      <c r="BA28" s="43">
        <v>1</v>
      </c>
    </row>
    <row r="29" spans="1:53" ht="18.75" customHeight="1" x14ac:dyDescent="0.25">
      <c r="A29" s="61">
        <f t="shared" si="14"/>
        <v>92</v>
      </c>
      <c r="B29" s="61" t="s">
        <v>75</v>
      </c>
      <c r="C29" s="61">
        <f t="shared" si="15"/>
        <v>92</v>
      </c>
      <c r="D29" s="52">
        <v>5564</v>
      </c>
      <c r="E29" s="116"/>
      <c r="F29" s="117"/>
      <c r="G29" s="118"/>
      <c r="H29" s="118"/>
      <c r="I29" s="118"/>
      <c r="J29" s="118"/>
      <c r="K29" s="118"/>
      <c r="L29" s="119"/>
      <c r="M29" s="117"/>
      <c r="N29" s="117"/>
      <c r="O29" s="117"/>
      <c r="P29" s="117">
        <v>9</v>
      </c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117"/>
      <c r="AR29" s="75">
        <f t="shared" ref="AR29" si="67">SUM(E29:AQ29)</f>
        <v>9</v>
      </c>
      <c r="AS29" s="71">
        <v>1</v>
      </c>
      <c r="AT29" s="76">
        <f t="shared" ref="AT29" si="68">AS29*AR29</f>
        <v>9</v>
      </c>
      <c r="AV29" s="43">
        <f t="shared" ref="AV29" si="69">AW29+1</f>
        <v>7.03</v>
      </c>
      <c r="AW29" s="43">
        <f t="shared" ref="AW29" si="70">AZ29*AR29</f>
        <v>6.03</v>
      </c>
      <c r="AX29" s="43">
        <f t="shared" ref="AX29" si="71">AV29*AS29</f>
        <v>7.03</v>
      </c>
      <c r="AY29" s="43">
        <f t="shared" ref="AY29" si="72">AW29*AS29</f>
        <v>6.03</v>
      </c>
      <c r="AZ29" s="46">
        <v>0.67</v>
      </c>
      <c r="BA29" s="43">
        <v>1</v>
      </c>
    </row>
    <row r="30" spans="1:53" ht="18.75" customHeight="1" x14ac:dyDescent="0.25">
      <c r="A30" s="61">
        <f t="shared" si="14"/>
        <v>93</v>
      </c>
      <c r="B30" s="61" t="s">
        <v>75</v>
      </c>
      <c r="C30" s="61">
        <f t="shared" si="15"/>
        <v>93</v>
      </c>
      <c r="D30" s="52">
        <v>5564</v>
      </c>
      <c r="E30" s="116"/>
      <c r="F30" s="117"/>
      <c r="G30" s="118"/>
      <c r="H30" s="118"/>
      <c r="I30" s="118"/>
      <c r="J30" s="118"/>
      <c r="K30" s="118"/>
      <c r="L30" s="119"/>
      <c r="M30" s="117"/>
      <c r="N30" s="117"/>
      <c r="O30" s="117"/>
      <c r="P30" s="117"/>
      <c r="Q30" s="117">
        <v>9</v>
      </c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75">
        <f t="shared" si="61"/>
        <v>9</v>
      </c>
      <c r="AS30" s="71">
        <v>1</v>
      </c>
      <c r="AT30" s="76">
        <f t="shared" si="62"/>
        <v>9</v>
      </c>
      <c r="AV30" s="43">
        <f t="shared" si="63"/>
        <v>7.03</v>
      </c>
      <c r="AW30" s="43">
        <f t="shared" si="64"/>
        <v>6.03</v>
      </c>
      <c r="AX30" s="43">
        <f t="shared" si="65"/>
        <v>7.03</v>
      </c>
      <c r="AY30" s="43">
        <f t="shared" si="66"/>
        <v>6.03</v>
      </c>
      <c r="AZ30" s="46">
        <v>0.67</v>
      </c>
      <c r="BA30" s="43">
        <v>1</v>
      </c>
    </row>
    <row r="31" spans="1:53" ht="18.75" customHeight="1" x14ac:dyDescent="0.25">
      <c r="A31" s="61">
        <f t="shared" si="14"/>
        <v>94</v>
      </c>
      <c r="B31" s="61" t="s">
        <v>75</v>
      </c>
      <c r="C31" s="61">
        <f t="shared" si="15"/>
        <v>105</v>
      </c>
      <c r="D31" s="52">
        <v>5564</v>
      </c>
      <c r="E31" s="55"/>
      <c r="F31" s="56"/>
      <c r="G31" s="57"/>
      <c r="H31" s="57"/>
      <c r="I31" s="57"/>
      <c r="J31" s="57"/>
      <c r="K31" s="57"/>
      <c r="L31" s="58"/>
      <c r="M31" s="56"/>
      <c r="N31" s="56"/>
      <c r="O31" s="56"/>
      <c r="P31" s="56"/>
      <c r="Q31" s="56"/>
      <c r="R31" s="56">
        <v>20</v>
      </c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9">
        <f t="shared" ref="AR31" si="73">SUM(E31:AQ31)</f>
        <v>20</v>
      </c>
      <c r="AS31" s="62">
        <v>12</v>
      </c>
      <c r="AT31" s="60">
        <f t="shared" ref="AT31:AT34" si="74">AS31*AR31</f>
        <v>240</v>
      </c>
      <c r="AV31" s="43">
        <f t="shared" si="57"/>
        <v>14.4</v>
      </c>
      <c r="AW31" s="43">
        <f t="shared" si="58"/>
        <v>13.4</v>
      </c>
      <c r="AX31" s="43">
        <f t="shared" si="59"/>
        <v>172.8</v>
      </c>
      <c r="AY31" s="43">
        <f t="shared" si="60"/>
        <v>160.80000000000001</v>
      </c>
      <c r="AZ31" s="46">
        <v>0.67</v>
      </c>
      <c r="BA31" s="43">
        <v>1</v>
      </c>
    </row>
    <row r="32" spans="1:53" ht="18.75" customHeight="1" x14ac:dyDescent="0.25">
      <c r="A32" s="61">
        <f t="shared" si="14"/>
        <v>106</v>
      </c>
      <c r="B32" s="61" t="s">
        <v>75</v>
      </c>
      <c r="C32" s="61">
        <f t="shared" si="15"/>
        <v>106</v>
      </c>
      <c r="D32" s="52">
        <v>5564</v>
      </c>
      <c r="E32" s="55"/>
      <c r="F32" s="56"/>
      <c r="G32" s="57"/>
      <c r="H32" s="57"/>
      <c r="I32" s="57"/>
      <c r="J32" s="57"/>
      <c r="K32" s="57"/>
      <c r="L32" s="58"/>
      <c r="M32" s="56"/>
      <c r="N32" s="56"/>
      <c r="O32" s="56"/>
      <c r="P32" s="56"/>
      <c r="Q32" s="56"/>
      <c r="R32" s="56">
        <v>13</v>
      </c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9">
        <f t="shared" ref="AR32:AR46" si="75">SUM(E32:AQ32)</f>
        <v>13</v>
      </c>
      <c r="AS32" s="62">
        <v>1</v>
      </c>
      <c r="AT32" s="60">
        <f t="shared" si="74"/>
        <v>13</v>
      </c>
      <c r="AV32" s="43">
        <f t="shared" ref="AV32:AV46" si="76">AW32+1</f>
        <v>9.7100000000000009</v>
      </c>
      <c r="AW32" s="43">
        <f t="shared" ref="AW32:AW46" si="77">AZ32*AR32</f>
        <v>8.7100000000000009</v>
      </c>
      <c r="AX32" s="43">
        <f t="shared" ref="AX32:AX46" si="78">AV32*AS32</f>
        <v>9.7100000000000009</v>
      </c>
      <c r="AY32" s="43">
        <f t="shared" ref="AY32:AY46" si="79">AW32*AS32</f>
        <v>8.7100000000000009</v>
      </c>
      <c r="AZ32" s="46">
        <v>0.67</v>
      </c>
      <c r="BA32" s="43">
        <v>1</v>
      </c>
    </row>
    <row r="33" spans="1:53" ht="18.75" customHeight="1" x14ac:dyDescent="0.25">
      <c r="A33" s="61">
        <f t="shared" si="14"/>
        <v>107</v>
      </c>
      <c r="B33" s="61" t="s">
        <v>75</v>
      </c>
      <c r="C33" s="61">
        <f t="shared" si="15"/>
        <v>107</v>
      </c>
      <c r="D33" s="52">
        <v>5564</v>
      </c>
      <c r="E33" s="73"/>
      <c r="F33" s="69"/>
      <c r="G33" s="68"/>
      <c r="H33" s="68"/>
      <c r="I33" s="68"/>
      <c r="J33" s="68"/>
      <c r="K33" s="68"/>
      <c r="L33" s="74"/>
      <c r="M33" s="69"/>
      <c r="N33" s="69"/>
      <c r="O33" s="69"/>
      <c r="P33" s="69"/>
      <c r="Q33" s="69"/>
      <c r="R33" s="69"/>
      <c r="S33" s="69">
        <v>9</v>
      </c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75">
        <f t="shared" si="75"/>
        <v>9</v>
      </c>
      <c r="AS33" s="71">
        <v>1</v>
      </c>
      <c r="AT33" s="76">
        <f t="shared" si="74"/>
        <v>9</v>
      </c>
      <c r="AV33" s="43">
        <f t="shared" si="76"/>
        <v>7.2099999999999991</v>
      </c>
      <c r="AW33" s="43">
        <f t="shared" si="77"/>
        <v>6.2099999999999991</v>
      </c>
      <c r="AX33" s="43">
        <f t="shared" si="78"/>
        <v>7.2099999999999991</v>
      </c>
      <c r="AY33" s="43">
        <f t="shared" si="79"/>
        <v>6.2099999999999991</v>
      </c>
      <c r="AZ33" s="46">
        <v>0.69</v>
      </c>
      <c r="BA33" s="43">
        <v>1</v>
      </c>
    </row>
    <row r="34" spans="1:53" ht="18.75" customHeight="1" x14ac:dyDescent="0.25">
      <c r="A34" s="61">
        <f t="shared" si="14"/>
        <v>108</v>
      </c>
      <c r="B34" s="61" t="s">
        <v>75</v>
      </c>
      <c r="C34" s="61">
        <f t="shared" si="15"/>
        <v>108</v>
      </c>
      <c r="D34" s="52">
        <v>5564</v>
      </c>
      <c r="E34" s="73"/>
      <c r="F34" s="69"/>
      <c r="G34" s="68"/>
      <c r="H34" s="68"/>
      <c r="I34" s="68"/>
      <c r="J34" s="68"/>
      <c r="K34" s="68"/>
      <c r="L34" s="74"/>
      <c r="M34" s="69"/>
      <c r="N34" s="69"/>
      <c r="O34" s="69"/>
      <c r="P34" s="69"/>
      <c r="Q34" s="69"/>
      <c r="R34" s="69"/>
      <c r="S34" s="69"/>
      <c r="T34" s="69">
        <v>8</v>
      </c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75">
        <f t="shared" ref="AR34" si="80">SUM(E34:AQ34)</f>
        <v>8</v>
      </c>
      <c r="AS34" s="71">
        <v>1</v>
      </c>
      <c r="AT34" s="76">
        <f t="shared" si="74"/>
        <v>8</v>
      </c>
      <c r="AV34" s="43">
        <f t="shared" ref="AV34" si="81">AW34+1</f>
        <v>6.52</v>
      </c>
      <c r="AW34" s="43">
        <f t="shared" ref="AW34" si="82">AZ34*AR34</f>
        <v>5.52</v>
      </c>
      <c r="AX34" s="43">
        <f t="shared" ref="AX34" si="83">AV34*AS34</f>
        <v>6.52</v>
      </c>
      <c r="AY34" s="43">
        <f t="shared" ref="AY34" si="84">AW34*AS34</f>
        <v>5.52</v>
      </c>
      <c r="AZ34" s="46">
        <v>0.69</v>
      </c>
      <c r="BA34" s="43">
        <v>1</v>
      </c>
    </row>
    <row r="35" spans="1:53" ht="18.75" customHeight="1" x14ac:dyDescent="0.25">
      <c r="A35" s="61">
        <f t="shared" si="14"/>
        <v>109</v>
      </c>
      <c r="B35" s="61" t="s">
        <v>75</v>
      </c>
      <c r="C35" s="61">
        <f t="shared" si="15"/>
        <v>119</v>
      </c>
      <c r="D35" s="52">
        <v>5564</v>
      </c>
      <c r="E35" s="53"/>
      <c r="F35" s="49"/>
      <c r="G35" s="48"/>
      <c r="H35" s="48"/>
      <c r="I35" s="48"/>
      <c r="J35" s="48"/>
      <c r="K35" s="48"/>
      <c r="L35" s="54"/>
      <c r="M35" s="49"/>
      <c r="N35" s="49"/>
      <c r="O35" s="49"/>
      <c r="P35" s="49"/>
      <c r="Q35" s="49"/>
      <c r="R35" s="49"/>
      <c r="S35" s="49"/>
      <c r="T35" s="49"/>
      <c r="U35" s="49">
        <v>20</v>
      </c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59">
        <f t="shared" ref="AR35" si="85">SUM(E35:AQ35)</f>
        <v>20</v>
      </c>
      <c r="AS35" s="62">
        <v>11</v>
      </c>
      <c r="AT35" s="60">
        <f t="shared" ref="AT35" si="86">AS35*AR35</f>
        <v>220</v>
      </c>
      <c r="AV35" s="43">
        <f t="shared" ref="AV35" si="87">AW35+1</f>
        <v>14.799999999999999</v>
      </c>
      <c r="AW35" s="43">
        <f t="shared" ref="AW35" si="88">AZ35*AR35</f>
        <v>13.799999999999999</v>
      </c>
      <c r="AX35" s="43">
        <f t="shared" ref="AX35" si="89">AV35*AS35</f>
        <v>162.79999999999998</v>
      </c>
      <c r="AY35" s="43">
        <f t="shared" ref="AY35" si="90">AW35*AS35</f>
        <v>151.79999999999998</v>
      </c>
      <c r="AZ35" s="46">
        <v>0.69</v>
      </c>
      <c r="BA35" s="43">
        <v>1</v>
      </c>
    </row>
    <row r="36" spans="1:53" ht="18.75" customHeight="1" x14ac:dyDescent="0.25">
      <c r="A36" s="61">
        <f t="shared" si="14"/>
        <v>120</v>
      </c>
      <c r="B36" s="61" t="s">
        <v>75</v>
      </c>
      <c r="C36" s="61">
        <f t="shared" si="15"/>
        <v>120</v>
      </c>
      <c r="D36" s="52">
        <v>5564</v>
      </c>
      <c r="E36" s="73"/>
      <c r="F36" s="69"/>
      <c r="G36" s="68"/>
      <c r="H36" s="68"/>
      <c r="I36" s="68"/>
      <c r="J36" s="68"/>
      <c r="K36" s="68"/>
      <c r="L36" s="74"/>
      <c r="M36" s="69"/>
      <c r="N36" s="69"/>
      <c r="O36" s="69"/>
      <c r="P36" s="69"/>
      <c r="Q36" s="69"/>
      <c r="R36" s="69"/>
      <c r="S36" s="69"/>
      <c r="T36" s="69"/>
      <c r="U36" s="69">
        <v>8</v>
      </c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75">
        <f t="shared" si="75"/>
        <v>8</v>
      </c>
      <c r="AS36" s="71">
        <v>1</v>
      </c>
      <c r="AT36" s="76">
        <f t="shared" ref="AT36:AT46" si="91">AS36*AR36</f>
        <v>8</v>
      </c>
      <c r="AV36" s="43">
        <f t="shared" si="76"/>
        <v>6.52</v>
      </c>
      <c r="AW36" s="43">
        <f t="shared" si="77"/>
        <v>5.52</v>
      </c>
      <c r="AX36" s="43">
        <f t="shared" si="78"/>
        <v>6.52</v>
      </c>
      <c r="AY36" s="43">
        <f t="shared" si="79"/>
        <v>5.52</v>
      </c>
      <c r="AZ36" s="46">
        <v>0.69</v>
      </c>
      <c r="BA36" s="43">
        <v>1</v>
      </c>
    </row>
    <row r="37" spans="1:53" ht="18.75" customHeight="1" x14ac:dyDescent="0.25">
      <c r="A37" s="61">
        <f t="shared" si="14"/>
        <v>121</v>
      </c>
      <c r="B37" s="61" t="s">
        <v>75</v>
      </c>
      <c r="C37" s="61">
        <f t="shared" si="15"/>
        <v>121</v>
      </c>
      <c r="D37" s="52">
        <v>5564</v>
      </c>
      <c r="E37" s="73"/>
      <c r="F37" s="69"/>
      <c r="G37" s="68"/>
      <c r="H37" s="68"/>
      <c r="I37" s="68"/>
      <c r="J37" s="68"/>
      <c r="K37" s="68"/>
      <c r="L37" s="74"/>
      <c r="M37" s="69"/>
      <c r="N37" s="69"/>
      <c r="O37" s="69"/>
      <c r="P37" s="69"/>
      <c r="Q37" s="69"/>
      <c r="R37" s="69"/>
      <c r="S37" s="69"/>
      <c r="T37" s="69"/>
      <c r="U37" s="69"/>
      <c r="V37" s="69">
        <v>6</v>
      </c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75">
        <f t="shared" ref="AR37" si="92">SUM(E37:AQ37)</f>
        <v>6</v>
      </c>
      <c r="AS37" s="71">
        <v>1</v>
      </c>
      <c r="AT37" s="76">
        <f t="shared" ref="AT37" si="93">AS37*AR37</f>
        <v>6</v>
      </c>
      <c r="AV37" s="43">
        <f t="shared" ref="AV37" si="94">AW37+1</f>
        <v>5.26</v>
      </c>
      <c r="AW37" s="43">
        <f t="shared" ref="AW37" si="95">AZ37*AR37</f>
        <v>4.26</v>
      </c>
      <c r="AX37" s="43">
        <f t="shared" ref="AX37" si="96">AV37*AS37</f>
        <v>5.26</v>
      </c>
      <c r="AY37" s="43">
        <f t="shared" ref="AY37" si="97">AW37*AS37</f>
        <v>4.26</v>
      </c>
      <c r="AZ37" s="46">
        <v>0.71</v>
      </c>
      <c r="BA37" s="43">
        <v>1</v>
      </c>
    </row>
    <row r="38" spans="1:53" ht="18.75" customHeight="1" x14ac:dyDescent="0.25">
      <c r="A38" s="61">
        <f t="shared" si="14"/>
        <v>122</v>
      </c>
      <c r="B38" s="61" t="s">
        <v>75</v>
      </c>
      <c r="C38" s="61">
        <f t="shared" si="15"/>
        <v>122</v>
      </c>
      <c r="D38" s="52">
        <v>5564</v>
      </c>
      <c r="E38" s="73"/>
      <c r="F38" s="69"/>
      <c r="G38" s="68"/>
      <c r="H38" s="68"/>
      <c r="I38" s="68"/>
      <c r="J38" s="68"/>
      <c r="K38" s="68"/>
      <c r="L38" s="74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>
        <v>6</v>
      </c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75">
        <f t="shared" si="75"/>
        <v>6</v>
      </c>
      <c r="AS38" s="71">
        <v>1</v>
      </c>
      <c r="AT38" s="76">
        <f t="shared" si="91"/>
        <v>6</v>
      </c>
      <c r="AV38" s="43">
        <f t="shared" si="76"/>
        <v>5.26</v>
      </c>
      <c r="AW38" s="43">
        <f t="shared" si="77"/>
        <v>4.26</v>
      </c>
      <c r="AX38" s="43">
        <f t="shared" si="78"/>
        <v>5.26</v>
      </c>
      <c r="AY38" s="43">
        <f t="shared" si="79"/>
        <v>4.26</v>
      </c>
      <c r="AZ38" s="46">
        <v>0.71</v>
      </c>
      <c r="BA38" s="43">
        <v>1</v>
      </c>
    </row>
    <row r="39" spans="1:53" ht="18.75" customHeight="1" x14ac:dyDescent="0.25">
      <c r="A39" s="61">
        <f t="shared" si="14"/>
        <v>123</v>
      </c>
      <c r="B39" s="61" t="s">
        <v>75</v>
      </c>
      <c r="C39" s="61">
        <f t="shared" si="15"/>
        <v>132</v>
      </c>
      <c r="D39" s="52">
        <v>5564</v>
      </c>
      <c r="E39" s="53"/>
      <c r="F39" s="49"/>
      <c r="G39" s="48"/>
      <c r="H39" s="48"/>
      <c r="I39" s="48"/>
      <c r="J39" s="48"/>
      <c r="K39" s="48"/>
      <c r="L39" s="54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>
        <v>20</v>
      </c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59">
        <f t="shared" ref="AR39:AR42" si="98">SUM(E39:AQ39)</f>
        <v>20</v>
      </c>
      <c r="AS39" s="62">
        <v>10</v>
      </c>
      <c r="AT39" s="60">
        <f t="shared" ref="AT39:AT42" si="99">AS39*AR39</f>
        <v>200</v>
      </c>
      <c r="AV39" s="43">
        <f t="shared" ref="AV39:AV42" si="100">AW39+1</f>
        <v>15.2</v>
      </c>
      <c r="AW39" s="43">
        <f t="shared" ref="AW39:AW42" si="101">AZ39*AR39</f>
        <v>14.2</v>
      </c>
      <c r="AX39" s="43">
        <f t="shared" ref="AX39:AX42" si="102">AV39*AS39</f>
        <v>152</v>
      </c>
      <c r="AY39" s="43">
        <f t="shared" ref="AY39:AY42" si="103">AW39*AS39</f>
        <v>142</v>
      </c>
      <c r="AZ39" s="46">
        <v>0.71</v>
      </c>
      <c r="BA39" s="43">
        <v>1</v>
      </c>
    </row>
    <row r="40" spans="1:53" ht="18.75" customHeight="1" x14ac:dyDescent="0.25">
      <c r="A40" s="61">
        <f t="shared" si="14"/>
        <v>133</v>
      </c>
      <c r="B40" s="61" t="s">
        <v>75</v>
      </c>
      <c r="C40" s="61">
        <f t="shared" si="15"/>
        <v>133</v>
      </c>
      <c r="D40" s="52">
        <v>5564</v>
      </c>
      <c r="E40" s="53"/>
      <c r="F40" s="49"/>
      <c r="G40" s="48"/>
      <c r="H40" s="48"/>
      <c r="I40" s="48"/>
      <c r="J40" s="48"/>
      <c r="K40" s="48"/>
      <c r="L40" s="54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>
        <v>17</v>
      </c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59">
        <f t="shared" si="98"/>
        <v>17</v>
      </c>
      <c r="AS40" s="62">
        <v>1</v>
      </c>
      <c r="AT40" s="60">
        <f t="shared" si="99"/>
        <v>17</v>
      </c>
      <c r="AV40" s="43">
        <f t="shared" si="100"/>
        <v>13.41</v>
      </c>
      <c r="AW40" s="43">
        <f t="shared" si="101"/>
        <v>12.41</v>
      </c>
      <c r="AX40" s="43">
        <f t="shared" si="102"/>
        <v>13.41</v>
      </c>
      <c r="AY40" s="43">
        <f t="shared" si="103"/>
        <v>12.41</v>
      </c>
      <c r="AZ40" s="46">
        <v>0.73</v>
      </c>
      <c r="BA40" s="43">
        <v>1</v>
      </c>
    </row>
    <row r="41" spans="1:53" s="41" customFormat="1" ht="18.75" customHeight="1" x14ac:dyDescent="0.25">
      <c r="A41" s="61">
        <f t="shared" si="14"/>
        <v>134</v>
      </c>
      <c r="B41" s="61" t="s">
        <v>75</v>
      </c>
      <c r="C41" s="61">
        <f t="shared" si="15"/>
        <v>134</v>
      </c>
      <c r="D41" s="52">
        <v>5564</v>
      </c>
      <c r="E41" s="73"/>
      <c r="F41" s="69"/>
      <c r="G41" s="68"/>
      <c r="H41" s="68"/>
      <c r="I41" s="68"/>
      <c r="J41" s="68"/>
      <c r="K41" s="68"/>
      <c r="L41" s="74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>
        <v>6</v>
      </c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75">
        <f t="shared" si="98"/>
        <v>6</v>
      </c>
      <c r="AS41" s="71">
        <v>1</v>
      </c>
      <c r="AT41" s="76">
        <f t="shared" si="99"/>
        <v>6</v>
      </c>
      <c r="AU41" s="2"/>
      <c r="AV41" s="43">
        <f t="shared" si="100"/>
        <v>4.54</v>
      </c>
      <c r="AW41" s="43">
        <f t="shared" si="101"/>
        <v>3.54</v>
      </c>
      <c r="AX41" s="43">
        <f t="shared" si="102"/>
        <v>4.54</v>
      </c>
      <c r="AY41" s="43">
        <f t="shared" si="103"/>
        <v>3.54</v>
      </c>
      <c r="AZ41" s="46">
        <v>0.59</v>
      </c>
      <c r="BA41" s="43">
        <v>1</v>
      </c>
    </row>
    <row r="42" spans="1:53" s="41" customFormat="1" ht="18.75" customHeight="1" x14ac:dyDescent="0.25">
      <c r="A42" s="61">
        <f t="shared" si="14"/>
        <v>135</v>
      </c>
      <c r="B42" s="61" t="s">
        <v>75</v>
      </c>
      <c r="C42" s="61">
        <f t="shared" si="15"/>
        <v>135</v>
      </c>
      <c r="D42" s="52">
        <v>5564</v>
      </c>
      <c r="E42" s="73"/>
      <c r="F42" s="69"/>
      <c r="G42" s="68"/>
      <c r="H42" s="68"/>
      <c r="I42" s="68"/>
      <c r="J42" s="68"/>
      <c r="K42" s="68"/>
      <c r="L42" s="74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>
        <v>4</v>
      </c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75">
        <f t="shared" si="98"/>
        <v>4</v>
      </c>
      <c r="AS42" s="71">
        <v>1</v>
      </c>
      <c r="AT42" s="76">
        <f t="shared" si="99"/>
        <v>4</v>
      </c>
      <c r="AU42" s="2"/>
      <c r="AV42" s="43">
        <f t="shared" si="100"/>
        <v>3.44</v>
      </c>
      <c r="AW42" s="43">
        <f t="shared" si="101"/>
        <v>2.44</v>
      </c>
      <c r="AX42" s="43">
        <f t="shared" si="102"/>
        <v>3.44</v>
      </c>
      <c r="AY42" s="43">
        <f t="shared" si="103"/>
        <v>2.44</v>
      </c>
      <c r="AZ42" s="46">
        <v>0.61</v>
      </c>
      <c r="BA42" s="43">
        <v>1</v>
      </c>
    </row>
    <row r="43" spans="1:53" ht="18.75" customHeight="1" x14ac:dyDescent="0.25">
      <c r="A43" s="61">
        <f t="shared" si="14"/>
        <v>136</v>
      </c>
      <c r="B43" s="61" t="s">
        <v>75</v>
      </c>
      <c r="C43" s="61">
        <f t="shared" si="15"/>
        <v>147</v>
      </c>
      <c r="D43" s="52">
        <v>5564</v>
      </c>
      <c r="E43" s="53"/>
      <c r="F43" s="49"/>
      <c r="G43" s="48"/>
      <c r="H43" s="48"/>
      <c r="I43" s="48"/>
      <c r="J43" s="48"/>
      <c r="K43" s="48"/>
      <c r="L43" s="54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>
        <v>20</v>
      </c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59">
        <f t="shared" si="75"/>
        <v>20</v>
      </c>
      <c r="AS43" s="62">
        <v>12</v>
      </c>
      <c r="AT43" s="60">
        <f t="shared" si="91"/>
        <v>240</v>
      </c>
      <c r="AV43" s="43">
        <f t="shared" si="76"/>
        <v>15.2</v>
      </c>
      <c r="AW43" s="43">
        <f t="shared" si="77"/>
        <v>14.2</v>
      </c>
      <c r="AX43" s="43">
        <f t="shared" si="78"/>
        <v>182.39999999999998</v>
      </c>
      <c r="AY43" s="43">
        <f t="shared" si="79"/>
        <v>170.39999999999998</v>
      </c>
      <c r="AZ43" s="46">
        <v>0.71</v>
      </c>
      <c r="BA43" s="43">
        <v>1</v>
      </c>
    </row>
    <row r="44" spans="1:53" ht="18.75" customHeight="1" x14ac:dyDescent="0.25">
      <c r="A44" s="61">
        <f t="shared" si="14"/>
        <v>148</v>
      </c>
      <c r="B44" s="61" t="s">
        <v>75</v>
      </c>
      <c r="C44" s="61">
        <f t="shared" si="15"/>
        <v>148</v>
      </c>
      <c r="D44" s="52">
        <v>5564</v>
      </c>
      <c r="E44" s="73"/>
      <c r="F44" s="69"/>
      <c r="G44" s="68"/>
      <c r="H44" s="68"/>
      <c r="I44" s="68"/>
      <c r="J44" s="68"/>
      <c r="K44" s="68"/>
      <c r="L44" s="74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>
        <v>9</v>
      </c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75">
        <f t="shared" si="75"/>
        <v>9</v>
      </c>
      <c r="AS44" s="71">
        <v>1</v>
      </c>
      <c r="AT44" s="76">
        <f t="shared" si="91"/>
        <v>9</v>
      </c>
      <c r="AV44" s="43">
        <f t="shared" si="76"/>
        <v>7.57</v>
      </c>
      <c r="AW44" s="43">
        <f t="shared" si="77"/>
        <v>6.57</v>
      </c>
      <c r="AX44" s="43">
        <f t="shared" si="78"/>
        <v>7.57</v>
      </c>
      <c r="AY44" s="43">
        <f t="shared" si="79"/>
        <v>6.57</v>
      </c>
      <c r="AZ44" s="46">
        <v>0.73</v>
      </c>
      <c r="BA44" s="43">
        <v>1</v>
      </c>
    </row>
    <row r="45" spans="1:53" s="41" customFormat="1" ht="18.75" customHeight="1" x14ac:dyDescent="0.25">
      <c r="A45" s="61">
        <f t="shared" si="14"/>
        <v>149</v>
      </c>
      <c r="B45" s="61" t="s">
        <v>75</v>
      </c>
      <c r="C45" s="61">
        <f t="shared" si="15"/>
        <v>149</v>
      </c>
      <c r="D45" s="52">
        <v>5564</v>
      </c>
      <c r="E45" s="73"/>
      <c r="F45" s="69"/>
      <c r="G45" s="68"/>
      <c r="H45" s="68"/>
      <c r="I45" s="68"/>
      <c r="J45" s="68"/>
      <c r="K45" s="68"/>
      <c r="L45" s="74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>
        <v>5</v>
      </c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75">
        <f t="shared" si="75"/>
        <v>5</v>
      </c>
      <c r="AS45" s="71">
        <v>1</v>
      </c>
      <c r="AT45" s="76">
        <f t="shared" si="91"/>
        <v>5</v>
      </c>
      <c r="AU45" s="2"/>
      <c r="AV45" s="43">
        <f t="shared" si="76"/>
        <v>3.9499999999999997</v>
      </c>
      <c r="AW45" s="43">
        <f t="shared" si="77"/>
        <v>2.9499999999999997</v>
      </c>
      <c r="AX45" s="43">
        <f t="shared" si="78"/>
        <v>3.9499999999999997</v>
      </c>
      <c r="AY45" s="43">
        <f t="shared" si="79"/>
        <v>2.9499999999999997</v>
      </c>
      <c r="AZ45" s="46">
        <v>0.59</v>
      </c>
      <c r="BA45" s="43">
        <v>1</v>
      </c>
    </row>
    <row r="46" spans="1:53" s="41" customFormat="1" ht="18.75" customHeight="1" x14ac:dyDescent="0.25">
      <c r="A46" s="61">
        <f t="shared" si="14"/>
        <v>150</v>
      </c>
      <c r="B46" s="61" t="s">
        <v>75</v>
      </c>
      <c r="C46" s="61">
        <f t="shared" si="15"/>
        <v>161</v>
      </c>
      <c r="D46" s="52">
        <v>5564</v>
      </c>
      <c r="E46" s="53"/>
      <c r="F46" s="49"/>
      <c r="G46" s="48"/>
      <c r="H46" s="48"/>
      <c r="I46" s="48"/>
      <c r="J46" s="48"/>
      <c r="K46" s="48"/>
      <c r="L46" s="54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>
        <v>20</v>
      </c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59">
        <f t="shared" si="75"/>
        <v>20</v>
      </c>
      <c r="AS46" s="62">
        <v>12</v>
      </c>
      <c r="AT46" s="60">
        <f t="shared" si="91"/>
        <v>240</v>
      </c>
      <c r="AU46" s="2"/>
      <c r="AV46" s="43">
        <f t="shared" si="76"/>
        <v>13.2</v>
      </c>
      <c r="AW46" s="43">
        <f t="shared" si="77"/>
        <v>12.2</v>
      </c>
      <c r="AX46" s="43">
        <f t="shared" si="78"/>
        <v>158.39999999999998</v>
      </c>
      <c r="AY46" s="43">
        <f t="shared" si="79"/>
        <v>146.39999999999998</v>
      </c>
      <c r="AZ46" s="46">
        <v>0.61</v>
      </c>
      <c r="BA46" s="43">
        <v>1</v>
      </c>
    </row>
    <row r="47" spans="1:53" ht="18.75" customHeight="1" x14ac:dyDescent="0.25">
      <c r="A47" s="61">
        <f t="shared" si="14"/>
        <v>162</v>
      </c>
      <c r="B47" s="61" t="s">
        <v>75</v>
      </c>
      <c r="C47" s="61">
        <f t="shared" si="15"/>
        <v>162</v>
      </c>
      <c r="D47" s="52">
        <v>5564</v>
      </c>
      <c r="E47" s="53"/>
      <c r="F47" s="49"/>
      <c r="G47" s="48"/>
      <c r="H47" s="48"/>
      <c r="I47" s="48"/>
      <c r="J47" s="48"/>
      <c r="K47" s="48"/>
      <c r="L47" s="54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>
        <v>15</v>
      </c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59">
        <f t="shared" ref="AR47" si="104">SUM(E47:AQ47)</f>
        <v>15</v>
      </c>
      <c r="AS47" s="62">
        <v>1</v>
      </c>
      <c r="AT47" s="60">
        <f t="shared" ref="AT47" si="105">AS47*AR47</f>
        <v>15</v>
      </c>
      <c r="AV47" s="43">
        <f t="shared" ref="AV47" si="106">AW47+1</f>
        <v>11.649999999999999</v>
      </c>
      <c r="AW47" s="43">
        <f t="shared" ref="AW47" si="107">AZ47*AR47</f>
        <v>10.649999999999999</v>
      </c>
      <c r="AX47" s="43">
        <f t="shared" ref="AX47" si="108">AV47*AS47</f>
        <v>11.649999999999999</v>
      </c>
      <c r="AY47" s="43">
        <f t="shared" ref="AY47" si="109">AW47*AS47</f>
        <v>10.649999999999999</v>
      </c>
      <c r="AZ47" s="46">
        <v>0.71</v>
      </c>
      <c r="BA47" s="43">
        <v>1</v>
      </c>
    </row>
    <row r="48" spans="1:53" ht="18.75" customHeight="1" x14ac:dyDescent="0.25">
      <c r="A48" s="61">
        <f t="shared" si="14"/>
        <v>163</v>
      </c>
      <c r="B48" s="61" t="s">
        <v>75</v>
      </c>
      <c r="C48" s="61">
        <f t="shared" si="15"/>
        <v>173</v>
      </c>
      <c r="D48" s="52">
        <v>5564</v>
      </c>
      <c r="E48" s="53"/>
      <c r="F48" s="49"/>
      <c r="G48" s="48"/>
      <c r="H48" s="48"/>
      <c r="I48" s="48"/>
      <c r="J48" s="48"/>
      <c r="K48" s="48"/>
      <c r="L48" s="54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>
        <v>20</v>
      </c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59">
        <f t="shared" ref="AR48" si="110">SUM(E48:AQ48)</f>
        <v>20</v>
      </c>
      <c r="AS48" s="62">
        <v>11</v>
      </c>
      <c r="AT48" s="60">
        <f t="shared" ref="AT48" si="111">AS48*AR48</f>
        <v>220</v>
      </c>
      <c r="AV48" s="43">
        <f t="shared" ref="AV48" si="112">AW48+1</f>
        <v>15.6</v>
      </c>
      <c r="AW48" s="43">
        <f t="shared" ref="AW48" si="113">AZ48*AR48</f>
        <v>14.6</v>
      </c>
      <c r="AX48" s="43">
        <f t="shared" ref="AX48" si="114">AV48*AS48</f>
        <v>171.6</v>
      </c>
      <c r="AY48" s="43">
        <f t="shared" ref="AY48" si="115">AW48*AS48</f>
        <v>160.6</v>
      </c>
      <c r="AZ48" s="46">
        <v>0.73</v>
      </c>
      <c r="BA48" s="43">
        <v>1</v>
      </c>
    </row>
    <row r="49" spans="1:53" s="41" customFormat="1" ht="18.75" customHeight="1" x14ac:dyDescent="0.25">
      <c r="A49" s="61">
        <f t="shared" si="14"/>
        <v>174</v>
      </c>
      <c r="B49" s="61" t="s">
        <v>75</v>
      </c>
      <c r="C49" s="61">
        <f t="shared" si="15"/>
        <v>174</v>
      </c>
      <c r="D49" s="52">
        <v>5564</v>
      </c>
      <c r="E49" s="73"/>
      <c r="F49" s="69"/>
      <c r="G49" s="68"/>
      <c r="H49" s="68"/>
      <c r="I49" s="68"/>
      <c r="J49" s="68"/>
      <c r="K49" s="68"/>
      <c r="L49" s="74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>
        <v>4</v>
      </c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75">
        <f t="shared" ref="AR49:AR64" si="116">SUM(E49:AQ49)</f>
        <v>4</v>
      </c>
      <c r="AS49" s="71">
        <v>1</v>
      </c>
      <c r="AT49" s="76">
        <f t="shared" ref="AT49:AT64" si="117">AS49*AR49</f>
        <v>4</v>
      </c>
      <c r="AU49" s="2"/>
      <c r="AV49" s="43">
        <f t="shared" ref="AV49:AV64" si="118">AW49+1</f>
        <v>3.36</v>
      </c>
      <c r="AW49" s="43">
        <f t="shared" ref="AW49:AW64" si="119">AZ49*AR49</f>
        <v>2.36</v>
      </c>
      <c r="AX49" s="43">
        <f t="shared" ref="AX49:AX64" si="120">AV49*AS49</f>
        <v>3.36</v>
      </c>
      <c r="AY49" s="43">
        <f t="shared" ref="AY49:AY64" si="121">AW49*AS49</f>
        <v>2.36</v>
      </c>
      <c r="AZ49" s="46">
        <v>0.59</v>
      </c>
      <c r="BA49" s="43">
        <v>1</v>
      </c>
    </row>
    <row r="50" spans="1:53" s="41" customFormat="1" ht="18.75" customHeight="1" x14ac:dyDescent="0.25">
      <c r="A50" s="61">
        <f t="shared" si="14"/>
        <v>175</v>
      </c>
      <c r="B50" s="61" t="s">
        <v>75</v>
      </c>
      <c r="C50" s="61">
        <f t="shared" si="15"/>
        <v>175</v>
      </c>
      <c r="D50" s="52">
        <v>5564</v>
      </c>
      <c r="E50" s="73"/>
      <c r="F50" s="69"/>
      <c r="G50" s="68"/>
      <c r="H50" s="68"/>
      <c r="I50" s="68"/>
      <c r="J50" s="68"/>
      <c r="K50" s="68"/>
      <c r="L50" s="74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>
        <v>4</v>
      </c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75">
        <f t="shared" si="116"/>
        <v>4</v>
      </c>
      <c r="AS50" s="71">
        <v>1</v>
      </c>
      <c r="AT50" s="76">
        <f t="shared" si="117"/>
        <v>4</v>
      </c>
      <c r="AU50" s="2"/>
      <c r="AV50" s="43">
        <f t="shared" si="118"/>
        <v>3.44</v>
      </c>
      <c r="AW50" s="43">
        <f t="shared" si="119"/>
        <v>2.44</v>
      </c>
      <c r="AX50" s="43">
        <f t="shared" si="120"/>
        <v>3.44</v>
      </c>
      <c r="AY50" s="43">
        <f t="shared" si="121"/>
        <v>2.44</v>
      </c>
      <c r="AZ50" s="46">
        <v>0.61</v>
      </c>
      <c r="BA50" s="43">
        <v>1</v>
      </c>
    </row>
    <row r="51" spans="1:53" s="41" customFormat="1" ht="18.75" customHeight="1" x14ac:dyDescent="0.25">
      <c r="A51" s="61">
        <f t="shared" si="14"/>
        <v>176</v>
      </c>
      <c r="B51" s="61" t="s">
        <v>75</v>
      </c>
      <c r="C51" s="61">
        <f t="shared" si="15"/>
        <v>176</v>
      </c>
      <c r="D51" s="52">
        <v>5564</v>
      </c>
      <c r="E51" s="73"/>
      <c r="F51" s="69"/>
      <c r="G51" s="68"/>
      <c r="H51" s="68"/>
      <c r="I51" s="68"/>
      <c r="J51" s="68"/>
      <c r="K51" s="68"/>
      <c r="L51" s="74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>
        <v>4</v>
      </c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75">
        <f t="shared" si="116"/>
        <v>4</v>
      </c>
      <c r="AS51" s="71">
        <v>1</v>
      </c>
      <c r="AT51" s="76">
        <f t="shared" si="117"/>
        <v>4</v>
      </c>
      <c r="AU51" s="2"/>
      <c r="AV51" s="43">
        <f t="shared" si="118"/>
        <v>3.96</v>
      </c>
      <c r="AW51" s="43">
        <f t="shared" si="119"/>
        <v>2.96</v>
      </c>
      <c r="AX51" s="43">
        <f t="shared" si="120"/>
        <v>3.96</v>
      </c>
      <c r="AY51" s="43">
        <f t="shared" si="121"/>
        <v>2.96</v>
      </c>
      <c r="AZ51" s="46">
        <v>0.74</v>
      </c>
      <c r="BA51" s="43">
        <v>1</v>
      </c>
    </row>
    <row r="52" spans="1:53" s="41" customFormat="1" ht="18.75" customHeight="1" x14ac:dyDescent="0.25">
      <c r="A52" s="61">
        <f t="shared" si="14"/>
        <v>177</v>
      </c>
      <c r="B52" s="61" t="s">
        <v>75</v>
      </c>
      <c r="C52" s="61">
        <f t="shared" si="15"/>
        <v>188</v>
      </c>
      <c r="D52" s="52">
        <v>5564</v>
      </c>
      <c r="E52" s="53"/>
      <c r="F52" s="49"/>
      <c r="G52" s="48"/>
      <c r="H52" s="48"/>
      <c r="I52" s="48"/>
      <c r="J52" s="48"/>
      <c r="K52" s="48"/>
      <c r="L52" s="54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>
        <v>20</v>
      </c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59">
        <f t="shared" si="116"/>
        <v>20</v>
      </c>
      <c r="AS52" s="62">
        <v>12</v>
      </c>
      <c r="AT52" s="60">
        <f t="shared" si="117"/>
        <v>240</v>
      </c>
      <c r="AU52" s="2"/>
      <c r="AV52" s="43">
        <f t="shared" si="118"/>
        <v>16</v>
      </c>
      <c r="AW52" s="43">
        <f t="shared" si="119"/>
        <v>15</v>
      </c>
      <c r="AX52" s="43">
        <f t="shared" si="120"/>
        <v>192</v>
      </c>
      <c r="AY52" s="43">
        <f t="shared" si="121"/>
        <v>180</v>
      </c>
      <c r="AZ52" s="46">
        <v>0.75</v>
      </c>
      <c r="BA52" s="43">
        <v>1</v>
      </c>
    </row>
    <row r="53" spans="1:53" s="41" customFormat="1" ht="18.75" customHeight="1" x14ac:dyDescent="0.25">
      <c r="A53" s="61">
        <f t="shared" si="14"/>
        <v>189</v>
      </c>
      <c r="B53" s="61" t="s">
        <v>75</v>
      </c>
      <c r="C53" s="61">
        <f t="shared" si="15"/>
        <v>189</v>
      </c>
      <c r="D53" s="52">
        <v>5564</v>
      </c>
      <c r="E53" s="53"/>
      <c r="F53" s="49"/>
      <c r="G53" s="48"/>
      <c r="H53" s="48"/>
      <c r="I53" s="48"/>
      <c r="J53" s="48"/>
      <c r="K53" s="48"/>
      <c r="L53" s="54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>
        <v>13</v>
      </c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59">
        <f t="shared" ref="AR53:AR55" si="122">SUM(E53:AQ53)</f>
        <v>13</v>
      </c>
      <c r="AS53" s="62">
        <v>1</v>
      </c>
      <c r="AT53" s="60">
        <f t="shared" ref="AT53:AT55" si="123">AS53*AR53</f>
        <v>13</v>
      </c>
      <c r="AU53" s="2"/>
      <c r="AV53" s="43">
        <f t="shared" ref="AV53:AV55" si="124">AW53+1</f>
        <v>8.93</v>
      </c>
      <c r="AW53" s="43">
        <f t="shared" ref="AW53:AW55" si="125">AZ53*AR53</f>
        <v>7.93</v>
      </c>
      <c r="AX53" s="43">
        <f t="shared" ref="AX53:AX55" si="126">AV53*AS53</f>
        <v>8.93</v>
      </c>
      <c r="AY53" s="43">
        <f t="shared" ref="AY53:AY55" si="127">AW53*AS53</f>
        <v>7.93</v>
      </c>
      <c r="AZ53" s="46">
        <v>0.61</v>
      </c>
      <c r="BA53" s="43">
        <v>1</v>
      </c>
    </row>
    <row r="54" spans="1:53" s="41" customFormat="1" ht="18.75" customHeight="1" x14ac:dyDescent="0.25">
      <c r="A54" s="61">
        <f t="shared" si="14"/>
        <v>190</v>
      </c>
      <c r="B54" s="61" t="s">
        <v>75</v>
      </c>
      <c r="C54" s="61">
        <f t="shared" si="15"/>
        <v>190</v>
      </c>
      <c r="D54" s="52">
        <v>5564</v>
      </c>
      <c r="E54" s="73"/>
      <c r="F54" s="69"/>
      <c r="G54" s="68"/>
      <c r="H54" s="68"/>
      <c r="I54" s="68"/>
      <c r="J54" s="68"/>
      <c r="K54" s="68"/>
      <c r="L54" s="74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>
        <v>4</v>
      </c>
      <c r="AI54" s="69"/>
      <c r="AJ54" s="69"/>
      <c r="AK54" s="69"/>
      <c r="AL54" s="69"/>
      <c r="AM54" s="69"/>
      <c r="AN54" s="69"/>
      <c r="AO54" s="69"/>
      <c r="AP54" s="69"/>
      <c r="AQ54" s="69"/>
      <c r="AR54" s="75">
        <f t="shared" si="122"/>
        <v>4</v>
      </c>
      <c r="AS54" s="71">
        <v>1</v>
      </c>
      <c r="AT54" s="76">
        <f t="shared" si="123"/>
        <v>4</v>
      </c>
      <c r="AU54" s="2"/>
      <c r="AV54" s="43">
        <f t="shared" si="124"/>
        <v>3.96</v>
      </c>
      <c r="AW54" s="43">
        <f t="shared" si="125"/>
        <v>2.96</v>
      </c>
      <c r="AX54" s="43">
        <f t="shared" si="126"/>
        <v>3.96</v>
      </c>
      <c r="AY54" s="43">
        <f t="shared" si="127"/>
        <v>2.96</v>
      </c>
      <c r="AZ54" s="46">
        <v>0.74</v>
      </c>
      <c r="BA54" s="43">
        <v>1</v>
      </c>
    </row>
    <row r="55" spans="1:53" s="41" customFormat="1" ht="18.75" customHeight="1" x14ac:dyDescent="0.25">
      <c r="A55" s="61">
        <f t="shared" si="14"/>
        <v>191</v>
      </c>
      <c r="B55" s="61" t="s">
        <v>75</v>
      </c>
      <c r="C55" s="61">
        <f t="shared" si="15"/>
        <v>191</v>
      </c>
      <c r="D55" s="52">
        <v>5564</v>
      </c>
      <c r="E55" s="73"/>
      <c r="F55" s="69"/>
      <c r="G55" s="68"/>
      <c r="H55" s="68"/>
      <c r="I55" s="68"/>
      <c r="J55" s="68"/>
      <c r="K55" s="68"/>
      <c r="L55" s="74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>
        <v>4</v>
      </c>
      <c r="AJ55" s="69"/>
      <c r="AK55" s="69"/>
      <c r="AL55" s="69"/>
      <c r="AM55" s="69"/>
      <c r="AN55" s="69"/>
      <c r="AO55" s="69"/>
      <c r="AP55" s="69"/>
      <c r="AQ55" s="69"/>
      <c r="AR55" s="75">
        <f t="shared" si="122"/>
        <v>4</v>
      </c>
      <c r="AS55" s="71">
        <v>1</v>
      </c>
      <c r="AT55" s="76">
        <f t="shared" si="123"/>
        <v>4</v>
      </c>
      <c r="AU55" s="2"/>
      <c r="AV55" s="43">
        <f t="shared" si="124"/>
        <v>4</v>
      </c>
      <c r="AW55" s="43">
        <f t="shared" si="125"/>
        <v>3</v>
      </c>
      <c r="AX55" s="43">
        <f t="shared" si="126"/>
        <v>4</v>
      </c>
      <c r="AY55" s="43">
        <f t="shared" si="127"/>
        <v>3</v>
      </c>
      <c r="AZ55" s="46">
        <v>0.75</v>
      </c>
      <c r="BA55" s="43">
        <v>1</v>
      </c>
    </row>
    <row r="56" spans="1:53" s="41" customFormat="1" ht="18.75" customHeight="1" x14ac:dyDescent="0.25">
      <c r="A56" s="61">
        <f t="shared" si="14"/>
        <v>192</v>
      </c>
      <c r="B56" s="61" t="s">
        <v>75</v>
      </c>
      <c r="C56" s="61">
        <f t="shared" si="15"/>
        <v>203</v>
      </c>
      <c r="D56" s="52">
        <v>5564</v>
      </c>
      <c r="E56" s="53"/>
      <c r="F56" s="49"/>
      <c r="G56" s="48"/>
      <c r="H56" s="48"/>
      <c r="I56" s="48"/>
      <c r="J56" s="48"/>
      <c r="K56" s="48"/>
      <c r="L56" s="54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>
        <v>20</v>
      </c>
      <c r="AK56" s="49"/>
      <c r="AL56" s="49"/>
      <c r="AM56" s="49"/>
      <c r="AN56" s="49"/>
      <c r="AO56" s="49"/>
      <c r="AP56" s="49"/>
      <c r="AQ56" s="49"/>
      <c r="AR56" s="59">
        <f t="shared" si="116"/>
        <v>20</v>
      </c>
      <c r="AS56" s="62">
        <v>12</v>
      </c>
      <c r="AT56" s="60">
        <f t="shared" si="117"/>
        <v>240</v>
      </c>
      <c r="AU56" s="2"/>
      <c r="AV56" s="43">
        <f t="shared" si="118"/>
        <v>13.2</v>
      </c>
      <c r="AW56" s="43">
        <f t="shared" si="119"/>
        <v>12.2</v>
      </c>
      <c r="AX56" s="43">
        <f t="shared" si="120"/>
        <v>158.39999999999998</v>
      </c>
      <c r="AY56" s="43">
        <f t="shared" si="121"/>
        <v>146.39999999999998</v>
      </c>
      <c r="AZ56" s="46">
        <v>0.61</v>
      </c>
      <c r="BA56" s="43">
        <v>1</v>
      </c>
    </row>
    <row r="57" spans="1:53" s="41" customFormat="1" ht="18.75" customHeight="1" x14ac:dyDescent="0.25">
      <c r="A57" s="61">
        <f t="shared" si="14"/>
        <v>204</v>
      </c>
      <c r="B57" s="61" t="s">
        <v>75</v>
      </c>
      <c r="C57" s="61">
        <f t="shared" si="15"/>
        <v>204</v>
      </c>
      <c r="D57" s="52">
        <v>5564</v>
      </c>
      <c r="E57" s="73"/>
      <c r="F57" s="69"/>
      <c r="G57" s="68"/>
      <c r="H57" s="68"/>
      <c r="I57" s="68"/>
      <c r="J57" s="68"/>
      <c r="K57" s="68"/>
      <c r="L57" s="74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>
        <v>10</v>
      </c>
      <c r="AK57" s="69"/>
      <c r="AL57" s="69"/>
      <c r="AM57" s="69"/>
      <c r="AN57" s="69"/>
      <c r="AO57" s="69"/>
      <c r="AP57" s="69"/>
      <c r="AQ57" s="69"/>
      <c r="AR57" s="75">
        <f t="shared" si="116"/>
        <v>10</v>
      </c>
      <c r="AS57" s="71">
        <v>1</v>
      </c>
      <c r="AT57" s="76">
        <f t="shared" si="117"/>
        <v>10</v>
      </c>
      <c r="AU57" s="2"/>
      <c r="AV57" s="43">
        <f t="shared" si="118"/>
        <v>8.4</v>
      </c>
      <c r="AW57" s="43">
        <f t="shared" si="119"/>
        <v>7.4</v>
      </c>
      <c r="AX57" s="43">
        <f t="shared" si="120"/>
        <v>8.4</v>
      </c>
      <c r="AY57" s="43">
        <f t="shared" si="121"/>
        <v>7.4</v>
      </c>
      <c r="AZ57" s="46">
        <v>0.74</v>
      </c>
      <c r="BA57" s="43">
        <v>1</v>
      </c>
    </row>
    <row r="58" spans="1:53" s="41" customFormat="1" ht="18.75" customHeight="1" x14ac:dyDescent="0.25">
      <c r="A58" s="61">
        <f t="shared" si="14"/>
        <v>205</v>
      </c>
      <c r="B58" s="61" t="s">
        <v>75</v>
      </c>
      <c r="C58" s="61">
        <f t="shared" si="15"/>
        <v>205</v>
      </c>
      <c r="D58" s="52">
        <v>5564</v>
      </c>
      <c r="E58" s="73"/>
      <c r="F58" s="69"/>
      <c r="G58" s="68"/>
      <c r="H58" s="68"/>
      <c r="I58" s="68"/>
      <c r="J58" s="68"/>
      <c r="K58" s="68"/>
      <c r="L58" s="74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>
        <v>4</v>
      </c>
      <c r="AL58" s="69"/>
      <c r="AM58" s="69"/>
      <c r="AN58" s="69"/>
      <c r="AO58" s="69"/>
      <c r="AP58" s="69"/>
      <c r="AQ58" s="69"/>
      <c r="AR58" s="75">
        <f t="shared" si="116"/>
        <v>4</v>
      </c>
      <c r="AS58" s="71">
        <v>1</v>
      </c>
      <c r="AT58" s="76">
        <f t="shared" si="117"/>
        <v>4</v>
      </c>
      <c r="AU58" s="2"/>
      <c r="AV58" s="43">
        <f t="shared" si="118"/>
        <v>4</v>
      </c>
      <c r="AW58" s="43">
        <f t="shared" si="119"/>
        <v>3</v>
      </c>
      <c r="AX58" s="43">
        <f t="shared" si="120"/>
        <v>4</v>
      </c>
      <c r="AY58" s="43">
        <f t="shared" si="121"/>
        <v>3</v>
      </c>
      <c r="AZ58" s="46">
        <v>0.75</v>
      </c>
      <c r="BA58" s="43">
        <v>1</v>
      </c>
    </row>
    <row r="59" spans="1:53" s="41" customFormat="1" ht="18.75" customHeight="1" x14ac:dyDescent="0.25">
      <c r="A59" s="61">
        <f t="shared" si="14"/>
        <v>206</v>
      </c>
      <c r="B59" s="61" t="s">
        <v>75</v>
      </c>
      <c r="C59" s="61">
        <f t="shared" si="15"/>
        <v>206</v>
      </c>
      <c r="D59" s="52">
        <v>5564</v>
      </c>
      <c r="E59" s="73"/>
      <c r="F59" s="69"/>
      <c r="G59" s="68"/>
      <c r="H59" s="68"/>
      <c r="I59" s="68"/>
      <c r="J59" s="68"/>
      <c r="K59" s="68"/>
      <c r="L59" s="74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>
        <v>4</v>
      </c>
      <c r="AM59" s="69"/>
      <c r="AN59" s="69"/>
      <c r="AO59" s="69"/>
      <c r="AP59" s="69"/>
      <c r="AQ59" s="69"/>
      <c r="AR59" s="75">
        <f t="shared" ref="AR59:AR61" si="128">SUM(E59:AQ59)</f>
        <v>4</v>
      </c>
      <c r="AS59" s="71">
        <v>1</v>
      </c>
      <c r="AT59" s="76">
        <f t="shared" ref="AT59:AT61" si="129">AS59*AR59</f>
        <v>4</v>
      </c>
      <c r="AU59" s="2"/>
      <c r="AV59" s="43">
        <f t="shared" ref="AV59:AV61" si="130">AW59+1</f>
        <v>3.44</v>
      </c>
      <c r="AW59" s="43">
        <f t="shared" ref="AW59:AW61" si="131">AZ59*AR59</f>
        <v>2.44</v>
      </c>
      <c r="AX59" s="43">
        <f t="shared" ref="AX59:AX61" si="132">AV59*AS59</f>
        <v>3.44</v>
      </c>
      <c r="AY59" s="43">
        <f t="shared" ref="AY59:AY61" si="133">AW59*AS59</f>
        <v>2.44</v>
      </c>
      <c r="AZ59" s="46">
        <v>0.61</v>
      </c>
      <c r="BA59" s="43">
        <v>1</v>
      </c>
    </row>
    <row r="60" spans="1:53" s="41" customFormat="1" ht="18.75" customHeight="1" x14ac:dyDescent="0.25">
      <c r="A60" s="61">
        <f t="shared" si="14"/>
        <v>207</v>
      </c>
      <c r="B60" s="61" t="s">
        <v>75</v>
      </c>
      <c r="C60" s="61">
        <f t="shared" si="15"/>
        <v>207</v>
      </c>
      <c r="D60" s="52">
        <v>5564</v>
      </c>
      <c r="E60" s="73"/>
      <c r="F60" s="69"/>
      <c r="G60" s="68"/>
      <c r="H60" s="68"/>
      <c r="I60" s="68"/>
      <c r="J60" s="68"/>
      <c r="K60" s="68"/>
      <c r="L60" s="74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>
        <v>5</v>
      </c>
      <c r="AN60" s="69"/>
      <c r="AO60" s="69"/>
      <c r="AP60" s="69"/>
      <c r="AQ60" s="69"/>
      <c r="AR60" s="75">
        <f t="shared" si="128"/>
        <v>5</v>
      </c>
      <c r="AS60" s="71">
        <v>1</v>
      </c>
      <c r="AT60" s="76">
        <f t="shared" si="129"/>
        <v>5</v>
      </c>
      <c r="AU60" s="2"/>
      <c r="AV60" s="43">
        <f t="shared" si="130"/>
        <v>4.7</v>
      </c>
      <c r="AW60" s="43">
        <f t="shared" si="131"/>
        <v>3.7</v>
      </c>
      <c r="AX60" s="43">
        <f t="shared" si="132"/>
        <v>4.7</v>
      </c>
      <c r="AY60" s="43">
        <f t="shared" si="133"/>
        <v>3.7</v>
      </c>
      <c r="AZ60" s="46">
        <v>0.74</v>
      </c>
      <c r="BA60" s="43">
        <v>1</v>
      </c>
    </row>
    <row r="61" spans="1:53" s="41" customFormat="1" ht="18.75" customHeight="1" x14ac:dyDescent="0.25">
      <c r="A61" s="61">
        <f t="shared" si="14"/>
        <v>208</v>
      </c>
      <c r="B61" s="61" t="s">
        <v>75</v>
      </c>
      <c r="C61" s="61">
        <f t="shared" si="15"/>
        <v>208</v>
      </c>
      <c r="D61" s="52">
        <v>5564</v>
      </c>
      <c r="E61" s="73"/>
      <c r="F61" s="69"/>
      <c r="G61" s="68"/>
      <c r="H61" s="68"/>
      <c r="I61" s="68"/>
      <c r="J61" s="68"/>
      <c r="K61" s="68"/>
      <c r="L61" s="74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>
        <v>4</v>
      </c>
      <c r="AO61" s="69"/>
      <c r="AP61" s="69"/>
      <c r="AQ61" s="69"/>
      <c r="AR61" s="75">
        <f t="shared" si="128"/>
        <v>4</v>
      </c>
      <c r="AS61" s="71">
        <v>1</v>
      </c>
      <c r="AT61" s="76">
        <f t="shared" si="129"/>
        <v>4</v>
      </c>
      <c r="AU61" s="2"/>
      <c r="AV61" s="43">
        <f t="shared" si="130"/>
        <v>4</v>
      </c>
      <c r="AW61" s="43">
        <f t="shared" si="131"/>
        <v>3</v>
      </c>
      <c r="AX61" s="43">
        <f t="shared" si="132"/>
        <v>4</v>
      </c>
      <c r="AY61" s="43">
        <f t="shared" si="133"/>
        <v>3</v>
      </c>
      <c r="AZ61" s="46">
        <v>0.75</v>
      </c>
      <c r="BA61" s="43">
        <v>1</v>
      </c>
    </row>
    <row r="62" spans="1:53" s="41" customFormat="1" ht="18.75" customHeight="1" x14ac:dyDescent="0.25">
      <c r="A62" s="61">
        <f t="shared" si="14"/>
        <v>209</v>
      </c>
      <c r="B62" s="61" t="s">
        <v>75</v>
      </c>
      <c r="C62" s="61">
        <f t="shared" si="15"/>
        <v>209</v>
      </c>
      <c r="D62" s="52">
        <v>5564</v>
      </c>
      <c r="E62" s="73"/>
      <c r="F62" s="69"/>
      <c r="G62" s="68"/>
      <c r="H62" s="68"/>
      <c r="I62" s="68"/>
      <c r="J62" s="68"/>
      <c r="K62" s="68"/>
      <c r="L62" s="74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>
        <v>3</v>
      </c>
      <c r="AP62" s="69"/>
      <c r="AQ62" s="69"/>
      <c r="AR62" s="75">
        <f t="shared" si="116"/>
        <v>3</v>
      </c>
      <c r="AS62" s="71">
        <v>1</v>
      </c>
      <c r="AT62" s="76">
        <f t="shared" si="117"/>
        <v>3</v>
      </c>
      <c r="AU62" s="2"/>
      <c r="AV62" s="43">
        <f t="shared" si="118"/>
        <v>2.83</v>
      </c>
      <c r="AW62" s="43">
        <f t="shared" si="119"/>
        <v>1.83</v>
      </c>
      <c r="AX62" s="43">
        <f t="shared" si="120"/>
        <v>2.83</v>
      </c>
      <c r="AY62" s="43">
        <f t="shared" si="121"/>
        <v>1.83</v>
      </c>
      <c r="AZ62" s="46">
        <v>0.61</v>
      </c>
      <c r="BA62" s="43">
        <v>1</v>
      </c>
    </row>
    <row r="63" spans="1:53" s="41" customFormat="1" ht="18.75" customHeight="1" x14ac:dyDescent="0.25">
      <c r="A63" s="61">
        <f t="shared" si="14"/>
        <v>210</v>
      </c>
      <c r="B63" s="61" t="s">
        <v>75</v>
      </c>
      <c r="C63" s="61">
        <f t="shared" si="15"/>
        <v>210</v>
      </c>
      <c r="D63" s="52">
        <v>5564</v>
      </c>
      <c r="E63" s="73"/>
      <c r="F63" s="69"/>
      <c r="G63" s="68"/>
      <c r="H63" s="68"/>
      <c r="I63" s="68"/>
      <c r="J63" s="68"/>
      <c r="K63" s="68"/>
      <c r="L63" s="74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>
        <v>4</v>
      </c>
      <c r="AQ63" s="69"/>
      <c r="AR63" s="75">
        <f t="shared" si="116"/>
        <v>4</v>
      </c>
      <c r="AS63" s="71">
        <v>1</v>
      </c>
      <c r="AT63" s="76">
        <f t="shared" si="117"/>
        <v>4</v>
      </c>
      <c r="AU63" s="2"/>
      <c r="AV63" s="43">
        <f t="shared" si="118"/>
        <v>3.96</v>
      </c>
      <c r="AW63" s="43">
        <f t="shared" si="119"/>
        <v>2.96</v>
      </c>
      <c r="AX63" s="43">
        <f t="shared" si="120"/>
        <v>3.96</v>
      </c>
      <c r="AY63" s="43">
        <f t="shared" si="121"/>
        <v>2.96</v>
      </c>
      <c r="AZ63" s="46">
        <v>0.74</v>
      </c>
      <c r="BA63" s="43">
        <v>1</v>
      </c>
    </row>
    <row r="64" spans="1:53" s="41" customFormat="1" ht="18.75" customHeight="1" x14ac:dyDescent="0.25">
      <c r="A64" s="61">
        <f t="shared" si="14"/>
        <v>211</v>
      </c>
      <c r="B64" s="61" t="s">
        <v>75</v>
      </c>
      <c r="C64" s="61">
        <f t="shared" si="15"/>
        <v>211</v>
      </c>
      <c r="D64" s="52">
        <v>5564</v>
      </c>
      <c r="E64" s="73"/>
      <c r="F64" s="69"/>
      <c r="G64" s="68"/>
      <c r="H64" s="68"/>
      <c r="I64" s="68"/>
      <c r="J64" s="68"/>
      <c r="K64" s="68"/>
      <c r="L64" s="74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>
        <v>3</v>
      </c>
      <c r="AR64" s="75">
        <f t="shared" si="116"/>
        <v>3</v>
      </c>
      <c r="AS64" s="71">
        <v>1</v>
      </c>
      <c r="AT64" s="76">
        <f t="shared" si="117"/>
        <v>3</v>
      </c>
      <c r="AU64" s="2"/>
      <c r="AV64" s="43">
        <f t="shared" si="118"/>
        <v>3.25</v>
      </c>
      <c r="AW64" s="43">
        <f t="shared" si="119"/>
        <v>2.25</v>
      </c>
      <c r="AX64" s="43">
        <f t="shared" si="120"/>
        <v>3.25</v>
      </c>
      <c r="AY64" s="43">
        <f t="shared" si="121"/>
        <v>2.25</v>
      </c>
      <c r="AZ64" s="46">
        <v>0.75</v>
      </c>
      <c r="BA64" s="43">
        <v>1</v>
      </c>
    </row>
    <row r="65" spans="1:53" ht="18.75" customHeight="1" x14ac:dyDescent="0.25">
      <c r="A65" s="106" t="s">
        <v>19</v>
      </c>
      <c r="B65" s="106"/>
      <c r="C65" s="106"/>
      <c r="D65" s="106"/>
      <c r="E65" s="34"/>
      <c r="F65" s="34"/>
      <c r="G65" s="34"/>
      <c r="H65" s="3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63">
        <f>SUM(AS11:AS64)</f>
        <v>211</v>
      </c>
      <c r="AT65" s="1">
        <f>SUM(AT11:AT64)</f>
        <v>3768</v>
      </c>
      <c r="AV65" s="45">
        <f>SUM(AV11:AV64)</f>
        <v>468.71999999999986</v>
      </c>
      <c r="AW65" s="45">
        <f>SUM(AW11:AW64)</f>
        <v>414.71999999999991</v>
      </c>
      <c r="AX65" s="45">
        <f>SUM(AX11:AX64)</f>
        <v>2693.12</v>
      </c>
      <c r="AY65" s="45">
        <f>SUM(AY11:AY64)</f>
        <v>2482.12</v>
      </c>
      <c r="AZ65" s="42"/>
      <c r="BA65" s="43"/>
    </row>
    <row r="66" spans="1:53" ht="20.25" customHeight="1" x14ac:dyDescent="0.25"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</row>
    <row r="67" spans="1:53" ht="20.25" customHeight="1" x14ac:dyDescent="0.25">
      <c r="A67" s="107" t="s">
        <v>21</v>
      </c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107"/>
      <c r="AH67" s="107"/>
      <c r="AI67" s="107"/>
      <c r="AJ67" s="107"/>
      <c r="AK67" s="107"/>
      <c r="AL67" s="107"/>
      <c r="AM67" s="107"/>
      <c r="AN67" s="107"/>
      <c r="AO67" s="107"/>
      <c r="AP67" s="107"/>
      <c r="AQ67" s="107"/>
      <c r="AR67" s="107"/>
      <c r="AS67" s="107"/>
      <c r="AT67" s="107"/>
      <c r="AV67" s="44"/>
      <c r="AW67" s="44"/>
      <c r="AX67" s="44">
        <f>AX65</f>
        <v>2693.12</v>
      </c>
      <c r="AY67" s="44">
        <f>AY65</f>
        <v>2482.12</v>
      </c>
    </row>
    <row r="68" spans="1:53" ht="20.25" customHeight="1" thickBot="1" x14ac:dyDescent="0.3"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</row>
    <row r="69" spans="1:53" ht="21.75" customHeight="1" thickBot="1" x14ac:dyDescent="0.3">
      <c r="C69" s="108" t="s">
        <v>7</v>
      </c>
      <c r="D69" s="109"/>
      <c r="E69" s="67" t="s">
        <v>30</v>
      </c>
      <c r="F69" s="67" t="s">
        <v>29</v>
      </c>
      <c r="G69" s="67" t="s">
        <v>31</v>
      </c>
      <c r="H69" s="67" t="s">
        <v>26</v>
      </c>
      <c r="I69" s="67" t="s">
        <v>25</v>
      </c>
      <c r="J69" s="67" t="s">
        <v>27</v>
      </c>
      <c r="K69" s="67" t="s">
        <v>42</v>
      </c>
      <c r="L69" s="67" t="s">
        <v>43</v>
      </c>
      <c r="M69" s="67" t="s">
        <v>44</v>
      </c>
      <c r="N69" s="67" t="s">
        <v>45</v>
      </c>
      <c r="O69" s="67" t="s">
        <v>46</v>
      </c>
      <c r="P69" s="67" t="s">
        <v>47</v>
      </c>
      <c r="Q69" s="67" t="s">
        <v>48</v>
      </c>
      <c r="R69" s="67" t="s">
        <v>49</v>
      </c>
      <c r="S69" s="67" t="s">
        <v>50</v>
      </c>
      <c r="T69" s="67" t="s">
        <v>51</v>
      </c>
      <c r="U69" s="67" t="s">
        <v>52</v>
      </c>
      <c r="V69" s="67" t="s">
        <v>53</v>
      </c>
      <c r="W69" s="67" t="s">
        <v>54</v>
      </c>
      <c r="X69" s="67" t="s">
        <v>55</v>
      </c>
      <c r="Y69" s="67" t="s">
        <v>56</v>
      </c>
      <c r="Z69" s="67" t="s">
        <v>57</v>
      </c>
      <c r="AA69" s="67" t="s">
        <v>58</v>
      </c>
      <c r="AB69" s="67" t="s">
        <v>59</v>
      </c>
      <c r="AC69" s="67" t="s">
        <v>60</v>
      </c>
      <c r="AD69" s="67" t="s">
        <v>61</v>
      </c>
      <c r="AE69" s="67" t="s">
        <v>62</v>
      </c>
      <c r="AF69" s="67" t="s">
        <v>63</v>
      </c>
      <c r="AG69" s="67" t="s">
        <v>64</v>
      </c>
      <c r="AH69" s="67" t="s">
        <v>65</v>
      </c>
      <c r="AI69" s="67" t="s">
        <v>66</v>
      </c>
      <c r="AJ69" s="67" t="s">
        <v>67</v>
      </c>
      <c r="AK69" s="67" t="s">
        <v>68</v>
      </c>
      <c r="AL69" s="67" t="s">
        <v>69</v>
      </c>
      <c r="AM69" s="67" t="s">
        <v>70</v>
      </c>
      <c r="AN69" s="67" t="s">
        <v>71</v>
      </c>
      <c r="AO69" s="67" t="s">
        <v>72</v>
      </c>
      <c r="AP69" s="67" t="s">
        <v>73</v>
      </c>
      <c r="AQ69" s="67" t="s">
        <v>74</v>
      </c>
      <c r="AR69" s="110" t="s">
        <v>11</v>
      </c>
      <c r="AS69" s="111"/>
    </row>
    <row r="70" spans="1:53" ht="21.75" customHeight="1" x14ac:dyDescent="0.25">
      <c r="C70" s="112" t="s">
        <v>0</v>
      </c>
      <c r="D70" s="113"/>
      <c r="E70" s="64">
        <v>239</v>
      </c>
      <c r="F70" s="64">
        <v>222</v>
      </c>
      <c r="G70" s="64">
        <v>5</v>
      </c>
      <c r="H70" s="64">
        <v>233</v>
      </c>
      <c r="I70" s="64">
        <v>247</v>
      </c>
      <c r="J70" s="64">
        <v>6</v>
      </c>
      <c r="K70" s="64">
        <v>237</v>
      </c>
      <c r="L70" s="64">
        <v>256</v>
      </c>
      <c r="M70" s="64">
        <v>9</v>
      </c>
      <c r="N70" s="64">
        <v>12</v>
      </c>
      <c r="O70" s="64">
        <v>268</v>
      </c>
      <c r="P70" s="64">
        <v>9</v>
      </c>
      <c r="Q70" s="64">
        <v>9</v>
      </c>
      <c r="R70" s="64">
        <v>253</v>
      </c>
      <c r="S70" s="64">
        <v>9</v>
      </c>
      <c r="T70" s="64">
        <v>8</v>
      </c>
      <c r="U70" s="64">
        <v>228</v>
      </c>
      <c r="V70" s="64">
        <v>6</v>
      </c>
      <c r="W70" s="64">
        <v>6</v>
      </c>
      <c r="X70" s="64">
        <v>217</v>
      </c>
      <c r="Y70" s="64">
        <v>6</v>
      </c>
      <c r="Z70" s="64">
        <v>4</v>
      </c>
      <c r="AA70" s="64">
        <v>249</v>
      </c>
      <c r="AB70" s="64">
        <v>5</v>
      </c>
      <c r="AC70" s="64">
        <v>255</v>
      </c>
      <c r="AD70" s="64">
        <v>224</v>
      </c>
      <c r="AE70" s="64">
        <v>4</v>
      </c>
      <c r="AF70" s="64">
        <v>4</v>
      </c>
      <c r="AG70" s="64">
        <v>253</v>
      </c>
      <c r="AH70" s="64">
        <v>4</v>
      </c>
      <c r="AI70" s="64">
        <v>4</v>
      </c>
      <c r="AJ70" s="64">
        <v>250</v>
      </c>
      <c r="AK70" s="64">
        <v>4</v>
      </c>
      <c r="AL70" s="64">
        <v>4</v>
      </c>
      <c r="AM70" s="64">
        <v>5</v>
      </c>
      <c r="AN70" s="64">
        <v>4</v>
      </c>
      <c r="AO70" s="64">
        <v>3</v>
      </c>
      <c r="AP70" s="64">
        <v>4</v>
      </c>
      <c r="AQ70" s="64">
        <v>3</v>
      </c>
      <c r="AR70" s="65">
        <f>SUM(E70:AQ70)</f>
        <v>3768</v>
      </c>
      <c r="AS70" s="66" t="s">
        <v>2</v>
      </c>
    </row>
    <row r="71" spans="1:53" ht="21.75" customHeight="1" x14ac:dyDescent="0.25">
      <c r="C71" s="102" t="s">
        <v>17</v>
      </c>
      <c r="D71" s="103"/>
      <c r="E71" s="3">
        <f>AT11+AT12</f>
        <v>239</v>
      </c>
      <c r="F71" s="3">
        <f>AT13+AT14</f>
        <v>222</v>
      </c>
      <c r="G71" s="3">
        <f>AT15</f>
        <v>5</v>
      </c>
      <c r="H71" s="3">
        <f>AT16+AT17</f>
        <v>233</v>
      </c>
      <c r="I71" s="3">
        <f>AT18+AT19</f>
        <v>247</v>
      </c>
      <c r="J71" s="3">
        <f>AT20</f>
        <v>6</v>
      </c>
      <c r="K71" s="36">
        <f>AT21+AT22</f>
        <v>237</v>
      </c>
      <c r="L71" s="3">
        <f>AT23+AT24</f>
        <v>256</v>
      </c>
      <c r="M71" s="3">
        <f>AT25</f>
        <v>9</v>
      </c>
      <c r="N71" s="3">
        <f>AT26</f>
        <v>12</v>
      </c>
      <c r="O71" s="3">
        <f>AT27+AT28</f>
        <v>268</v>
      </c>
      <c r="P71" s="3">
        <f>AT29</f>
        <v>9</v>
      </c>
      <c r="Q71" s="3">
        <f>AT30</f>
        <v>9</v>
      </c>
      <c r="R71" s="3">
        <f>AT31+AT32</f>
        <v>253</v>
      </c>
      <c r="S71" s="3">
        <f>AT33</f>
        <v>9</v>
      </c>
      <c r="T71" s="3">
        <f>AT34</f>
        <v>8</v>
      </c>
      <c r="U71" s="3">
        <f>AT35+AT36</f>
        <v>228</v>
      </c>
      <c r="V71" s="64">
        <f>AT37</f>
        <v>6</v>
      </c>
      <c r="W71" s="64">
        <f>AT38</f>
        <v>6</v>
      </c>
      <c r="X71" s="3">
        <f>AT39+AT40</f>
        <v>217</v>
      </c>
      <c r="Y71" s="64">
        <f>AT41</f>
        <v>6</v>
      </c>
      <c r="Z71" s="64">
        <f>AT42</f>
        <v>4</v>
      </c>
      <c r="AA71" s="3">
        <f>AT43+AT44</f>
        <v>249</v>
      </c>
      <c r="AB71" s="3">
        <f>AT45</f>
        <v>5</v>
      </c>
      <c r="AC71" s="3">
        <f>AT46+AT47</f>
        <v>255</v>
      </c>
      <c r="AD71" s="36">
        <f>AT48+AT49</f>
        <v>224</v>
      </c>
      <c r="AE71" s="64">
        <f>AT50</f>
        <v>4</v>
      </c>
      <c r="AF71" s="64">
        <f>AT51</f>
        <v>4</v>
      </c>
      <c r="AG71" s="3">
        <f>AT52+AT53</f>
        <v>253</v>
      </c>
      <c r="AH71" s="64">
        <f>AT54</f>
        <v>4</v>
      </c>
      <c r="AI71" s="64">
        <f>AT55</f>
        <v>4</v>
      </c>
      <c r="AJ71" s="3">
        <f>AT56+AT57</f>
        <v>250</v>
      </c>
      <c r="AK71" s="64">
        <f>AT58</f>
        <v>4</v>
      </c>
      <c r="AL71" s="64">
        <f>AT59</f>
        <v>4</v>
      </c>
      <c r="AM71" s="64">
        <f>AT60</f>
        <v>5</v>
      </c>
      <c r="AN71" s="64">
        <f>AT61</f>
        <v>4</v>
      </c>
      <c r="AO71" s="64">
        <f>AT62</f>
        <v>3</v>
      </c>
      <c r="AP71" s="64">
        <f>AT63</f>
        <v>4</v>
      </c>
      <c r="AQ71" s="64">
        <f>AT64</f>
        <v>3</v>
      </c>
      <c r="AR71" s="3">
        <f>SUM(E71:AQ71)</f>
        <v>3768</v>
      </c>
      <c r="AS71" s="4" t="s">
        <v>2</v>
      </c>
    </row>
    <row r="72" spans="1:53" ht="21.75" customHeight="1" x14ac:dyDescent="0.25">
      <c r="C72" s="102" t="s">
        <v>18</v>
      </c>
      <c r="D72" s="103"/>
      <c r="E72" s="36">
        <f t="shared" ref="E72:AG72" si="134">E71-E70</f>
        <v>0</v>
      </c>
      <c r="F72" s="36">
        <f t="shared" si="134"/>
        <v>0</v>
      </c>
      <c r="G72" s="36">
        <f t="shared" si="134"/>
        <v>0</v>
      </c>
      <c r="H72" s="36">
        <f t="shared" si="134"/>
        <v>0</v>
      </c>
      <c r="I72" s="36">
        <f t="shared" si="134"/>
        <v>0</v>
      </c>
      <c r="J72" s="36">
        <f t="shared" si="134"/>
        <v>0</v>
      </c>
      <c r="K72" s="36">
        <f t="shared" si="134"/>
        <v>0</v>
      </c>
      <c r="L72" s="36">
        <f t="shared" si="134"/>
        <v>0</v>
      </c>
      <c r="M72" s="36">
        <f t="shared" si="134"/>
        <v>0</v>
      </c>
      <c r="N72" s="36">
        <f t="shared" si="134"/>
        <v>0</v>
      </c>
      <c r="O72" s="36">
        <f t="shared" si="134"/>
        <v>0</v>
      </c>
      <c r="P72" s="36">
        <f t="shared" si="134"/>
        <v>0</v>
      </c>
      <c r="Q72" s="36">
        <f t="shared" si="134"/>
        <v>0</v>
      </c>
      <c r="R72" s="36">
        <f t="shared" si="134"/>
        <v>0</v>
      </c>
      <c r="S72" s="36">
        <f t="shared" si="134"/>
        <v>0</v>
      </c>
      <c r="T72" s="36">
        <f t="shared" si="134"/>
        <v>0</v>
      </c>
      <c r="U72" s="36">
        <f t="shared" si="134"/>
        <v>0</v>
      </c>
      <c r="V72" s="36">
        <f t="shared" si="134"/>
        <v>0</v>
      </c>
      <c r="W72" s="36">
        <f t="shared" si="134"/>
        <v>0</v>
      </c>
      <c r="X72" s="36">
        <f t="shared" si="134"/>
        <v>0</v>
      </c>
      <c r="Y72" s="36">
        <f t="shared" si="134"/>
        <v>0</v>
      </c>
      <c r="Z72" s="36">
        <f t="shared" si="134"/>
        <v>0</v>
      </c>
      <c r="AA72" s="36">
        <f t="shared" si="134"/>
        <v>0</v>
      </c>
      <c r="AB72" s="36">
        <f t="shared" si="134"/>
        <v>0</v>
      </c>
      <c r="AC72" s="36">
        <f t="shared" si="134"/>
        <v>0</v>
      </c>
      <c r="AD72" s="36">
        <f t="shared" si="134"/>
        <v>0</v>
      </c>
      <c r="AE72" s="36">
        <f t="shared" si="134"/>
        <v>0</v>
      </c>
      <c r="AF72" s="36">
        <f t="shared" si="134"/>
        <v>0</v>
      </c>
      <c r="AG72" s="36">
        <f t="shared" si="134"/>
        <v>0</v>
      </c>
      <c r="AH72" s="36">
        <f t="shared" ref="AH72" si="135">AH71-AH70</f>
        <v>0</v>
      </c>
      <c r="AI72" s="36">
        <f t="shared" ref="AI72:AJ72" si="136">AI71-AI70</f>
        <v>0</v>
      </c>
      <c r="AJ72" s="36">
        <f t="shared" si="136"/>
        <v>0</v>
      </c>
      <c r="AK72" s="36">
        <f t="shared" ref="AK72:AQ72" si="137">AK71-AK70</f>
        <v>0</v>
      </c>
      <c r="AL72" s="36">
        <f t="shared" si="137"/>
        <v>0</v>
      </c>
      <c r="AM72" s="36">
        <f t="shared" ref="AM72" si="138">AM71-AM70</f>
        <v>0</v>
      </c>
      <c r="AN72" s="36">
        <f t="shared" si="137"/>
        <v>0</v>
      </c>
      <c r="AO72" s="36">
        <f t="shared" ref="AO72" si="139">AO71-AO70</f>
        <v>0</v>
      </c>
      <c r="AP72" s="36">
        <f t="shared" si="137"/>
        <v>0</v>
      </c>
      <c r="AQ72" s="36">
        <f t="shared" si="137"/>
        <v>0</v>
      </c>
      <c r="AR72" s="3">
        <f>SUM(E72:AQ72)</f>
        <v>0</v>
      </c>
      <c r="AS72" s="4" t="s">
        <v>2</v>
      </c>
    </row>
    <row r="73" spans="1:53" ht="21.75" customHeight="1" thickBot="1" x14ac:dyDescent="0.3">
      <c r="C73" s="104" t="s">
        <v>5</v>
      </c>
      <c r="D73" s="105"/>
      <c r="E73" s="37">
        <f>E72/E70*100</f>
        <v>0</v>
      </c>
      <c r="F73" s="37">
        <f t="shared" ref="F73:AJ73" si="140">F72/F70*100</f>
        <v>0</v>
      </c>
      <c r="G73" s="37">
        <v>0</v>
      </c>
      <c r="H73" s="37">
        <f t="shared" si="140"/>
        <v>0</v>
      </c>
      <c r="I73" s="37">
        <f t="shared" si="140"/>
        <v>0</v>
      </c>
      <c r="J73" s="37">
        <v>0</v>
      </c>
      <c r="K73" s="37">
        <f t="shared" si="140"/>
        <v>0</v>
      </c>
      <c r="L73" s="37">
        <f t="shared" si="140"/>
        <v>0</v>
      </c>
      <c r="M73" s="37">
        <v>0</v>
      </c>
      <c r="N73" s="37">
        <v>0</v>
      </c>
      <c r="O73" s="37">
        <f t="shared" si="140"/>
        <v>0</v>
      </c>
      <c r="P73" s="37">
        <v>0</v>
      </c>
      <c r="Q73" s="37">
        <v>0</v>
      </c>
      <c r="R73" s="37">
        <f t="shared" si="140"/>
        <v>0</v>
      </c>
      <c r="S73" s="37">
        <v>0</v>
      </c>
      <c r="T73" s="37">
        <v>0</v>
      </c>
      <c r="U73" s="37">
        <f t="shared" si="140"/>
        <v>0</v>
      </c>
      <c r="V73" s="37">
        <v>0</v>
      </c>
      <c r="W73" s="37">
        <v>0</v>
      </c>
      <c r="X73" s="37">
        <f t="shared" si="140"/>
        <v>0</v>
      </c>
      <c r="Y73" s="37">
        <v>0</v>
      </c>
      <c r="Z73" s="37">
        <v>0</v>
      </c>
      <c r="AA73" s="37">
        <f t="shared" si="140"/>
        <v>0</v>
      </c>
      <c r="AB73" s="37">
        <v>0</v>
      </c>
      <c r="AC73" s="37">
        <f t="shared" si="140"/>
        <v>0</v>
      </c>
      <c r="AD73" s="37">
        <f t="shared" si="140"/>
        <v>0</v>
      </c>
      <c r="AE73" s="37">
        <v>0</v>
      </c>
      <c r="AF73" s="37">
        <v>0</v>
      </c>
      <c r="AG73" s="37">
        <f t="shared" si="140"/>
        <v>0</v>
      </c>
      <c r="AH73" s="37">
        <v>0</v>
      </c>
      <c r="AI73" s="37">
        <v>0</v>
      </c>
      <c r="AJ73" s="37">
        <f t="shared" si="140"/>
        <v>0</v>
      </c>
      <c r="AK73" s="37">
        <v>0</v>
      </c>
      <c r="AL73" s="37">
        <v>0</v>
      </c>
      <c r="AM73" s="37">
        <v>0</v>
      </c>
      <c r="AN73" s="37">
        <v>0</v>
      </c>
      <c r="AO73" s="37">
        <v>0</v>
      </c>
      <c r="AP73" s="37">
        <v>0</v>
      </c>
      <c r="AQ73" s="37">
        <v>0</v>
      </c>
      <c r="AR73" s="37">
        <f>AR72/AR70*100</f>
        <v>0</v>
      </c>
      <c r="AS73" s="38" t="s">
        <v>6</v>
      </c>
    </row>
    <row r="74" spans="1:53" ht="20.25" customHeight="1" x14ac:dyDescent="0.25"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</row>
    <row r="75" spans="1:53" x14ac:dyDescent="0.25">
      <c r="A75" s="6" t="s">
        <v>78</v>
      </c>
      <c r="D75" s="6"/>
      <c r="E75" s="7"/>
      <c r="F75" s="7"/>
      <c r="G75" s="5"/>
      <c r="H75" s="5"/>
      <c r="I75" s="5"/>
      <c r="J75" s="5"/>
      <c r="K75" s="5"/>
      <c r="L75" s="5"/>
      <c r="M75" s="5">
        <f>57*39*23*AS65/1000000</f>
        <v>10.788219</v>
      </c>
      <c r="N75" s="5" t="s">
        <v>80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101"/>
      <c r="AR75" s="101"/>
      <c r="AS75" s="101"/>
      <c r="AT75" s="101"/>
    </row>
    <row r="76" spans="1:53" x14ac:dyDescent="0.25">
      <c r="A76" s="6" t="s">
        <v>76</v>
      </c>
      <c r="D76" s="6"/>
      <c r="E76" s="7"/>
      <c r="F76" s="7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40" t="s">
        <v>32</v>
      </c>
      <c r="AO76" s="40"/>
      <c r="AP76" s="40"/>
      <c r="AQ76" s="40"/>
      <c r="AR76" s="40">
        <f>AS65-AR77</f>
        <v>182</v>
      </c>
      <c r="AS76" s="40"/>
      <c r="AT76" s="40"/>
    </row>
    <row r="77" spans="1:53" x14ac:dyDescent="0.25">
      <c r="A77" s="6"/>
      <c r="B77" s="6"/>
      <c r="C77" s="8"/>
      <c r="E77" s="9"/>
      <c r="F77" s="10"/>
      <c r="G77" s="11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40" t="s">
        <v>33</v>
      </c>
      <c r="AO77" s="40"/>
      <c r="AP77" s="40"/>
      <c r="AQ77" s="40"/>
      <c r="AR77" s="40">
        <v>29</v>
      </c>
      <c r="AS77" s="40"/>
      <c r="AT77" s="39"/>
    </row>
    <row r="78" spans="1:53" x14ac:dyDescent="0.25">
      <c r="A78" s="6"/>
      <c r="B78" s="6"/>
      <c r="C78" s="12"/>
      <c r="E78" s="9"/>
      <c r="F78" s="10"/>
      <c r="G78" s="5"/>
      <c r="H78" s="11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</row>
    <row r="79" spans="1:53" x14ac:dyDescent="0.25">
      <c r="A79" s="6" t="s">
        <v>34</v>
      </c>
      <c r="B79" s="6"/>
      <c r="C79" s="8"/>
      <c r="D79" s="2">
        <f>AX67</f>
        <v>2693.12</v>
      </c>
      <c r="E79" s="9" t="s">
        <v>24</v>
      </c>
    </row>
    <row r="80" spans="1:53" x14ac:dyDescent="0.25">
      <c r="A80" s="6" t="s">
        <v>35</v>
      </c>
      <c r="B80" s="6"/>
      <c r="C80" s="12"/>
      <c r="D80" s="2">
        <f>AY67</f>
        <v>2482.12</v>
      </c>
      <c r="E80" s="9" t="s">
        <v>24</v>
      </c>
    </row>
  </sheetData>
  <mergeCells count="27">
    <mergeCell ref="AZ9:AZ10"/>
    <mergeCell ref="BA9:BA10"/>
    <mergeCell ref="AQ75:AT75"/>
    <mergeCell ref="C72:D72"/>
    <mergeCell ref="C73:D73"/>
    <mergeCell ref="C71:D71"/>
    <mergeCell ref="A65:D65"/>
    <mergeCell ref="A67:AT67"/>
    <mergeCell ref="C69:D69"/>
    <mergeCell ref="AR69:AS69"/>
    <mergeCell ref="C70:D70"/>
    <mergeCell ref="AT9:AT10"/>
    <mergeCell ref="AS9:AS10"/>
    <mergeCell ref="AV9:AV10"/>
    <mergeCell ref="AW9:AW10"/>
    <mergeCell ref="AX9:AX10"/>
    <mergeCell ref="AY9:AY10"/>
    <mergeCell ref="A1:AT1"/>
    <mergeCell ref="A2:AT2"/>
    <mergeCell ref="AS3:AT3"/>
    <mergeCell ref="C4:D4"/>
    <mergeCell ref="C5:D5"/>
    <mergeCell ref="C6:D6"/>
    <mergeCell ref="A9:C10"/>
    <mergeCell ref="D9:D10"/>
    <mergeCell ref="E9:AQ9"/>
    <mergeCell ref="AR9:AR10"/>
  </mergeCells>
  <printOptions horizontalCentered="1"/>
  <pageMargins left="0" right="0" top="0" bottom="0" header="0.3" footer="0"/>
  <pageSetup scale="40" orientation="landscape" r:id="rId1"/>
  <headerFooter>
    <oddHeader>&amp;R&amp;"+,Regular"Pages : 1 of 40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Packing List (5)</vt:lpstr>
      <vt:lpstr>'Packing List (5)'!Print_Area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</dc:creator>
  <cp:lastModifiedBy>Packing CCL1-B</cp:lastModifiedBy>
  <cp:lastPrinted>2026-07-08T09:40:45Z</cp:lastPrinted>
  <dcterms:created xsi:type="dcterms:W3CDTF">2012-05-29T11:19:40Z</dcterms:created>
  <dcterms:modified xsi:type="dcterms:W3CDTF">2026-10-13T10:15:22Z</dcterms:modified>
</cp:coreProperties>
</file>