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HAZRAT ALI (H)\VF ASIA PACKING LIST\2026\112395911\"/>
    </mc:Choice>
  </mc:AlternateContent>
  <xr:revisionPtr revIDLastSave="0" documentId="13_ncr:1_{AE879FCE-5EE7-42C9-A3CF-3AD4874A1887}" xr6:coauthVersionLast="47" xr6:coauthVersionMax="47" xr10:uidLastSave="{00000000-0000-0000-0000-000000000000}"/>
  <bookViews>
    <workbookView xWindow="-120" yWindow="-120" windowWidth="20730" windowHeight="11160" tabRatio="704" xr2:uid="{00000000-000D-0000-FFFF-FFFF00000000}"/>
  </bookViews>
  <sheets>
    <sheet name="Packing list (2)" sheetId="35" r:id="rId1"/>
  </sheets>
  <definedNames>
    <definedName name="_xlnm._FilterDatabase" localSheetId="0" hidden="1">'Packing list (2)'!#REF!</definedName>
    <definedName name="_xlnm.Print_Area" localSheetId="0">'Packing list (2)'!$A$1:$X$54</definedName>
  </definedNames>
  <calcPr calcId="191029"/>
</workbook>
</file>

<file path=xl/calcChain.xml><?xml version="1.0" encoding="utf-8"?>
<calcChain xmlns="http://schemas.openxmlformats.org/spreadsheetml/2006/main">
  <c r="Q12" i="35" l="1"/>
  <c r="C12" i="35"/>
  <c r="A14" i="35" s="1"/>
  <c r="C14" i="35" s="1"/>
  <c r="A16" i="35" s="1"/>
  <c r="C16" i="35" s="1"/>
  <c r="A18" i="35" s="1"/>
  <c r="C18" i="35" s="1"/>
  <c r="A20" i="35" s="1"/>
  <c r="U27" i="35"/>
  <c r="W27" i="35" s="1"/>
  <c r="V27" i="35"/>
  <c r="U21" i="35"/>
  <c r="W21" i="35" s="1"/>
  <c r="V21" i="35"/>
  <c r="U19" i="35"/>
  <c r="W19" i="35" s="1"/>
  <c r="V19" i="35"/>
  <c r="U17" i="35"/>
  <c r="W17" i="35" s="1"/>
  <c r="V17" i="35"/>
  <c r="U15" i="35"/>
  <c r="W15" i="35" s="1"/>
  <c r="V15" i="35"/>
  <c r="T27" i="35"/>
  <c r="T21" i="35"/>
  <c r="T19" i="35"/>
  <c r="T17" i="35"/>
  <c r="T15" i="35"/>
  <c r="Q19" i="35"/>
  <c r="S19" i="35" s="1"/>
  <c r="Q20" i="35"/>
  <c r="S20" i="35" s="1"/>
  <c r="Q21" i="35"/>
  <c r="S21" i="35" s="1"/>
  <c r="Q22" i="35"/>
  <c r="S22" i="35" s="1"/>
  <c r="Q24" i="35"/>
  <c r="S24" i="35" s="1"/>
  <c r="Q26" i="35"/>
  <c r="S26" i="35" s="1"/>
  <c r="Q27" i="35"/>
  <c r="S27" i="35" s="1"/>
  <c r="Q28" i="35"/>
  <c r="S28" i="35" s="1"/>
  <c r="Q18" i="35"/>
  <c r="S18" i="35" s="1"/>
  <c r="Q17" i="35"/>
  <c r="S17" i="35" s="1"/>
  <c r="Q15" i="35"/>
  <c r="S15" i="35" s="1"/>
  <c r="R36" i="35"/>
  <c r="Q3" i="35" s="1"/>
  <c r="O34" i="35"/>
  <c r="N34" i="35"/>
  <c r="M34" i="35"/>
  <c r="L34" i="35"/>
  <c r="K34" i="35"/>
  <c r="J34" i="35"/>
  <c r="I34" i="35"/>
  <c r="H34" i="35"/>
  <c r="G34" i="35"/>
  <c r="R31" i="35"/>
  <c r="Q7" i="35" s="1"/>
  <c r="V28" i="35"/>
  <c r="U28" i="35"/>
  <c r="W28" i="35" s="1"/>
  <c r="V26" i="35"/>
  <c r="U26" i="35"/>
  <c r="W26" i="35" s="1"/>
  <c r="V24" i="35"/>
  <c r="U24" i="35"/>
  <c r="W24" i="35" s="1"/>
  <c r="V22" i="35"/>
  <c r="U22" i="35"/>
  <c r="W22" i="35" s="1"/>
  <c r="V20" i="35"/>
  <c r="U20" i="35"/>
  <c r="V18" i="35"/>
  <c r="U18" i="35"/>
  <c r="W18" i="35" s="1"/>
  <c r="V16" i="35"/>
  <c r="U16" i="35"/>
  <c r="W16" i="35" s="1"/>
  <c r="Q16" i="35"/>
  <c r="S16" i="35" s="1"/>
  <c r="V14" i="35"/>
  <c r="U14" i="35"/>
  <c r="W14" i="35" s="1"/>
  <c r="Q14" i="35"/>
  <c r="V12" i="35"/>
  <c r="U12" i="35"/>
  <c r="W12" i="35" s="1"/>
  <c r="E11" i="35"/>
  <c r="D11" i="35"/>
  <c r="J31" i="35" l="1"/>
  <c r="J37" i="35" s="1"/>
  <c r="K31" i="35"/>
  <c r="K37" i="35" s="1"/>
  <c r="I31" i="35"/>
  <c r="I37" i="35" s="1"/>
  <c r="L31" i="35"/>
  <c r="L37" i="35" s="1"/>
  <c r="M31" i="35"/>
  <c r="M37" i="35" s="1"/>
  <c r="N31" i="35"/>
  <c r="N37" i="35" s="1"/>
  <c r="O31" i="35"/>
  <c r="O37" i="35" s="1"/>
  <c r="S12" i="35"/>
  <c r="G31" i="35" s="1"/>
  <c r="G37" i="35" s="1"/>
  <c r="C20" i="35"/>
  <c r="A22" i="35" s="1"/>
  <c r="C22" i="35" s="1"/>
  <c r="A24" i="35" s="1"/>
  <c r="C24" i="35" s="1"/>
  <c r="A26" i="35" s="1"/>
  <c r="C26" i="35" s="1"/>
  <c r="A28" i="35" s="1"/>
  <c r="C28" i="35" s="1"/>
  <c r="A15" i="35" s="1"/>
  <c r="A17" i="35" s="1"/>
  <c r="A19" i="35" s="1"/>
  <c r="A21" i="35" s="1"/>
  <c r="A27" i="35" s="1"/>
  <c r="W20" i="35"/>
  <c r="S14" i="35"/>
  <c r="H31" i="35" s="1"/>
  <c r="I35" i="35" l="1"/>
  <c r="I38" i="35"/>
  <c r="N35" i="35"/>
  <c r="N38" i="35"/>
  <c r="L35" i="35"/>
  <c r="L38" i="35"/>
  <c r="K38" i="35"/>
  <c r="K35" i="35"/>
  <c r="M35" i="35"/>
  <c r="M38" i="35"/>
  <c r="J38" i="35"/>
  <c r="J35" i="35"/>
  <c r="O35" i="35"/>
  <c r="O38" i="35"/>
  <c r="H37" i="35"/>
  <c r="G38" i="35"/>
  <c r="G35" i="35"/>
  <c r="V31" i="35"/>
  <c r="T37" i="35" s="1"/>
  <c r="W31" i="35"/>
  <c r="V37" i="35" s="1"/>
  <c r="S31" i="35"/>
  <c r="I39" i="35" l="1"/>
  <c r="I9" i="35"/>
  <c r="L39" i="35"/>
  <c r="L9" i="35"/>
  <c r="N9" i="35"/>
  <c r="N39" i="35"/>
  <c r="M39" i="35"/>
  <c r="M9" i="35"/>
  <c r="K39" i="35"/>
  <c r="K9" i="35"/>
  <c r="J9" i="35"/>
  <c r="J39" i="35"/>
  <c r="O39" i="35"/>
  <c r="O9" i="35"/>
  <c r="H38" i="35"/>
  <c r="H35" i="35"/>
  <c r="R35" i="35" s="1"/>
  <c r="R37" i="35"/>
  <c r="Q4" i="35" s="1"/>
  <c r="G39" i="35"/>
  <c r="G9" i="35"/>
  <c r="Q5" i="35" l="1"/>
  <c r="Q6" i="35" s="1"/>
  <c r="R38" i="35"/>
  <c r="R39" i="35" s="1"/>
  <c r="H39" i="35"/>
  <c r="H9" i="35"/>
</calcChain>
</file>

<file path=xl/sharedStrings.xml><?xml version="1.0" encoding="utf-8"?>
<sst xmlns="http://schemas.openxmlformats.org/spreadsheetml/2006/main" count="113" uniqueCount="70">
  <si>
    <t>CASE LABEL NO.</t>
  </si>
  <si>
    <t>COLOR</t>
  </si>
  <si>
    <t>SIZE</t>
  </si>
  <si>
    <t>TOTAL CTN</t>
  </si>
  <si>
    <t>TOTAL PCS</t>
  </si>
  <si>
    <t>PERCENTAGE</t>
  </si>
  <si>
    <t>SUMMARY : COLOR &amp; SIZEWISE BREAKDOWN</t>
  </si>
  <si>
    <t>CUT QTY</t>
  </si>
  <si>
    <t>ORDER QTY</t>
  </si>
  <si>
    <t>SHIP QTY</t>
  </si>
  <si>
    <t>EXS/SHT QTY</t>
  </si>
  <si>
    <t>CTN PCS</t>
  </si>
  <si>
    <t xml:space="preserve">        PCS</t>
  </si>
  <si>
    <t xml:space="preserve">          %</t>
  </si>
  <si>
    <t>TOTAL</t>
  </si>
  <si>
    <t>Grs,wt,pr ctn</t>
  </si>
  <si>
    <t>Net,wt,pr ctn</t>
  </si>
  <si>
    <t xml:space="preserve">                   </t>
  </si>
  <si>
    <t>Grand Total gross weight  kg</t>
  </si>
  <si>
    <t>Grand Total Netweight kg</t>
  </si>
  <si>
    <t>G Total</t>
  </si>
  <si>
    <t>-</t>
  </si>
  <si>
    <t>PACK QTY</t>
  </si>
  <si>
    <t>EXCESS/SHORT QTY</t>
  </si>
  <si>
    <t xml:space="preserve"> DHL Supply Chain </t>
  </si>
  <si>
    <t>STYLE</t>
  </si>
  <si>
    <t>PO</t>
  </si>
  <si>
    <t>:</t>
  </si>
  <si>
    <t>KONTOOR ASIA TRADING LIMITED</t>
  </si>
  <si>
    <t>CARTON QTY.</t>
  </si>
  <si>
    <t>Overship Tolerance:</t>
  </si>
  <si>
    <t>Undership Tolerance:</t>
  </si>
  <si>
    <t>Style          :</t>
  </si>
  <si>
    <t xml:space="preserve">SHIPING MARKS </t>
  </si>
  <si>
    <t>KONTOOR US, LLC</t>
  </si>
  <si>
    <t>SEMINOLE DISTRIBUTION CENTER</t>
  </si>
  <si>
    <t>1400 WEST WRANGLER BLVD</t>
  </si>
  <si>
    <t xml:space="preserve">KONTOOR DISTRIBUTION CTR- SEMINOLE </t>
  </si>
  <si>
    <t>SEMINOLE OK 74868</t>
  </si>
  <si>
    <t>US</t>
  </si>
  <si>
    <t>Particulars</t>
  </si>
  <si>
    <t>Test report</t>
  </si>
  <si>
    <t xml:space="preserve">PO Sheet </t>
  </si>
  <si>
    <t>CTL comments</t>
  </si>
  <si>
    <t>Irregular</t>
  </si>
  <si>
    <t>Ok</t>
  </si>
  <si>
    <t>No Ok</t>
  </si>
  <si>
    <t>P.O NO      :</t>
  </si>
  <si>
    <t>"</t>
  </si>
  <si>
    <t>BUYER      :</t>
  </si>
  <si>
    <t>Total,Grs,wt</t>
  </si>
  <si>
    <t>Total net,wt</t>
  </si>
  <si>
    <t>CREATIVE COLLECTIONS LTD. U-03</t>
  </si>
  <si>
    <t>TOP</t>
  </si>
  <si>
    <t>25 CTN CHECK</t>
  </si>
  <si>
    <t>10 HL</t>
  </si>
  <si>
    <t>1 HL</t>
  </si>
  <si>
    <t>COC</t>
  </si>
  <si>
    <t>MOISTURE</t>
  </si>
  <si>
    <t>V-CODE &amp; FWL</t>
  </si>
  <si>
    <t>PRE-FINAL(BY MAIL)</t>
  </si>
  <si>
    <t>AQL</t>
  </si>
  <si>
    <t xml:space="preserve">                                                       PACKING LIST DETAILS.                                            DATE: 2/1/2026</t>
  </si>
  <si>
    <t>Goods Description: 99% CTN 1% ELT WOMENS WOV JEANS</t>
  </si>
  <si>
    <t>CTN TYPE : T 11</t>
  </si>
  <si>
    <t>450203495700100</t>
  </si>
  <si>
    <t>112395911</t>
  </si>
  <si>
    <t>DESCRIPTION:  HR BOOTCUT</t>
  </si>
  <si>
    <t>CTN MEASUR: 24X13X11 INCH</t>
  </si>
  <si>
    <t xml:space="preserve"> IVY_DYE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</si>
</sst>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%"/>
  </numFmts>
  <fonts count="27" x14ac:knownFonts="1">
    <font>
      <sz val="10"/>
      <name val="Arial"/>
    </font>
    <font>
      <sz val="10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22"/>
      <name val="Arial"/>
      <family val="2"/>
    </font>
    <font>
      <b/>
      <sz val="26"/>
      <name val="Arial"/>
      <family val="2"/>
    </font>
    <font>
      <b/>
      <sz val="24"/>
      <name val="Arial"/>
      <family val="2"/>
    </font>
    <font>
      <b/>
      <sz val="48"/>
      <name val="Arial"/>
      <family val="2"/>
    </font>
    <font>
      <b/>
      <sz val="28"/>
      <name val="Arial"/>
      <family val="2"/>
    </font>
    <font>
      <sz val="28"/>
      <name val="Arial"/>
      <family val="2"/>
    </font>
    <font>
      <sz val="36"/>
      <name val="Arial"/>
      <family val="2"/>
    </font>
    <font>
      <sz val="30"/>
      <name val="Arial"/>
      <family val="2"/>
    </font>
    <font>
      <b/>
      <sz val="22"/>
      <color rgb="FF000000"/>
      <name val="Verdana"/>
      <family val="2"/>
    </font>
    <font>
      <b/>
      <sz val="20"/>
      <color rgb="FF000000"/>
      <name val="Arial"/>
      <family val="2"/>
    </font>
    <font>
      <sz val="26"/>
      <name val="Arial"/>
      <family val="2"/>
    </font>
    <font>
      <b/>
      <sz val="36"/>
      <name val="Arial"/>
      <family val="2"/>
    </font>
    <font>
      <b/>
      <sz val="36"/>
      <name val="Calibri"/>
      <family val="2"/>
      <scheme val="minor"/>
    </font>
    <font>
      <b/>
      <u/>
      <sz val="20"/>
      <color rgb="FF000000"/>
      <name val="Arial"/>
      <family val="2"/>
    </font>
    <font>
      <sz val="24"/>
      <name val="Arial"/>
      <family val="2"/>
    </font>
    <font>
      <b/>
      <sz val="3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color rgb="FF000000"/>
      <name val="Calibri"/>
      <family val="2"/>
      <scheme val="minor"/>
    </font>
    <font>
      <sz val="3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2" fillId="2" borderId="0" xfId="0" applyFont="1" applyFill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2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" fontId="15" fillId="2" borderId="0" xfId="0" applyNumberFormat="1" applyFont="1" applyFill="1" applyAlignment="1">
      <alignment vertical="center" wrapText="1"/>
    </xf>
    <xf numFmtId="2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0" fontId="6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9" fontId="9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1" fontId="11" fillId="2" borderId="0" xfId="0" applyNumberFormat="1" applyFont="1" applyFill="1" applyAlignment="1">
      <alignment horizontal="left" vertical="center"/>
    </xf>
    <xf numFmtId="49" fontId="18" fillId="2" borderId="0" xfId="0" applyNumberFormat="1" applyFont="1" applyFill="1" applyAlignment="1">
      <alignment vertical="center"/>
    </xf>
    <xf numFmtId="1" fontId="7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9" fontId="9" fillId="2" borderId="11" xfId="0" applyNumberFormat="1" applyFont="1" applyFill="1" applyBorder="1" applyAlignment="1">
      <alignment horizontal="left" vertical="center"/>
    </xf>
    <xf numFmtId="49" fontId="16" fillId="2" borderId="0" xfId="0" applyNumberFormat="1" applyFont="1" applyFill="1" applyAlignment="1">
      <alignment vertical="center" wrapText="1"/>
    </xf>
    <xf numFmtId="0" fontId="19" fillId="2" borderId="19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11" fillId="2" borderId="51" xfId="0" applyFont="1" applyFill="1" applyBorder="1" applyAlignment="1">
      <alignment vertical="center" wrapText="1"/>
    </xf>
    <xf numFmtId="0" fontId="11" fillId="2" borderId="52" xfId="0" applyFont="1" applyFill="1" applyBorder="1" applyAlignment="1">
      <alignment vertical="center" wrapText="1"/>
    </xf>
    <xf numFmtId="43" fontId="17" fillId="2" borderId="52" xfId="1" applyFont="1" applyFill="1" applyBorder="1" applyAlignment="1">
      <alignment horizontal="left" vertical="center"/>
    </xf>
    <xf numFmtId="0" fontId="11" fillId="2" borderId="52" xfId="0" applyFont="1" applyFill="1" applyBorder="1" applyAlignment="1">
      <alignment horizontal="left" vertical="center"/>
    </xf>
    <xf numFmtId="9" fontId="9" fillId="2" borderId="52" xfId="0" applyNumberFormat="1" applyFont="1" applyFill="1" applyBorder="1" applyAlignment="1">
      <alignment horizontal="left" vertical="center"/>
    </xf>
    <xf numFmtId="0" fontId="2" fillId="2" borderId="5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vertical="center" wrapText="1"/>
    </xf>
    <xf numFmtId="43" fontId="17" fillId="2" borderId="11" xfId="1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18" fillId="2" borderId="11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1" fontId="7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vertical="center" wrapText="1"/>
    </xf>
    <xf numFmtId="1" fontId="8" fillId="2" borderId="52" xfId="0" applyNumberFormat="1" applyFont="1" applyFill="1" applyBorder="1" applyAlignment="1">
      <alignment horizontal="center" vertical="center" wrapText="1"/>
    </xf>
    <xf numFmtId="1" fontId="21" fillId="2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49" fontId="19" fillId="2" borderId="18" xfId="0" applyNumberFormat="1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 wrapText="1"/>
    </xf>
    <xf numFmtId="1" fontId="19" fillId="2" borderId="7" xfId="0" applyNumberFormat="1" applyFont="1" applyFill="1" applyBorder="1" applyAlignment="1">
      <alignment horizontal="center" vertical="center" wrapText="1"/>
    </xf>
    <xf numFmtId="2" fontId="19" fillId="2" borderId="13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2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1" fontId="19" fillId="5" borderId="7" xfId="0" applyNumberFormat="1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2" fontId="19" fillId="5" borderId="13" xfId="0" applyNumberFormat="1" applyFont="1" applyFill="1" applyBorder="1" applyAlignment="1">
      <alignment horizontal="center" vertical="center"/>
    </xf>
    <xf numFmtId="2" fontId="19" fillId="5" borderId="8" xfId="0" applyNumberFormat="1" applyFont="1" applyFill="1" applyBorder="1" applyAlignment="1">
      <alignment horizontal="center" vertical="center"/>
    </xf>
    <xf numFmtId="0" fontId="19" fillId="2" borderId="39" xfId="0" applyFont="1" applyFill="1" applyBorder="1" applyAlignment="1">
      <alignment horizontal="center" vertical="center" wrapText="1"/>
    </xf>
    <xf numFmtId="0" fontId="19" fillId="2" borderId="38" xfId="0" applyFont="1" applyFill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/>
    </xf>
    <xf numFmtId="2" fontId="19" fillId="2" borderId="5" xfId="0" applyNumberFormat="1" applyFont="1" applyFill="1" applyBorder="1" applyAlignment="1">
      <alignment horizontal="center" vertical="center"/>
    </xf>
    <xf numFmtId="2" fontId="19" fillId="2" borderId="26" xfId="0" applyNumberFormat="1" applyFont="1" applyFill="1" applyBorder="1" applyAlignment="1">
      <alignment horizontal="center" vertical="center"/>
    </xf>
    <xf numFmtId="2" fontId="19" fillId="2" borderId="41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2" fontId="19" fillId="2" borderId="2" xfId="0" applyNumberFormat="1" applyFont="1" applyFill="1" applyBorder="1" applyAlignment="1">
      <alignment horizontal="center" vertical="center"/>
    </xf>
    <xf numFmtId="2" fontId="19" fillId="2" borderId="3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vertical="center"/>
    </xf>
    <xf numFmtId="0" fontId="19" fillId="2" borderId="16" xfId="0" applyFont="1" applyFill="1" applyBorder="1" applyAlignment="1">
      <alignment horizontal="center" vertical="center"/>
    </xf>
    <xf numFmtId="1" fontId="19" fillId="2" borderId="1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1" fontId="19" fillId="2" borderId="7" xfId="0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 wrapText="1"/>
    </xf>
    <xf numFmtId="0" fontId="19" fillId="2" borderId="14" xfId="0" applyFont="1" applyFill="1" applyBorder="1" applyAlignment="1">
      <alignment vertical="center" wrapText="1"/>
    </xf>
    <xf numFmtId="10" fontId="19" fillId="2" borderId="19" xfId="2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vertical="center"/>
    </xf>
    <xf numFmtId="0" fontId="19" fillId="2" borderId="19" xfId="0" applyFont="1" applyFill="1" applyBorder="1" applyAlignment="1">
      <alignment vertical="center" wrapText="1"/>
    </xf>
    <xf numFmtId="0" fontId="19" fillId="2" borderId="22" xfId="0" applyFont="1" applyFill="1" applyBorder="1" applyAlignment="1">
      <alignment vertical="center" wrapText="1"/>
    </xf>
    <xf numFmtId="165" fontId="23" fillId="2" borderId="19" xfId="2" applyNumberFormat="1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vertical="center"/>
    </xf>
    <xf numFmtId="1" fontId="18" fillId="2" borderId="21" xfId="0" applyNumberFormat="1" applyFont="1" applyFill="1" applyBorder="1" applyAlignment="1">
      <alignment horizontal="left" vertical="center"/>
    </xf>
    <xf numFmtId="1" fontId="18" fillId="2" borderId="42" xfId="0" applyNumberFormat="1" applyFont="1" applyFill="1" applyBorder="1" applyAlignment="1">
      <alignment horizontal="center" vertical="center"/>
    </xf>
    <xf numFmtId="1" fontId="18" fillId="2" borderId="25" xfId="0" applyNumberFormat="1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 wrapText="1"/>
    </xf>
    <xf numFmtId="165" fontId="8" fillId="2" borderId="0" xfId="2" applyNumberFormat="1" applyFont="1" applyFill="1" applyBorder="1" applyAlignment="1">
      <alignment horizontal="center" vertical="center"/>
    </xf>
    <xf numFmtId="49" fontId="25" fillId="2" borderId="0" xfId="0" applyNumberFormat="1" applyFont="1" applyFill="1" applyAlignment="1">
      <alignment vertical="center" wrapText="1"/>
    </xf>
    <xf numFmtId="0" fontId="19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left" vertical="center" wrapText="1"/>
    </xf>
    <xf numFmtId="49" fontId="20" fillId="2" borderId="0" xfId="0" applyNumberFormat="1" applyFont="1" applyFill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 wrapText="1"/>
    </xf>
    <xf numFmtId="1" fontId="19" fillId="6" borderId="7" xfId="0" applyNumberFormat="1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2" fontId="19" fillId="6" borderId="13" xfId="0" applyNumberFormat="1" applyFont="1" applyFill="1" applyBorder="1" applyAlignment="1">
      <alignment horizontal="center" vertical="center"/>
    </xf>
    <xf numFmtId="2" fontId="19" fillId="6" borderId="8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19" fillId="2" borderId="7" xfId="0" applyNumberFormat="1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9" fillId="2" borderId="7" xfId="0" applyFont="1" applyFill="1" applyBorder="1" applyAlignment="1">
      <alignment horizontal="left" vertical="center"/>
    </xf>
    <xf numFmtId="1" fontId="19" fillId="2" borderId="21" xfId="0" applyNumberFormat="1" applyFont="1" applyFill="1" applyBorder="1" applyAlignment="1">
      <alignment horizontal="center" vertical="center"/>
    </xf>
    <xf numFmtId="1" fontId="19" fillId="2" borderId="25" xfId="0" applyNumberFormat="1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0" fontId="19" fillId="2" borderId="16" xfId="2" applyNumberFormat="1" applyFont="1" applyFill="1" applyBorder="1" applyAlignment="1">
      <alignment horizontal="center" vertical="center"/>
    </xf>
    <xf numFmtId="10" fontId="19" fillId="2" borderId="33" xfId="2" applyNumberFormat="1" applyFont="1" applyFill="1" applyBorder="1" applyAlignment="1">
      <alignment horizontal="center" vertical="center"/>
    </xf>
    <xf numFmtId="49" fontId="16" fillId="2" borderId="0" xfId="0" applyNumberFormat="1" applyFont="1" applyFill="1" applyAlignment="1">
      <alignment horizontal="left" vertical="center" wrapText="1"/>
    </xf>
    <xf numFmtId="164" fontId="19" fillId="2" borderId="7" xfId="0" applyNumberFormat="1" applyFont="1" applyFill="1" applyBorder="1" applyAlignment="1">
      <alignment horizontal="center" vertical="center"/>
    </xf>
    <xf numFmtId="1" fontId="18" fillId="2" borderId="7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30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3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 wrapText="1"/>
    </xf>
    <xf numFmtId="0" fontId="19" fillId="2" borderId="28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 wrapText="1"/>
    </xf>
    <xf numFmtId="0" fontId="19" fillId="2" borderId="47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1" fontId="19" fillId="2" borderId="15" xfId="0" applyNumberFormat="1" applyFont="1" applyFill="1" applyBorder="1" applyAlignment="1">
      <alignment horizontal="center" vertical="center"/>
    </xf>
    <xf numFmtId="1" fontId="19" fillId="2" borderId="24" xfId="0" applyNumberFormat="1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9" fillId="2" borderId="30" xfId="0" applyFont="1" applyFill="1" applyBorder="1" applyAlignment="1">
      <alignment horizontal="center" vertical="center" wrapText="1"/>
    </xf>
    <xf numFmtId="0" fontId="19" fillId="2" borderId="32" xfId="0" applyFont="1" applyFill="1" applyBorder="1" applyAlignment="1">
      <alignment horizontal="center" vertical="center" wrapText="1"/>
    </xf>
    <xf numFmtId="0" fontId="19" fillId="2" borderId="33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/>
    </xf>
    <xf numFmtId="0" fontId="11" fillId="2" borderId="0" xfId="1" applyNumberFormat="1" applyFont="1" applyFill="1" applyBorder="1" applyAlignment="1">
      <alignment horizontal="left" vertical="center"/>
    </xf>
    <xf numFmtId="0" fontId="19" fillId="2" borderId="50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49" xfId="0" applyFont="1" applyFill="1" applyBorder="1" applyAlignment="1">
      <alignment vertical="center" wrapText="1"/>
    </xf>
    <xf numFmtId="0" fontId="19" fillId="2" borderId="37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53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54" xfId="0" applyFont="1" applyFill="1" applyBorder="1" applyAlignment="1">
      <alignment horizontal="left" vertical="center" wrapText="1"/>
    </xf>
    <xf numFmtId="0" fontId="8" fillId="2" borderId="47" xfId="0" applyFont="1" applyFill="1" applyBorder="1" applyAlignment="1">
      <alignment horizontal="left" vertical="center" wrapText="1"/>
    </xf>
    <xf numFmtId="0" fontId="8" fillId="2" borderId="48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11" fillId="2" borderId="34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18" fillId="2" borderId="0" xfId="0" quotePrefix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4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55"/>
  <sheetViews>
    <sheetView tabSelected="1" view="pageBreakPreview" topLeftCell="A3" zoomScale="25" zoomScaleNormal="80" zoomScaleSheetLayoutView="25" workbookViewId="0">
      <pane ySplit="9" topLeftCell="A21" activePane="bottomLeft" state="frozen"/>
      <selection activeCell="A3" sqref="A3"/>
      <selection pane="bottomLeft" activeCell="A27" sqref="A27:C27"/>
    </sheetView>
  </sheetViews>
  <sheetFormatPr defaultColWidth="0.140625" defaultRowHeight="23.25" x14ac:dyDescent="0.2"/>
  <cols>
    <col min="1" max="1" width="39.140625" style="64" customWidth="1"/>
    <col min="2" max="2" width="4.140625" style="64" customWidth="1"/>
    <col min="3" max="3" width="38.7109375" style="64" customWidth="1"/>
    <col min="4" max="4" width="32.42578125" style="64" customWidth="1"/>
    <col min="5" max="5" width="35.140625" style="64" customWidth="1"/>
    <col min="6" max="6" width="28.85546875" style="50" customWidth="1"/>
    <col min="7" max="15" width="32.28515625" style="50" customWidth="1"/>
    <col min="16" max="16" width="8.7109375" style="50" customWidth="1"/>
    <col min="17" max="17" width="22.5703125" style="50" customWidth="1"/>
    <col min="18" max="18" width="19.7109375" style="50" customWidth="1"/>
    <col min="19" max="19" width="22.42578125" style="50" customWidth="1"/>
    <col min="20" max="20" width="18.5703125" style="50" customWidth="1"/>
    <col min="21" max="21" width="26.5703125" style="50" customWidth="1"/>
    <col min="22" max="22" width="30.5703125" style="50" customWidth="1"/>
    <col min="23" max="23" width="29.28515625" style="50" customWidth="1"/>
    <col min="24" max="34" width="0.140625" style="50" hidden="1" customWidth="1"/>
    <col min="35" max="16384" width="0.140625" style="51"/>
  </cols>
  <sheetData>
    <row r="1" spans="1:34" ht="60.75" thickBot="1" x14ac:dyDescent="0.25">
      <c r="A1" s="203" t="s">
        <v>52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</row>
    <row r="2" spans="1:34" ht="30.75" thickBot="1" x14ac:dyDescent="0.25">
      <c r="A2" s="204" t="s">
        <v>62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6"/>
    </row>
    <row r="3" spans="1:34" ht="43.5" customHeight="1" x14ac:dyDescent="0.2">
      <c r="A3" s="16" t="s">
        <v>49</v>
      </c>
      <c r="B3" s="127"/>
      <c r="C3" s="127"/>
      <c r="D3" s="127" t="s">
        <v>28</v>
      </c>
      <c r="E3" s="127"/>
      <c r="F3" s="127"/>
      <c r="G3" s="127"/>
      <c r="H3" s="1"/>
      <c r="I3" s="1"/>
      <c r="J3" s="1"/>
      <c r="K3" s="1"/>
      <c r="L3" s="14" t="s">
        <v>8</v>
      </c>
      <c r="M3" s="14"/>
      <c r="N3" s="14"/>
      <c r="O3" s="1"/>
      <c r="P3" s="14" t="s">
        <v>27</v>
      </c>
      <c r="Q3" s="17">
        <f>+R36</f>
        <v>3000</v>
      </c>
      <c r="R3" s="14" t="s">
        <v>12</v>
      </c>
      <c r="S3" s="14"/>
      <c r="T3" s="194"/>
      <c r="U3" s="194"/>
      <c r="V3" s="194"/>
      <c r="W3" s="2"/>
    </row>
    <row r="4" spans="1:34" ht="43.5" customHeight="1" thickBot="1" x14ac:dyDescent="0.25">
      <c r="A4" s="16" t="s">
        <v>32</v>
      </c>
      <c r="B4" s="127"/>
      <c r="C4" s="127"/>
      <c r="D4" s="207" t="s">
        <v>66</v>
      </c>
      <c r="E4" s="208"/>
      <c r="F4" s="208"/>
      <c r="G4" s="208"/>
      <c r="H4" s="203" t="s">
        <v>64</v>
      </c>
      <c r="I4" s="203"/>
      <c r="J4" s="203"/>
      <c r="K4" s="128"/>
      <c r="L4" s="14" t="s">
        <v>22</v>
      </c>
      <c r="M4" s="14"/>
      <c r="N4" s="14"/>
      <c r="O4" s="1"/>
      <c r="P4" s="14" t="s">
        <v>27</v>
      </c>
      <c r="Q4" s="17">
        <f>+R37</f>
        <v>1164</v>
      </c>
      <c r="R4" s="14" t="s">
        <v>12</v>
      </c>
      <c r="S4" s="14"/>
      <c r="T4" s="1"/>
      <c r="U4" s="194"/>
      <c r="V4" s="194"/>
      <c r="W4" s="2"/>
    </row>
    <row r="5" spans="1:34" ht="43.5" customHeight="1" thickBot="1" x14ac:dyDescent="0.25">
      <c r="A5" s="16" t="s">
        <v>47</v>
      </c>
      <c r="B5" s="127"/>
      <c r="C5" s="127"/>
      <c r="D5" s="18" t="s">
        <v>65</v>
      </c>
      <c r="E5" s="127"/>
      <c r="F5" s="18"/>
      <c r="G5" s="18"/>
      <c r="H5" s="203"/>
      <c r="I5" s="203"/>
      <c r="J5" s="203"/>
      <c r="K5" s="43"/>
      <c r="L5" s="20" t="s">
        <v>23</v>
      </c>
      <c r="M5" s="20"/>
      <c r="N5" s="20"/>
      <c r="O5" s="1"/>
      <c r="P5" s="14" t="s">
        <v>27</v>
      </c>
      <c r="Q5" s="17">
        <f>Q4-Q3</f>
        <v>-1836</v>
      </c>
      <c r="R5" s="14" t="s">
        <v>12</v>
      </c>
      <c r="S5" s="14"/>
      <c r="T5" s="1"/>
      <c r="U5" s="194"/>
      <c r="V5" s="194"/>
      <c r="W5" s="2"/>
    </row>
    <row r="6" spans="1:34" ht="43.5" customHeight="1" x14ac:dyDescent="0.2">
      <c r="A6" s="209" t="s">
        <v>67</v>
      </c>
      <c r="B6" s="210"/>
      <c r="C6" s="210"/>
      <c r="D6" s="210"/>
      <c r="E6" s="210"/>
      <c r="F6" s="210"/>
      <c r="G6" s="210"/>
      <c r="H6" s="203"/>
      <c r="I6" s="203"/>
      <c r="J6" s="203"/>
      <c r="K6" s="128"/>
      <c r="L6" s="14" t="s">
        <v>5</v>
      </c>
      <c r="M6" s="14"/>
      <c r="N6" s="14"/>
      <c r="O6" s="41"/>
      <c r="P6" s="14" t="s">
        <v>27</v>
      </c>
      <c r="Q6" s="116">
        <f>+Q5/Q3</f>
        <v>-0.61199999999999999</v>
      </c>
      <c r="R6" s="14" t="s">
        <v>13</v>
      </c>
      <c r="S6" s="14"/>
      <c r="T6" s="13"/>
      <c r="U6" s="194"/>
      <c r="V6" s="194"/>
      <c r="W6" s="2"/>
    </row>
    <row r="7" spans="1:34" ht="51.75" customHeight="1" thickBot="1" x14ac:dyDescent="0.25">
      <c r="A7" s="201" t="s">
        <v>63</v>
      </c>
      <c r="B7" s="202"/>
      <c r="C7" s="202"/>
      <c r="D7" s="202"/>
      <c r="E7" s="202"/>
      <c r="F7" s="202"/>
      <c r="G7" s="202"/>
      <c r="H7" s="40"/>
      <c r="I7" s="41"/>
      <c r="J7" s="41"/>
      <c r="K7" s="41"/>
      <c r="L7" s="14" t="s">
        <v>29</v>
      </c>
      <c r="M7" s="14"/>
      <c r="N7" s="14"/>
      <c r="O7" s="1"/>
      <c r="P7" s="14" t="s">
        <v>27</v>
      </c>
      <c r="Q7" s="185">
        <f>+R31</f>
        <v>69</v>
      </c>
      <c r="R7" s="185"/>
      <c r="S7" s="14"/>
      <c r="T7" s="13"/>
      <c r="U7" s="194"/>
      <c r="V7" s="194"/>
      <c r="W7" s="2"/>
    </row>
    <row r="8" spans="1:34" ht="37.5" customHeight="1" x14ac:dyDescent="0.2">
      <c r="A8" s="195" t="s">
        <v>30</v>
      </c>
      <c r="B8" s="196"/>
      <c r="C8" s="197"/>
      <c r="D8" s="25">
        <v>5</v>
      </c>
      <c r="E8" s="26"/>
      <c r="F8" s="27"/>
      <c r="G8" s="47">
        <v>8</v>
      </c>
      <c r="H8" s="47">
        <v>4</v>
      </c>
      <c r="I8" s="47">
        <v>3</v>
      </c>
      <c r="J8" s="47">
        <v>6</v>
      </c>
      <c r="K8" s="47">
        <v>6</v>
      </c>
      <c r="L8" s="47">
        <v>4</v>
      </c>
      <c r="M8" s="47">
        <v>4</v>
      </c>
      <c r="N8" s="47">
        <v>6</v>
      </c>
      <c r="O8" s="47"/>
      <c r="P8" s="42"/>
      <c r="Q8" s="28"/>
      <c r="R8" s="29"/>
      <c r="S8" s="29"/>
      <c r="T8" s="30"/>
      <c r="U8" s="31"/>
      <c r="V8" s="31"/>
      <c r="W8" s="32"/>
    </row>
    <row r="9" spans="1:34" ht="49.5" customHeight="1" thickBot="1" x14ac:dyDescent="0.25">
      <c r="A9" s="198" t="s">
        <v>31</v>
      </c>
      <c r="B9" s="199"/>
      <c r="C9" s="200"/>
      <c r="D9" s="33">
        <v>5</v>
      </c>
      <c r="E9" s="34"/>
      <c r="F9" s="35"/>
      <c r="G9" s="115">
        <f t="shared" ref="G9:O9" si="0">+G38</f>
        <v>-224</v>
      </c>
      <c r="H9" s="115">
        <f t="shared" si="0"/>
        <v>-269</v>
      </c>
      <c r="I9" s="115">
        <f t="shared" si="0"/>
        <v>-248</v>
      </c>
      <c r="J9" s="115">
        <f t="shared" si="0"/>
        <v>-251</v>
      </c>
      <c r="K9" s="115">
        <f t="shared" si="0"/>
        <v>-191</v>
      </c>
      <c r="L9" s="115">
        <f t="shared" si="0"/>
        <v>-96</v>
      </c>
      <c r="M9" s="115">
        <f t="shared" si="0"/>
        <v>-132</v>
      </c>
      <c r="N9" s="115">
        <f t="shared" si="0"/>
        <v>-210</v>
      </c>
      <c r="O9" s="115">
        <f t="shared" si="0"/>
        <v>-215</v>
      </c>
      <c r="P9" s="38"/>
      <c r="Q9" s="36"/>
      <c r="R9" s="15"/>
      <c r="S9" s="15"/>
      <c r="T9" s="21"/>
      <c r="U9" s="24"/>
      <c r="V9" s="24"/>
      <c r="W9" s="3"/>
    </row>
    <row r="10" spans="1:34" ht="46.5" x14ac:dyDescent="0.2">
      <c r="A10" s="181" t="s">
        <v>0</v>
      </c>
      <c r="B10" s="163"/>
      <c r="C10" s="164"/>
      <c r="D10" s="124" t="s">
        <v>26</v>
      </c>
      <c r="E10" s="124" t="s">
        <v>25</v>
      </c>
      <c r="F10" s="124" t="s">
        <v>1</v>
      </c>
      <c r="G10" s="184" t="s">
        <v>2</v>
      </c>
      <c r="H10" s="184"/>
      <c r="I10" s="184"/>
      <c r="J10" s="184"/>
      <c r="K10" s="184"/>
      <c r="L10" s="184"/>
      <c r="M10" s="184"/>
      <c r="N10" s="184"/>
      <c r="O10" s="184"/>
      <c r="P10" s="184"/>
      <c r="Q10" s="179" t="s">
        <v>11</v>
      </c>
      <c r="R10" s="179" t="s">
        <v>3</v>
      </c>
      <c r="S10" s="188" t="s">
        <v>4</v>
      </c>
      <c r="T10" s="190" t="s">
        <v>15</v>
      </c>
      <c r="U10" s="192" t="s">
        <v>16</v>
      </c>
      <c r="V10" s="192" t="s">
        <v>50</v>
      </c>
      <c r="W10" s="186" t="s">
        <v>51</v>
      </c>
    </row>
    <row r="11" spans="1:34" ht="115.5" customHeight="1" thickBot="1" x14ac:dyDescent="0.25">
      <c r="A11" s="182"/>
      <c r="B11" s="183"/>
      <c r="C11" s="180"/>
      <c r="D11" s="68" t="str">
        <f>+D5</f>
        <v>450203495700100</v>
      </c>
      <c r="E11" s="126" t="str">
        <f>+D4</f>
        <v>112395911</v>
      </c>
      <c r="F11" s="125" t="s">
        <v>69</v>
      </c>
      <c r="G11" s="129">
        <v>10</v>
      </c>
      <c r="H11" s="129">
        <v>12</v>
      </c>
      <c r="I11" s="129">
        <v>14</v>
      </c>
      <c r="J11" s="129">
        <v>16</v>
      </c>
      <c r="K11" s="129">
        <v>18</v>
      </c>
      <c r="L11" s="129">
        <v>2</v>
      </c>
      <c r="M11" s="129">
        <v>4</v>
      </c>
      <c r="N11" s="129">
        <v>6</v>
      </c>
      <c r="O11" s="129">
        <v>8</v>
      </c>
      <c r="P11" s="23"/>
      <c r="Q11" s="180"/>
      <c r="R11" s="180"/>
      <c r="S11" s="189"/>
      <c r="T11" s="191"/>
      <c r="U11" s="193"/>
      <c r="V11" s="193"/>
      <c r="W11" s="187"/>
    </row>
    <row r="12" spans="1:34" s="53" customFormat="1" ht="47.25" customHeight="1" x14ac:dyDescent="0.2">
      <c r="A12" s="130">
        <v>538617449</v>
      </c>
      <c r="B12" s="69" t="s">
        <v>21</v>
      </c>
      <c r="C12" s="70">
        <f>A12+8</f>
        <v>538617457</v>
      </c>
      <c r="D12" s="71" t="s">
        <v>48</v>
      </c>
      <c r="E12" s="71" t="s">
        <v>48</v>
      </c>
      <c r="F12" s="71" t="s">
        <v>48</v>
      </c>
      <c r="G12" s="72">
        <v>18</v>
      </c>
      <c r="H12" s="122"/>
      <c r="I12" s="122"/>
      <c r="J12" s="122"/>
      <c r="K12" s="122"/>
      <c r="L12" s="122"/>
      <c r="M12" s="122"/>
      <c r="N12" s="122"/>
      <c r="O12" s="122"/>
      <c r="P12" s="122"/>
      <c r="Q12" s="73">
        <f t="shared" ref="Q12:Q28" si="1">SUM(G12:P12)</f>
        <v>18</v>
      </c>
      <c r="R12" s="124">
        <v>9</v>
      </c>
      <c r="S12" s="124">
        <f t="shared" ref="S12:S28" si="2">+R12*Q12</f>
        <v>162</v>
      </c>
      <c r="T12" s="74">
        <v>11.56</v>
      </c>
      <c r="U12" s="74">
        <f>+T12-1.24</f>
        <v>10.32</v>
      </c>
      <c r="V12" s="74">
        <f>T12*R12</f>
        <v>104.04</v>
      </c>
      <c r="W12" s="75">
        <f>U12*R12</f>
        <v>92.88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1:34" s="55" customFormat="1" ht="47.25" customHeight="1" x14ac:dyDescent="0.2">
      <c r="A13" s="176"/>
      <c r="B13" s="177"/>
      <c r="C13" s="178"/>
      <c r="D13" s="76"/>
      <c r="E13" s="76"/>
      <c r="F13" s="76"/>
      <c r="G13" s="77"/>
      <c r="H13" s="78"/>
      <c r="I13" s="78"/>
      <c r="J13" s="78"/>
      <c r="K13" s="78"/>
      <c r="L13" s="78"/>
      <c r="M13" s="78"/>
      <c r="N13" s="78"/>
      <c r="O13" s="78"/>
      <c r="P13" s="78"/>
      <c r="Q13" s="79"/>
      <c r="R13" s="80"/>
      <c r="S13" s="80"/>
      <c r="T13" s="81"/>
      <c r="U13" s="81"/>
      <c r="V13" s="81"/>
      <c r="W13" s="82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</row>
    <row r="14" spans="1:34" s="53" customFormat="1" ht="47.25" customHeight="1" x14ac:dyDescent="0.2">
      <c r="A14" s="130">
        <f>+C12+1</f>
        <v>538617458</v>
      </c>
      <c r="B14" s="69" t="s">
        <v>21</v>
      </c>
      <c r="C14" s="70">
        <f>+A14+R14-1</f>
        <v>538617466</v>
      </c>
      <c r="D14" s="71" t="s">
        <v>48</v>
      </c>
      <c r="E14" s="71" t="s">
        <v>48</v>
      </c>
      <c r="F14" s="71" t="s">
        <v>48</v>
      </c>
      <c r="G14" s="72"/>
      <c r="H14" s="122">
        <v>18</v>
      </c>
      <c r="I14" s="122"/>
      <c r="J14" s="122"/>
      <c r="K14" s="122"/>
      <c r="L14" s="122"/>
      <c r="M14" s="122"/>
      <c r="N14" s="122"/>
      <c r="O14" s="122"/>
      <c r="P14" s="122"/>
      <c r="Q14" s="73">
        <f t="shared" si="1"/>
        <v>18</v>
      </c>
      <c r="R14" s="124">
        <v>9</v>
      </c>
      <c r="S14" s="124">
        <f t="shared" si="2"/>
        <v>162</v>
      </c>
      <c r="T14" s="74">
        <v>11.84</v>
      </c>
      <c r="U14" s="74">
        <f t="shared" ref="U14:U28" si="3">+T14-1.24</f>
        <v>10.6</v>
      </c>
      <c r="V14" s="74">
        <f t="shared" ref="V14:V28" si="4">T14*R14</f>
        <v>106.56</v>
      </c>
      <c r="W14" s="75">
        <f t="shared" ref="W14:W28" si="5">U14*R14</f>
        <v>95.399999999999991</v>
      </c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</row>
    <row r="15" spans="1:34" s="55" customFormat="1" ht="47.25" customHeight="1" x14ac:dyDescent="0.2">
      <c r="A15" s="176">
        <f>C28+1</f>
        <v>538617513</v>
      </c>
      <c r="B15" s="177"/>
      <c r="C15" s="178"/>
      <c r="D15" s="76"/>
      <c r="E15" s="76"/>
      <c r="F15" s="76"/>
      <c r="G15" s="77"/>
      <c r="H15" s="78">
        <v>10</v>
      </c>
      <c r="I15" s="78"/>
      <c r="J15" s="78"/>
      <c r="K15" s="78"/>
      <c r="L15" s="78"/>
      <c r="M15" s="78"/>
      <c r="N15" s="78"/>
      <c r="O15" s="78"/>
      <c r="P15" s="78"/>
      <c r="Q15" s="131">
        <f t="shared" si="1"/>
        <v>10</v>
      </c>
      <c r="R15" s="80">
        <v>1</v>
      </c>
      <c r="S15" s="132">
        <f t="shared" si="2"/>
        <v>10</v>
      </c>
      <c r="T15" s="81">
        <f>+T14/Q14*Q15</f>
        <v>6.5777777777777775</v>
      </c>
      <c r="U15" s="133">
        <f t="shared" ref="U15" si="6">+T15-1.24</f>
        <v>5.3377777777777773</v>
      </c>
      <c r="V15" s="133">
        <f t="shared" ref="V15" si="7">T15*R15</f>
        <v>6.5777777777777775</v>
      </c>
      <c r="W15" s="134">
        <f t="shared" ref="W15" si="8">U15*R15</f>
        <v>5.3377777777777773</v>
      </c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</row>
    <row r="16" spans="1:34" s="53" customFormat="1" ht="47.25" customHeight="1" x14ac:dyDescent="0.2">
      <c r="A16" s="130">
        <f>+C14+1</f>
        <v>538617467</v>
      </c>
      <c r="B16" s="69" t="s">
        <v>21</v>
      </c>
      <c r="C16" s="70">
        <f>+A16+R16-1</f>
        <v>538617474</v>
      </c>
      <c r="D16" s="71" t="s">
        <v>48</v>
      </c>
      <c r="E16" s="71" t="s">
        <v>48</v>
      </c>
      <c r="F16" s="71" t="s">
        <v>48</v>
      </c>
      <c r="G16" s="122"/>
      <c r="H16" s="122"/>
      <c r="I16" s="122">
        <v>18</v>
      </c>
      <c r="J16" s="122"/>
      <c r="K16" s="122"/>
      <c r="L16" s="122"/>
      <c r="M16" s="122"/>
      <c r="N16" s="122"/>
      <c r="O16" s="122"/>
      <c r="P16" s="122"/>
      <c r="Q16" s="73">
        <f t="shared" si="1"/>
        <v>18</v>
      </c>
      <c r="R16" s="124">
        <v>8</v>
      </c>
      <c r="S16" s="124">
        <f t="shared" si="2"/>
        <v>144</v>
      </c>
      <c r="T16" s="74">
        <v>12.1</v>
      </c>
      <c r="U16" s="74">
        <f t="shared" si="3"/>
        <v>10.86</v>
      </c>
      <c r="V16" s="74">
        <f t="shared" si="4"/>
        <v>96.8</v>
      </c>
      <c r="W16" s="75">
        <f t="shared" si="5"/>
        <v>86.88</v>
      </c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</row>
    <row r="17" spans="1:34" s="55" customFormat="1" ht="47.25" customHeight="1" x14ac:dyDescent="0.2">
      <c r="A17" s="176">
        <f>A15+1</f>
        <v>538617514</v>
      </c>
      <c r="B17" s="177"/>
      <c r="C17" s="178"/>
      <c r="D17" s="76"/>
      <c r="E17" s="76"/>
      <c r="F17" s="76"/>
      <c r="G17" s="78"/>
      <c r="H17" s="78"/>
      <c r="I17" s="78">
        <v>6</v>
      </c>
      <c r="J17" s="78"/>
      <c r="K17" s="78"/>
      <c r="L17" s="78"/>
      <c r="M17" s="78"/>
      <c r="N17" s="78"/>
      <c r="O17" s="78"/>
      <c r="P17" s="78"/>
      <c r="Q17" s="131">
        <f t="shared" si="1"/>
        <v>6</v>
      </c>
      <c r="R17" s="80">
        <v>1</v>
      </c>
      <c r="S17" s="132">
        <f t="shared" si="2"/>
        <v>6</v>
      </c>
      <c r="T17" s="81">
        <f>+T16/Q16*Q17</f>
        <v>4.0333333333333332</v>
      </c>
      <c r="U17" s="133">
        <f t="shared" ref="U17" si="9">+T17-1.24</f>
        <v>2.793333333333333</v>
      </c>
      <c r="V17" s="133">
        <f t="shared" ref="V17" si="10">T17*R17</f>
        <v>4.0333333333333332</v>
      </c>
      <c r="W17" s="134">
        <f t="shared" ref="W17" si="11">U17*R17</f>
        <v>2.793333333333333</v>
      </c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</row>
    <row r="18" spans="1:34" s="53" customFormat="1" ht="47.25" customHeight="1" x14ac:dyDescent="0.2">
      <c r="A18" s="130">
        <f>+C16+1</f>
        <v>538617475</v>
      </c>
      <c r="B18" s="69" t="s">
        <v>21</v>
      </c>
      <c r="C18" s="70">
        <f>+A18+R18-1</f>
        <v>538617483</v>
      </c>
      <c r="D18" s="71" t="s">
        <v>48</v>
      </c>
      <c r="E18" s="71" t="s">
        <v>48</v>
      </c>
      <c r="F18" s="71" t="s">
        <v>48</v>
      </c>
      <c r="G18" s="122"/>
      <c r="H18" s="122"/>
      <c r="I18" s="122"/>
      <c r="J18" s="122">
        <v>16</v>
      </c>
      <c r="K18" s="122"/>
      <c r="L18" s="122"/>
      <c r="M18" s="122"/>
      <c r="N18" s="122"/>
      <c r="O18" s="122"/>
      <c r="P18" s="122"/>
      <c r="Q18" s="73">
        <f t="shared" si="1"/>
        <v>16</v>
      </c>
      <c r="R18" s="124">
        <v>9</v>
      </c>
      <c r="S18" s="124">
        <f t="shared" si="2"/>
        <v>144</v>
      </c>
      <c r="T18" s="74">
        <v>11.2</v>
      </c>
      <c r="U18" s="74">
        <f t="shared" si="3"/>
        <v>9.9599999999999991</v>
      </c>
      <c r="V18" s="74">
        <f t="shared" si="4"/>
        <v>100.8</v>
      </c>
      <c r="W18" s="75">
        <f t="shared" si="5"/>
        <v>89.639999999999986</v>
      </c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</row>
    <row r="19" spans="1:34" s="55" customFormat="1" ht="47.25" customHeight="1" x14ac:dyDescent="0.2">
      <c r="A19" s="176">
        <f>A17+1</f>
        <v>538617515</v>
      </c>
      <c r="B19" s="177"/>
      <c r="C19" s="178"/>
      <c r="D19" s="76"/>
      <c r="E19" s="76"/>
      <c r="F19" s="76"/>
      <c r="G19" s="78"/>
      <c r="H19" s="78"/>
      <c r="I19" s="78"/>
      <c r="J19" s="78">
        <v>10</v>
      </c>
      <c r="K19" s="78"/>
      <c r="L19" s="78"/>
      <c r="M19" s="78"/>
      <c r="N19" s="78"/>
      <c r="O19" s="78"/>
      <c r="P19" s="78"/>
      <c r="Q19" s="131">
        <f t="shared" si="1"/>
        <v>10</v>
      </c>
      <c r="R19" s="80">
        <v>1</v>
      </c>
      <c r="S19" s="132">
        <f t="shared" si="2"/>
        <v>10</v>
      </c>
      <c r="T19" s="81">
        <f>+T18/Q18*Q19</f>
        <v>7</v>
      </c>
      <c r="U19" s="133">
        <f t="shared" ref="U19" si="12">+T19-1.24</f>
        <v>5.76</v>
      </c>
      <c r="V19" s="133">
        <f t="shared" ref="V19" si="13">T19*R19</f>
        <v>7</v>
      </c>
      <c r="W19" s="134">
        <f t="shared" ref="W19" si="14">U19*R19</f>
        <v>5.76</v>
      </c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</row>
    <row r="20" spans="1:34" s="53" customFormat="1" ht="47.25" customHeight="1" x14ac:dyDescent="0.2">
      <c r="A20" s="130">
        <f>+C18+1</f>
        <v>538617484</v>
      </c>
      <c r="B20" s="69" t="s">
        <v>21</v>
      </c>
      <c r="C20" s="70">
        <f>+A20+R20-1</f>
        <v>538617491</v>
      </c>
      <c r="D20" s="71" t="s">
        <v>48</v>
      </c>
      <c r="E20" s="71" t="s">
        <v>48</v>
      </c>
      <c r="F20" s="71" t="s">
        <v>48</v>
      </c>
      <c r="G20" s="122"/>
      <c r="H20" s="122"/>
      <c r="I20" s="122"/>
      <c r="J20" s="122"/>
      <c r="K20" s="122">
        <v>16</v>
      </c>
      <c r="L20" s="122"/>
      <c r="M20" s="122"/>
      <c r="N20" s="122"/>
      <c r="O20" s="122"/>
      <c r="P20" s="122"/>
      <c r="Q20" s="73">
        <f t="shared" si="1"/>
        <v>16</v>
      </c>
      <c r="R20" s="124">
        <v>8</v>
      </c>
      <c r="S20" s="124">
        <f t="shared" si="2"/>
        <v>128</v>
      </c>
      <c r="T20" s="74">
        <v>11.48</v>
      </c>
      <c r="U20" s="74">
        <f t="shared" si="3"/>
        <v>10.24</v>
      </c>
      <c r="V20" s="74">
        <f t="shared" si="4"/>
        <v>91.84</v>
      </c>
      <c r="W20" s="75">
        <f t="shared" si="5"/>
        <v>81.92</v>
      </c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</row>
    <row r="21" spans="1:34" s="55" customFormat="1" ht="47.25" customHeight="1" x14ac:dyDescent="0.2">
      <c r="A21" s="176">
        <f>A19+1</f>
        <v>538617516</v>
      </c>
      <c r="B21" s="177"/>
      <c r="C21" s="178"/>
      <c r="D21" s="76"/>
      <c r="E21" s="76"/>
      <c r="F21" s="76"/>
      <c r="G21" s="78"/>
      <c r="H21" s="78"/>
      <c r="I21" s="78"/>
      <c r="J21" s="78"/>
      <c r="K21" s="78">
        <v>10</v>
      </c>
      <c r="L21" s="78"/>
      <c r="M21" s="78"/>
      <c r="N21" s="78"/>
      <c r="O21" s="78"/>
      <c r="P21" s="78"/>
      <c r="Q21" s="131">
        <f t="shared" si="1"/>
        <v>10</v>
      </c>
      <c r="R21" s="80">
        <v>1</v>
      </c>
      <c r="S21" s="132">
        <f t="shared" si="2"/>
        <v>10</v>
      </c>
      <c r="T21" s="81">
        <f>+T20/Q20*Q21</f>
        <v>7.1750000000000007</v>
      </c>
      <c r="U21" s="133">
        <f t="shared" ref="U21" si="15">+T21-1.24</f>
        <v>5.9350000000000005</v>
      </c>
      <c r="V21" s="133">
        <f t="shared" ref="V21" si="16">T21*R21</f>
        <v>7.1750000000000007</v>
      </c>
      <c r="W21" s="134">
        <f t="shared" ref="W21" si="17">U21*R21</f>
        <v>5.9350000000000005</v>
      </c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</row>
    <row r="22" spans="1:34" s="53" customFormat="1" ht="47.25" customHeight="1" x14ac:dyDescent="0.2">
      <c r="A22" s="130">
        <f>+C20+1</f>
        <v>538617492</v>
      </c>
      <c r="B22" s="69" t="s">
        <v>21</v>
      </c>
      <c r="C22" s="70">
        <f>+A22+R22-1</f>
        <v>538617495</v>
      </c>
      <c r="D22" s="71" t="s">
        <v>48</v>
      </c>
      <c r="E22" s="71" t="s">
        <v>48</v>
      </c>
      <c r="F22" s="71" t="s">
        <v>48</v>
      </c>
      <c r="G22" s="122"/>
      <c r="H22" s="122"/>
      <c r="I22" s="122"/>
      <c r="J22" s="122"/>
      <c r="K22" s="122"/>
      <c r="L22" s="122">
        <v>18</v>
      </c>
      <c r="M22" s="122"/>
      <c r="N22" s="122"/>
      <c r="O22" s="122"/>
      <c r="P22" s="122"/>
      <c r="Q22" s="73">
        <f t="shared" si="1"/>
        <v>18</v>
      </c>
      <c r="R22" s="124">
        <v>4</v>
      </c>
      <c r="S22" s="124">
        <f t="shared" si="2"/>
        <v>72</v>
      </c>
      <c r="T22" s="74">
        <v>10.5</v>
      </c>
      <c r="U22" s="74">
        <f t="shared" si="3"/>
        <v>9.26</v>
      </c>
      <c r="V22" s="74">
        <f t="shared" si="4"/>
        <v>42</v>
      </c>
      <c r="W22" s="75">
        <f t="shared" si="5"/>
        <v>37.04</v>
      </c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</row>
    <row r="23" spans="1:34" s="55" customFormat="1" ht="47.25" customHeight="1" x14ac:dyDescent="0.2">
      <c r="A23" s="176"/>
      <c r="B23" s="177"/>
      <c r="C23" s="178"/>
      <c r="D23" s="76"/>
      <c r="E23" s="76"/>
      <c r="F23" s="76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131"/>
      <c r="R23" s="80"/>
      <c r="S23" s="132"/>
      <c r="T23" s="81"/>
      <c r="U23" s="81"/>
      <c r="V23" s="81"/>
      <c r="W23" s="82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</row>
    <row r="24" spans="1:34" s="53" customFormat="1" ht="47.25" customHeight="1" x14ac:dyDescent="0.2">
      <c r="A24" s="130">
        <f>+C22+1</f>
        <v>538617496</v>
      </c>
      <c r="B24" s="69" t="s">
        <v>21</v>
      </c>
      <c r="C24" s="70">
        <f>+A24+R24-1</f>
        <v>538617499</v>
      </c>
      <c r="D24" s="71" t="s">
        <v>48</v>
      </c>
      <c r="E24" s="71" t="s">
        <v>48</v>
      </c>
      <c r="F24" s="71" t="s">
        <v>48</v>
      </c>
      <c r="G24" s="122"/>
      <c r="H24" s="122"/>
      <c r="I24" s="122"/>
      <c r="J24" s="122"/>
      <c r="K24" s="122"/>
      <c r="L24" s="122"/>
      <c r="M24" s="122">
        <v>18</v>
      </c>
      <c r="N24" s="122"/>
      <c r="O24" s="122"/>
      <c r="P24" s="122"/>
      <c r="Q24" s="73">
        <f t="shared" si="1"/>
        <v>18</v>
      </c>
      <c r="R24" s="124">
        <v>4</v>
      </c>
      <c r="S24" s="124">
        <f t="shared" si="2"/>
        <v>72</v>
      </c>
      <c r="T24" s="74">
        <v>10.75</v>
      </c>
      <c r="U24" s="74">
        <f t="shared" si="3"/>
        <v>9.51</v>
      </c>
      <c r="V24" s="74">
        <f t="shared" si="4"/>
        <v>43</v>
      </c>
      <c r="W24" s="75">
        <f t="shared" si="5"/>
        <v>38.04</v>
      </c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</row>
    <row r="25" spans="1:34" s="55" customFormat="1" ht="47.25" customHeight="1" x14ac:dyDescent="0.2">
      <c r="A25" s="176"/>
      <c r="B25" s="177"/>
      <c r="C25" s="178"/>
      <c r="D25" s="76"/>
      <c r="E25" s="76"/>
      <c r="F25" s="76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131"/>
      <c r="R25" s="80"/>
      <c r="S25" s="132"/>
      <c r="T25" s="81"/>
      <c r="U25" s="81"/>
      <c r="V25" s="81"/>
      <c r="W25" s="82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</row>
    <row r="26" spans="1:34" s="53" customFormat="1" ht="47.25" customHeight="1" x14ac:dyDescent="0.2">
      <c r="A26" s="130">
        <f>+C24+1</f>
        <v>538617500</v>
      </c>
      <c r="B26" s="69" t="s">
        <v>21</v>
      </c>
      <c r="C26" s="70">
        <f>+A26+R26-1</f>
        <v>538617505</v>
      </c>
      <c r="D26" s="71" t="s">
        <v>48</v>
      </c>
      <c r="E26" s="71" t="s">
        <v>48</v>
      </c>
      <c r="F26" s="71" t="s">
        <v>48</v>
      </c>
      <c r="G26" s="122"/>
      <c r="H26" s="122"/>
      <c r="I26" s="122"/>
      <c r="J26" s="122"/>
      <c r="K26" s="122"/>
      <c r="L26" s="122"/>
      <c r="M26" s="122"/>
      <c r="N26" s="122">
        <v>18</v>
      </c>
      <c r="O26" s="122"/>
      <c r="P26" s="122"/>
      <c r="Q26" s="73">
        <f t="shared" si="1"/>
        <v>18</v>
      </c>
      <c r="R26" s="124">
        <v>6</v>
      </c>
      <c r="S26" s="124">
        <f t="shared" si="2"/>
        <v>108</v>
      </c>
      <c r="T26" s="74">
        <v>11</v>
      </c>
      <c r="U26" s="74">
        <f t="shared" si="3"/>
        <v>9.76</v>
      </c>
      <c r="V26" s="74">
        <f t="shared" si="4"/>
        <v>66</v>
      </c>
      <c r="W26" s="75">
        <f t="shared" si="5"/>
        <v>58.56</v>
      </c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</row>
    <row r="27" spans="1:34" s="55" customFormat="1" ht="47.25" customHeight="1" x14ac:dyDescent="0.2">
      <c r="A27" s="176">
        <f>A21+1</f>
        <v>538617517</v>
      </c>
      <c r="B27" s="177"/>
      <c r="C27" s="178"/>
      <c r="D27" s="76"/>
      <c r="E27" s="76"/>
      <c r="F27" s="76"/>
      <c r="G27" s="78"/>
      <c r="H27" s="78"/>
      <c r="I27" s="78"/>
      <c r="J27" s="78"/>
      <c r="K27" s="78"/>
      <c r="L27" s="78"/>
      <c r="M27" s="78"/>
      <c r="N27" s="78">
        <v>10</v>
      </c>
      <c r="O27" s="78"/>
      <c r="P27" s="78"/>
      <c r="Q27" s="131">
        <f t="shared" si="1"/>
        <v>10</v>
      </c>
      <c r="R27" s="80">
        <v>1</v>
      </c>
      <c r="S27" s="132">
        <f t="shared" si="2"/>
        <v>10</v>
      </c>
      <c r="T27" s="81">
        <f>+T26/Q26*Q27</f>
        <v>6.1111111111111116</v>
      </c>
      <c r="U27" s="133">
        <f t="shared" ref="U27" si="18">+T27-1.24</f>
        <v>4.8711111111111114</v>
      </c>
      <c r="V27" s="133">
        <f t="shared" ref="V27" si="19">T27*R27</f>
        <v>6.1111111111111116</v>
      </c>
      <c r="W27" s="134">
        <f t="shared" ref="W27" si="20">U27*R27</f>
        <v>4.8711111111111114</v>
      </c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</row>
    <row r="28" spans="1:34" s="53" customFormat="1" ht="47.25" customHeight="1" x14ac:dyDescent="0.2">
      <c r="A28" s="130">
        <f>+C26+1</f>
        <v>538617506</v>
      </c>
      <c r="B28" s="69" t="s">
        <v>21</v>
      </c>
      <c r="C28" s="70">
        <f>+A28+R28-1</f>
        <v>538617512</v>
      </c>
      <c r="D28" s="71" t="s">
        <v>48</v>
      </c>
      <c r="E28" s="71" t="s">
        <v>48</v>
      </c>
      <c r="F28" s="71" t="s">
        <v>48</v>
      </c>
      <c r="G28" s="122"/>
      <c r="H28" s="122"/>
      <c r="I28" s="122"/>
      <c r="J28" s="122"/>
      <c r="K28" s="122"/>
      <c r="L28" s="122"/>
      <c r="M28" s="122"/>
      <c r="N28" s="122"/>
      <c r="O28" s="122">
        <v>18</v>
      </c>
      <c r="P28" s="122"/>
      <c r="Q28" s="73">
        <f t="shared" si="1"/>
        <v>18</v>
      </c>
      <c r="R28" s="124">
        <v>7</v>
      </c>
      <c r="S28" s="124">
        <f t="shared" si="2"/>
        <v>126</v>
      </c>
      <c r="T28" s="74">
        <v>11.8</v>
      </c>
      <c r="U28" s="74">
        <f t="shared" si="3"/>
        <v>10.56</v>
      </c>
      <c r="V28" s="74">
        <f t="shared" si="4"/>
        <v>82.600000000000009</v>
      </c>
      <c r="W28" s="75">
        <f t="shared" si="5"/>
        <v>73.92</v>
      </c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</row>
    <row r="29" spans="1:34" s="55" customFormat="1" ht="47.25" customHeight="1" x14ac:dyDescent="0.2">
      <c r="A29" s="176"/>
      <c r="B29" s="177"/>
      <c r="C29" s="178"/>
      <c r="D29" s="76"/>
      <c r="E29" s="76"/>
      <c r="F29" s="76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131"/>
      <c r="R29" s="80"/>
      <c r="S29" s="132"/>
      <c r="T29" s="81"/>
      <c r="U29" s="81"/>
      <c r="V29" s="81"/>
      <c r="W29" s="82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</row>
    <row r="30" spans="1:34" ht="38.25" customHeight="1" thickBot="1" x14ac:dyDescent="0.25">
      <c r="A30" s="83"/>
      <c r="B30" s="84"/>
      <c r="C30" s="85"/>
      <c r="D30" s="85"/>
      <c r="E30" s="85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72"/>
      <c r="R30" s="72"/>
      <c r="S30" s="72"/>
      <c r="T30" s="87"/>
      <c r="U30" s="87"/>
      <c r="V30" s="88"/>
      <c r="W30" s="89"/>
    </row>
    <row r="31" spans="1:34" s="12" customFormat="1" ht="57.75" customHeight="1" thickBot="1" x14ac:dyDescent="0.25">
      <c r="A31" s="152" t="s">
        <v>14</v>
      </c>
      <c r="B31" s="153"/>
      <c r="C31" s="153"/>
      <c r="D31" s="153"/>
      <c r="E31" s="153"/>
      <c r="F31" s="153"/>
      <c r="G31" s="123">
        <f>S12+S13</f>
        <v>162</v>
      </c>
      <c r="H31" s="123">
        <f>+S14+S15</f>
        <v>172</v>
      </c>
      <c r="I31" s="123">
        <f>S16+S17</f>
        <v>150</v>
      </c>
      <c r="J31" s="123">
        <f>S18+S19</f>
        <v>154</v>
      </c>
      <c r="K31" s="123">
        <f>+S20+S21</f>
        <v>138</v>
      </c>
      <c r="L31" s="123">
        <f>S22+S23</f>
        <v>72</v>
      </c>
      <c r="M31" s="123">
        <f>+S24+S25</f>
        <v>72</v>
      </c>
      <c r="N31" s="123">
        <f>+S26+S27</f>
        <v>118</v>
      </c>
      <c r="O31" s="123">
        <f>+S28+S29</f>
        <v>126</v>
      </c>
      <c r="P31" s="123"/>
      <c r="Q31" s="90"/>
      <c r="R31" s="123">
        <f>SUM(R12:R30)</f>
        <v>69</v>
      </c>
      <c r="S31" s="123">
        <f>SUM(S12:S30)</f>
        <v>1164</v>
      </c>
      <c r="T31" s="123"/>
      <c r="U31" s="123"/>
      <c r="V31" s="91">
        <f>SUM(V12:V30)</f>
        <v>764.53722222222223</v>
      </c>
      <c r="W31" s="92">
        <f>SUM(W12:W30)</f>
        <v>678.97722222222217</v>
      </c>
    </row>
    <row r="32" spans="1:34" ht="47.25" thickBot="1" x14ac:dyDescent="0.25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34" ht="45.75" customHeight="1" x14ac:dyDescent="0.2">
      <c r="A33" s="67"/>
      <c r="B33" s="67"/>
      <c r="C33" s="155"/>
      <c r="D33" s="156"/>
      <c r="E33" s="156"/>
      <c r="F33" s="157"/>
      <c r="G33" s="158" t="s">
        <v>6</v>
      </c>
      <c r="H33" s="158"/>
      <c r="I33" s="158"/>
      <c r="J33" s="158"/>
      <c r="K33" s="158"/>
      <c r="L33" s="158"/>
      <c r="M33" s="158"/>
      <c r="N33" s="158"/>
      <c r="O33" s="158"/>
      <c r="P33" s="158"/>
      <c r="Q33" s="93"/>
      <c r="R33" s="159" t="s">
        <v>20</v>
      </c>
      <c r="S33" s="160"/>
      <c r="T33" s="163" t="s">
        <v>18</v>
      </c>
      <c r="U33" s="164"/>
      <c r="V33" s="164" t="s">
        <v>19</v>
      </c>
      <c r="W33" s="167"/>
    </row>
    <row r="34" spans="1:34" ht="83.25" customHeight="1" thickBot="1" x14ac:dyDescent="0.25">
      <c r="A34" s="67"/>
      <c r="B34" s="67"/>
      <c r="C34" s="168" t="s">
        <v>2</v>
      </c>
      <c r="D34" s="169"/>
      <c r="E34" s="169"/>
      <c r="F34" s="170"/>
      <c r="G34" s="129">
        <f t="shared" ref="G34:O34" si="21">+G11</f>
        <v>10</v>
      </c>
      <c r="H34" s="129">
        <f t="shared" si="21"/>
        <v>12</v>
      </c>
      <c r="I34" s="129">
        <f t="shared" si="21"/>
        <v>14</v>
      </c>
      <c r="J34" s="129">
        <f t="shared" si="21"/>
        <v>16</v>
      </c>
      <c r="K34" s="129">
        <f t="shared" si="21"/>
        <v>18</v>
      </c>
      <c r="L34" s="129">
        <f t="shared" si="21"/>
        <v>2</v>
      </c>
      <c r="M34" s="129">
        <f t="shared" si="21"/>
        <v>4</v>
      </c>
      <c r="N34" s="129">
        <f t="shared" si="21"/>
        <v>6</v>
      </c>
      <c r="O34" s="129">
        <f t="shared" si="21"/>
        <v>8</v>
      </c>
      <c r="P34" s="23"/>
      <c r="Q34" s="94"/>
      <c r="R34" s="161"/>
      <c r="S34" s="162"/>
      <c r="T34" s="165"/>
      <c r="U34" s="166"/>
      <c r="V34" s="166"/>
      <c r="W34" s="137"/>
    </row>
    <row r="35" spans="1:34" s="56" customFormat="1" ht="55.5" customHeight="1" x14ac:dyDescent="0.2">
      <c r="A35" s="67"/>
      <c r="B35" s="67"/>
      <c r="C35" s="171" t="s">
        <v>7</v>
      </c>
      <c r="D35" s="172"/>
      <c r="E35" s="172"/>
      <c r="F35" s="173"/>
      <c r="G35" s="95">
        <f>+G36+G37*3%</f>
        <v>390.86</v>
      </c>
      <c r="H35" s="95">
        <f t="shared" ref="H35:O35" si="22">+H36+H37*3%</f>
        <v>446.16</v>
      </c>
      <c r="I35" s="95">
        <f t="shared" si="22"/>
        <v>402.5</v>
      </c>
      <c r="J35" s="95">
        <f t="shared" si="22"/>
        <v>409.62</v>
      </c>
      <c r="K35" s="95">
        <f t="shared" si="22"/>
        <v>333.14</v>
      </c>
      <c r="L35" s="95">
        <f t="shared" si="22"/>
        <v>170.16</v>
      </c>
      <c r="M35" s="95">
        <f t="shared" si="22"/>
        <v>206.16</v>
      </c>
      <c r="N35" s="95">
        <f t="shared" si="22"/>
        <v>331.54</v>
      </c>
      <c r="O35" s="95">
        <f t="shared" si="22"/>
        <v>344.78</v>
      </c>
      <c r="P35" s="95"/>
      <c r="Q35" s="95"/>
      <c r="R35" s="174">
        <f>SUM(G35:Q35)</f>
        <v>3034.9199999999992</v>
      </c>
      <c r="S35" s="175"/>
      <c r="T35" s="166"/>
      <c r="U35" s="166"/>
      <c r="V35" s="166"/>
      <c r="W35" s="137"/>
    </row>
    <row r="36" spans="1:34" s="57" customFormat="1" ht="55.5" customHeight="1" x14ac:dyDescent="0.2">
      <c r="A36" s="67"/>
      <c r="B36" s="67"/>
      <c r="C36" s="138" t="s">
        <v>8</v>
      </c>
      <c r="D36" s="139"/>
      <c r="E36" s="139"/>
      <c r="F36" s="140"/>
      <c r="G36" s="96">
        <v>386</v>
      </c>
      <c r="H36" s="96">
        <v>441</v>
      </c>
      <c r="I36" s="96">
        <v>398</v>
      </c>
      <c r="J36" s="96">
        <v>405</v>
      </c>
      <c r="K36" s="96">
        <v>329</v>
      </c>
      <c r="L36" s="96">
        <v>168</v>
      </c>
      <c r="M36" s="96">
        <v>204</v>
      </c>
      <c r="N36" s="96">
        <v>328</v>
      </c>
      <c r="O36" s="96">
        <v>341</v>
      </c>
      <c r="P36" s="97"/>
      <c r="Q36" s="98"/>
      <c r="R36" s="141">
        <f>SUM(G36:Q36)</f>
        <v>3000</v>
      </c>
      <c r="S36" s="142"/>
      <c r="T36" s="166"/>
      <c r="U36" s="166"/>
      <c r="V36" s="166"/>
      <c r="W36" s="137"/>
    </row>
    <row r="37" spans="1:34" s="57" customFormat="1" ht="55.5" customHeight="1" x14ac:dyDescent="0.2">
      <c r="A37" s="67"/>
      <c r="B37" s="67"/>
      <c r="C37" s="138" t="s">
        <v>9</v>
      </c>
      <c r="D37" s="139"/>
      <c r="E37" s="139"/>
      <c r="F37" s="140"/>
      <c r="G37" s="99">
        <f>+G31</f>
        <v>162</v>
      </c>
      <c r="H37" s="99">
        <f t="shared" ref="H37:O37" si="23">+H31</f>
        <v>172</v>
      </c>
      <c r="I37" s="99">
        <f t="shared" si="23"/>
        <v>150</v>
      </c>
      <c r="J37" s="99">
        <f t="shared" si="23"/>
        <v>154</v>
      </c>
      <c r="K37" s="99">
        <f t="shared" si="23"/>
        <v>138</v>
      </c>
      <c r="L37" s="99">
        <f t="shared" si="23"/>
        <v>72</v>
      </c>
      <c r="M37" s="99">
        <f t="shared" si="23"/>
        <v>72</v>
      </c>
      <c r="N37" s="99">
        <f t="shared" si="23"/>
        <v>118</v>
      </c>
      <c r="O37" s="99">
        <f t="shared" si="23"/>
        <v>126</v>
      </c>
      <c r="P37" s="99"/>
      <c r="Q37" s="98"/>
      <c r="R37" s="141">
        <f>SUM(G37:Q37)</f>
        <v>1164</v>
      </c>
      <c r="S37" s="142"/>
      <c r="T37" s="149">
        <f>V31</f>
        <v>764.53722222222223</v>
      </c>
      <c r="U37" s="149"/>
      <c r="V37" s="136">
        <f>W31</f>
        <v>678.97722222222217</v>
      </c>
      <c r="W37" s="137"/>
    </row>
    <row r="38" spans="1:34" s="59" customFormat="1" ht="55.5" customHeight="1" x14ac:dyDescent="0.2">
      <c r="A38" s="67"/>
      <c r="B38" s="67"/>
      <c r="C38" s="138" t="s">
        <v>10</v>
      </c>
      <c r="D38" s="139"/>
      <c r="E38" s="139"/>
      <c r="F38" s="140"/>
      <c r="G38" s="97">
        <f t="shared" ref="G38:O38" si="24">G37-G36</f>
        <v>-224</v>
      </c>
      <c r="H38" s="97">
        <f t="shared" si="24"/>
        <v>-269</v>
      </c>
      <c r="I38" s="97">
        <f t="shared" si="24"/>
        <v>-248</v>
      </c>
      <c r="J38" s="97">
        <f t="shared" si="24"/>
        <v>-251</v>
      </c>
      <c r="K38" s="97">
        <f t="shared" si="24"/>
        <v>-191</v>
      </c>
      <c r="L38" s="97">
        <f t="shared" si="24"/>
        <v>-96</v>
      </c>
      <c r="M38" s="97">
        <f t="shared" si="24"/>
        <v>-132</v>
      </c>
      <c r="N38" s="97">
        <f t="shared" si="24"/>
        <v>-210</v>
      </c>
      <c r="O38" s="97">
        <f t="shared" si="24"/>
        <v>-215</v>
      </c>
      <c r="P38" s="97"/>
      <c r="Q38" s="98"/>
      <c r="R38" s="141">
        <f>SUM(G38:Q38)</f>
        <v>-1836</v>
      </c>
      <c r="S38" s="142"/>
      <c r="T38" s="100"/>
      <c r="U38" s="100"/>
      <c r="V38" s="101"/>
      <c r="W38" s="102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</row>
    <row r="39" spans="1:34" s="59" customFormat="1" ht="55.5" customHeight="1" thickBot="1" x14ac:dyDescent="0.25">
      <c r="A39" s="67"/>
      <c r="B39" s="67"/>
      <c r="C39" s="143" t="s">
        <v>5</v>
      </c>
      <c r="D39" s="144"/>
      <c r="E39" s="144"/>
      <c r="F39" s="145"/>
      <c r="G39" s="107">
        <f>+G38/G36</f>
        <v>-0.5803108808290155</v>
      </c>
      <c r="H39" s="107">
        <f t="shared" ref="H39:O39" si="25">+H38/H36</f>
        <v>-0.60997732426303852</v>
      </c>
      <c r="I39" s="107">
        <f t="shared" si="25"/>
        <v>-0.62311557788944727</v>
      </c>
      <c r="J39" s="107">
        <f t="shared" si="25"/>
        <v>-0.61975308641975313</v>
      </c>
      <c r="K39" s="107">
        <f t="shared" si="25"/>
        <v>-0.58054711246200608</v>
      </c>
      <c r="L39" s="107">
        <f t="shared" si="25"/>
        <v>-0.5714285714285714</v>
      </c>
      <c r="M39" s="107">
        <f t="shared" si="25"/>
        <v>-0.6470588235294118</v>
      </c>
      <c r="N39" s="107">
        <f t="shared" si="25"/>
        <v>-0.6402439024390244</v>
      </c>
      <c r="O39" s="107">
        <f t="shared" si="25"/>
        <v>-0.63049853372434017</v>
      </c>
      <c r="P39" s="103"/>
      <c r="Q39" s="103"/>
      <c r="R39" s="146">
        <f>+R38/R36</f>
        <v>-0.61199999999999999</v>
      </c>
      <c r="S39" s="147"/>
      <c r="T39" s="104"/>
      <c r="U39" s="104" t="s">
        <v>17</v>
      </c>
      <c r="V39" s="105"/>
      <c r="W39" s="106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ht="33.75" customHeight="1" x14ac:dyDescent="0.2">
      <c r="A40" s="148" t="s">
        <v>24</v>
      </c>
      <c r="B40" s="148"/>
      <c r="C40" s="148"/>
      <c r="D40" s="148"/>
      <c r="E40" s="148"/>
      <c r="F40" s="148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6"/>
      <c r="R40" s="19"/>
      <c r="S40" s="5"/>
      <c r="T40" s="5"/>
      <c r="U40" s="5"/>
      <c r="V40" s="5"/>
      <c r="W40" s="5"/>
    </row>
    <row r="41" spans="1:34" ht="46.5" x14ac:dyDescent="0.2">
      <c r="A41" s="22"/>
      <c r="B41" s="22"/>
      <c r="C41" s="22"/>
      <c r="D41" s="22"/>
      <c r="E41" s="117"/>
      <c r="F41" s="117"/>
      <c r="G41" s="118"/>
      <c r="H41" s="119"/>
      <c r="I41" s="119"/>
      <c r="J41" s="119"/>
      <c r="K41" s="119"/>
      <c r="L41" s="119"/>
      <c r="M41" s="119"/>
      <c r="N41" s="119"/>
      <c r="O41" s="119"/>
      <c r="P41" s="60"/>
      <c r="Q41" s="45"/>
      <c r="R41" s="5"/>
      <c r="S41" s="150" t="s">
        <v>40</v>
      </c>
      <c r="T41" s="150"/>
      <c r="U41" s="150"/>
      <c r="V41" s="108" t="s">
        <v>45</v>
      </c>
      <c r="W41" s="108" t="s">
        <v>46</v>
      </c>
    </row>
    <row r="42" spans="1:34" ht="46.5" x14ac:dyDescent="0.2">
      <c r="A42" s="151" t="s">
        <v>33</v>
      </c>
      <c r="B42" s="151"/>
      <c r="C42" s="151"/>
      <c r="D42" s="121"/>
      <c r="E42" s="121"/>
      <c r="F42" s="22"/>
      <c r="G42" s="118"/>
      <c r="H42" s="48"/>
      <c r="I42" s="48"/>
      <c r="J42" s="48"/>
      <c r="K42" s="48"/>
      <c r="L42" s="46"/>
      <c r="M42" s="46"/>
      <c r="N42" s="46"/>
      <c r="O42" s="46"/>
      <c r="P42" s="10"/>
      <c r="Q42" s="4"/>
      <c r="R42" s="5"/>
      <c r="S42" s="109" t="s">
        <v>41</v>
      </c>
      <c r="T42" s="110"/>
      <c r="U42" s="111"/>
      <c r="V42" s="108"/>
      <c r="W42" s="108"/>
    </row>
    <row r="43" spans="1:34" ht="46.5" x14ac:dyDescent="0.2">
      <c r="A43" s="148" t="s">
        <v>34</v>
      </c>
      <c r="B43" s="148"/>
      <c r="C43" s="148"/>
      <c r="D43" s="120"/>
      <c r="E43" s="120"/>
      <c r="F43" s="22"/>
      <c r="G43" s="118"/>
      <c r="H43" s="48"/>
      <c r="I43" s="46"/>
      <c r="J43" s="46"/>
      <c r="K43" s="46"/>
      <c r="L43" s="46"/>
      <c r="M43" s="46"/>
      <c r="N43" s="46"/>
      <c r="O43" s="46"/>
      <c r="P43" s="10"/>
      <c r="Q43" s="4"/>
      <c r="R43" s="5"/>
      <c r="S43" s="112" t="s">
        <v>42</v>
      </c>
      <c r="T43" s="113"/>
      <c r="U43" s="114"/>
      <c r="V43" s="108"/>
      <c r="W43" s="108"/>
    </row>
    <row r="44" spans="1:34" ht="45" x14ac:dyDescent="0.2">
      <c r="A44" s="135" t="s">
        <v>35</v>
      </c>
      <c r="B44" s="135"/>
      <c r="C44" s="135"/>
      <c r="D44" s="39"/>
      <c r="E44" s="39"/>
      <c r="F44" s="7"/>
      <c r="G44" s="61" t="s">
        <v>68</v>
      </c>
      <c r="H44" s="49"/>
      <c r="I44" s="49"/>
      <c r="J44" s="46"/>
      <c r="K44" s="46"/>
      <c r="L44" s="46"/>
      <c r="M44" s="46"/>
      <c r="N44" s="46"/>
      <c r="O44" s="46"/>
      <c r="P44" s="10"/>
      <c r="Q44" s="4"/>
      <c r="R44" s="5"/>
      <c r="S44" s="112" t="s">
        <v>53</v>
      </c>
      <c r="T44" s="113"/>
      <c r="U44" s="114"/>
      <c r="V44" s="108"/>
      <c r="W44" s="108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</row>
    <row r="45" spans="1:34" ht="45" x14ac:dyDescent="0.2">
      <c r="A45" s="39" t="s">
        <v>36</v>
      </c>
      <c r="B45" s="39"/>
      <c r="C45" s="39"/>
      <c r="D45" s="39"/>
      <c r="E45" s="39"/>
      <c r="F45" s="7"/>
      <c r="G45" s="58"/>
      <c r="H45" s="46"/>
      <c r="I45" s="46"/>
      <c r="J45" s="46"/>
      <c r="K45" s="46"/>
      <c r="L45" s="46"/>
      <c r="M45" s="46"/>
      <c r="N45" s="46"/>
      <c r="O45" s="46"/>
      <c r="P45" s="10"/>
      <c r="Q45" s="4"/>
      <c r="R45" s="5"/>
      <c r="S45" s="112" t="s">
        <v>43</v>
      </c>
      <c r="T45" s="113"/>
      <c r="U45" s="114"/>
      <c r="V45" s="108"/>
      <c r="W45" s="108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</row>
    <row r="46" spans="1:34" ht="45" x14ac:dyDescent="0.2">
      <c r="A46" s="39" t="s">
        <v>37</v>
      </c>
      <c r="B46" s="39"/>
      <c r="C46" s="9"/>
      <c r="D46" s="39"/>
      <c r="E46" s="39"/>
      <c r="F46" s="11"/>
      <c r="G46" s="62"/>
      <c r="H46" s="10"/>
      <c r="I46" s="10"/>
      <c r="J46" s="10"/>
      <c r="K46" s="10"/>
      <c r="L46" s="10"/>
      <c r="M46" s="10"/>
      <c r="N46" s="10"/>
      <c r="O46" s="10"/>
      <c r="P46" s="10"/>
      <c r="Q46" s="5"/>
      <c r="R46" s="5"/>
      <c r="S46" s="112" t="s">
        <v>44</v>
      </c>
      <c r="T46" s="113"/>
      <c r="U46" s="114"/>
      <c r="V46" s="108"/>
      <c r="W46" s="108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</row>
    <row r="47" spans="1:34" ht="45" x14ac:dyDescent="0.2">
      <c r="A47" s="39" t="s">
        <v>38</v>
      </c>
      <c r="B47" s="39"/>
      <c r="C47" s="39"/>
      <c r="D47" s="9"/>
      <c r="E47" s="9"/>
      <c r="F47" s="11"/>
      <c r="G47" s="44"/>
      <c r="H47" s="10"/>
      <c r="I47" s="10"/>
      <c r="J47" s="10"/>
      <c r="K47" s="10"/>
      <c r="L47" s="10"/>
      <c r="M47" s="10"/>
      <c r="N47" s="10"/>
      <c r="O47" s="10"/>
      <c r="P47" s="10"/>
      <c r="Q47" s="5"/>
      <c r="R47" s="5"/>
      <c r="S47" s="112" t="s">
        <v>54</v>
      </c>
      <c r="T47" s="113"/>
      <c r="U47" s="114"/>
      <c r="V47" s="108"/>
      <c r="W47" s="108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</row>
    <row r="48" spans="1:34" ht="45" x14ac:dyDescent="0.2">
      <c r="A48" s="39" t="s">
        <v>39</v>
      </c>
      <c r="B48" s="63"/>
      <c r="C48" s="63"/>
      <c r="D48" s="39"/>
      <c r="E48" s="39"/>
      <c r="F48" s="8"/>
      <c r="G48" s="44"/>
      <c r="H48" s="10"/>
      <c r="I48" s="10"/>
      <c r="J48" s="10"/>
      <c r="K48" s="10"/>
      <c r="L48" s="10"/>
      <c r="M48" s="10"/>
      <c r="N48" s="10"/>
      <c r="O48" s="10"/>
      <c r="P48" s="10"/>
      <c r="Q48" s="5"/>
      <c r="R48" s="5"/>
      <c r="S48" s="112" t="s">
        <v>55</v>
      </c>
      <c r="T48" s="113"/>
      <c r="U48" s="114"/>
      <c r="V48" s="108"/>
      <c r="W48" s="108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</row>
    <row r="49" spans="1:34" ht="45" x14ac:dyDescent="0.2">
      <c r="A49" s="39"/>
      <c r="B49" s="63"/>
      <c r="C49" s="63"/>
      <c r="D49" s="39"/>
      <c r="E49" s="39"/>
      <c r="F49" s="8"/>
      <c r="G49" s="44"/>
      <c r="H49" s="10"/>
      <c r="I49" s="10"/>
      <c r="J49" s="10"/>
      <c r="K49" s="10"/>
      <c r="L49" s="10"/>
      <c r="M49" s="10"/>
      <c r="N49" s="10"/>
      <c r="O49" s="10"/>
      <c r="P49" s="10"/>
      <c r="Q49" s="5"/>
      <c r="R49" s="5"/>
      <c r="S49" s="112" t="s">
        <v>56</v>
      </c>
      <c r="T49" s="113"/>
      <c r="U49" s="114"/>
      <c r="V49" s="108"/>
      <c r="W49" s="108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</row>
    <row r="50" spans="1:34" ht="45" x14ac:dyDescent="0.2">
      <c r="A50" s="39"/>
      <c r="B50" s="63"/>
      <c r="C50" s="63"/>
      <c r="D50" s="39"/>
      <c r="E50" s="39"/>
      <c r="F50" s="8"/>
      <c r="G50" s="44"/>
      <c r="H50" s="10"/>
      <c r="I50" s="10"/>
      <c r="J50" s="10"/>
      <c r="K50" s="10"/>
      <c r="L50" s="10"/>
      <c r="M50" s="10"/>
      <c r="N50" s="10"/>
      <c r="O50" s="10"/>
      <c r="P50" s="10"/>
      <c r="Q50" s="5"/>
      <c r="R50" s="5"/>
      <c r="S50" s="112" t="s">
        <v>57</v>
      </c>
      <c r="T50" s="113"/>
      <c r="U50" s="114"/>
      <c r="V50" s="108"/>
      <c r="W50" s="108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</row>
    <row r="51" spans="1:34" ht="45" x14ac:dyDescent="0.2">
      <c r="A51" s="39"/>
      <c r="B51" s="63"/>
      <c r="C51" s="63"/>
      <c r="D51" s="39"/>
      <c r="E51" s="39"/>
      <c r="F51" s="8"/>
      <c r="G51" s="44"/>
      <c r="H51" s="10"/>
      <c r="I51" s="10"/>
      <c r="J51" s="10"/>
      <c r="K51" s="10"/>
      <c r="L51" s="10"/>
      <c r="M51" s="10"/>
      <c r="N51" s="10"/>
      <c r="O51" s="10"/>
      <c r="P51" s="10"/>
      <c r="Q51" s="5"/>
      <c r="R51" s="5"/>
      <c r="S51" s="112" t="s">
        <v>58</v>
      </c>
      <c r="T51" s="113"/>
      <c r="U51" s="114"/>
      <c r="V51" s="108"/>
      <c r="W51" s="108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</row>
    <row r="52" spans="1:34" ht="45" x14ac:dyDescent="0.2">
      <c r="A52" s="39"/>
      <c r="B52" s="63"/>
      <c r="C52" s="63"/>
      <c r="D52" s="39"/>
      <c r="E52" s="39"/>
      <c r="F52" s="8"/>
      <c r="G52" s="44"/>
      <c r="H52" s="10"/>
      <c r="I52" s="10"/>
      <c r="J52" s="10"/>
      <c r="K52" s="10"/>
      <c r="L52" s="10"/>
      <c r="M52" s="10"/>
      <c r="N52" s="10"/>
      <c r="O52" s="10"/>
      <c r="P52" s="10"/>
      <c r="Q52" s="5"/>
      <c r="R52" s="5"/>
      <c r="S52" s="112" t="s">
        <v>59</v>
      </c>
      <c r="T52" s="113"/>
      <c r="U52" s="114"/>
      <c r="V52" s="108"/>
      <c r="W52" s="108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</row>
    <row r="53" spans="1:34" ht="45" x14ac:dyDescent="0.2">
      <c r="A53" s="39"/>
      <c r="B53" s="63"/>
      <c r="C53" s="63"/>
      <c r="D53" s="39"/>
      <c r="E53" s="39"/>
      <c r="F53" s="8"/>
      <c r="G53" s="44"/>
      <c r="H53" s="10"/>
      <c r="I53" s="10"/>
      <c r="J53" s="10"/>
      <c r="K53" s="10"/>
      <c r="L53" s="10"/>
      <c r="M53" s="10"/>
      <c r="N53" s="10"/>
      <c r="O53" s="10"/>
      <c r="P53" s="10"/>
      <c r="Q53" s="5"/>
      <c r="R53" s="5"/>
      <c r="S53" s="112" t="s">
        <v>60</v>
      </c>
      <c r="T53" s="113"/>
      <c r="U53" s="114"/>
      <c r="V53" s="108"/>
      <c r="W53" s="108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</row>
    <row r="54" spans="1:34" ht="45" x14ac:dyDescent="0.2">
      <c r="A54" s="39"/>
      <c r="B54" s="63"/>
      <c r="C54" s="63"/>
      <c r="D54" s="39"/>
      <c r="E54" s="39"/>
      <c r="F54" s="8"/>
      <c r="G54" s="44"/>
      <c r="H54" s="10"/>
      <c r="I54" s="10"/>
      <c r="J54" s="10"/>
      <c r="K54" s="10"/>
      <c r="L54" s="10"/>
      <c r="M54" s="10"/>
      <c r="N54" s="10"/>
      <c r="O54" s="10"/>
      <c r="P54" s="10"/>
      <c r="Q54" s="5"/>
      <c r="R54" s="5"/>
      <c r="S54" s="112" t="s">
        <v>61</v>
      </c>
      <c r="T54" s="113"/>
      <c r="U54" s="114"/>
      <c r="V54" s="108"/>
      <c r="W54" s="108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</row>
    <row r="55" spans="1:34" ht="56.25" customHeight="1" x14ac:dyDescent="0.2">
      <c r="A55" s="39"/>
      <c r="B55" s="63"/>
      <c r="C55" s="63"/>
      <c r="D55" s="39"/>
      <c r="E55" s="39"/>
      <c r="F55" s="8"/>
      <c r="G55" s="44"/>
      <c r="H55" s="10"/>
      <c r="I55" s="10"/>
      <c r="J55" s="10"/>
      <c r="K55" s="10"/>
      <c r="L55" s="10"/>
      <c r="M55" s="10"/>
      <c r="N55" s="10"/>
      <c r="O55" s="10"/>
      <c r="P55" s="10"/>
      <c r="Q55" s="5"/>
      <c r="R55" s="5"/>
      <c r="S55" s="127"/>
      <c r="T55" s="65"/>
      <c r="U55" s="65"/>
      <c r="V55" s="66"/>
      <c r="W55" s="66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</row>
  </sheetData>
  <mergeCells count="58">
    <mergeCell ref="A1:W1"/>
    <mergeCell ref="A2:W2"/>
    <mergeCell ref="T3:V3"/>
    <mergeCell ref="D4:E4"/>
    <mergeCell ref="F4:G4"/>
    <mergeCell ref="H4:J6"/>
    <mergeCell ref="U4:V4"/>
    <mergeCell ref="U5:V5"/>
    <mergeCell ref="A6:G6"/>
    <mergeCell ref="U6:V6"/>
    <mergeCell ref="Q7:R7"/>
    <mergeCell ref="W10:W11"/>
    <mergeCell ref="A13:C13"/>
    <mergeCell ref="S10:S11"/>
    <mergeCell ref="T10:T11"/>
    <mergeCell ref="U10:U11"/>
    <mergeCell ref="V10:V11"/>
    <mergeCell ref="U7:V7"/>
    <mergeCell ref="A8:C8"/>
    <mergeCell ref="A9:C9"/>
    <mergeCell ref="A7:G7"/>
    <mergeCell ref="A25:C25"/>
    <mergeCell ref="A29:C29"/>
    <mergeCell ref="A27:C27"/>
    <mergeCell ref="Q10:Q11"/>
    <mergeCell ref="R10:R11"/>
    <mergeCell ref="A17:C17"/>
    <mergeCell ref="A19:C19"/>
    <mergeCell ref="A21:C21"/>
    <mergeCell ref="A23:C23"/>
    <mergeCell ref="A15:C15"/>
    <mergeCell ref="A10:C11"/>
    <mergeCell ref="G10:P10"/>
    <mergeCell ref="A31:F31"/>
    <mergeCell ref="A32:W32"/>
    <mergeCell ref="C33:F33"/>
    <mergeCell ref="G33:P33"/>
    <mergeCell ref="R33:S34"/>
    <mergeCell ref="T33:U36"/>
    <mergeCell ref="V33:W36"/>
    <mergeCell ref="C34:F34"/>
    <mergeCell ref="C35:F35"/>
    <mergeCell ref="R35:S35"/>
    <mergeCell ref="C36:F36"/>
    <mergeCell ref="R36:S36"/>
    <mergeCell ref="A44:C44"/>
    <mergeCell ref="V37:W37"/>
    <mergeCell ref="C38:F38"/>
    <mergeCell ref="R38:S38"/>
    <mergeCell ref="C39:F39"/>
    <mergeCell ref="R39:S39"/>
    <mergeCell ref="A40:F40"/>
    <mergeCell ref="T37:U37"/>
    <mergeCell ref="C37:F37"/>
    <mergeCell ref="R37:S37"/>
    <mergeCell ref="S41:U41"/>
    <mergeCell ref="A42:C42"/>
    <mergeCell ref="A43:C43"/>
  </mergeCells>
  <printOptions horizontalCentered="1" verticalCentered="1"/>
  <pageMargins left="0" right="0" top="0" bottom="0" header="0" footer="0"/>
  <pageSetup scale="21" orientation="landscape" blackAndWhite="1" r:id="rId1"/>
  <colBreaks count="1" manualBreakCount="1">
    <brk id="24" max="6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 (2)</vt:lpstr>
      <vt:lpstr>'Packing list (2)'!Print_Area</vt:lpstr>
    </vt:vector>
  </TitlesOfParts>
  <Company>COMTRADE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COMTRADE</dc:creator>
  <cp:lastModifiedBy>IT</cp:lastModifiedBy>
  <cp:lastPrinted>2026-09-28T10:06:38Z</cp:lastPrinted>
  <dcterms:created xsi:type="dcterms:W3CDTF">2008-03-09T17:39:11Z</dcterms:created>
  <dcterms:modified xsi:type="dcterms:W3CDTF">2026-09-28T10:07:06Z</dcterms:modified>
</cp:coreProperties>
</file>