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\.GAP\.Packing List\.2026\.1183764\"/>
    </mc:Choice>
  </mc:AlternateContent>
  <xr:revisionPtr revIDLastSave="0" documentId="13_ncr:1_{BE53694B-B904-4104-9DFC-A1435B86197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KL." sheetId="3" r:id="rId1"/>
    <sheet name="sum" sheetId="2" r:id="rId2"/>
  </sheets>
  <definedNames>
    <definedName name="_xlnm.Print_Area" localSheetId="0">PKL.!$A$1:$V$68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2" l="1"/>
  <c r="H13" i="2"/>
  <c r="H12" i="2"/>
  <c r="I12" i="2" s="1"/>
  <c r="T68" i="3"/>
  <c r="F15" i="2"/>
  <c r="E15" i="2"/>
  <c r="G15" i="2"/>
  <c r="I14" i="2"/>
  <c r="J15" i="2"/>
  <c r="I13" i="2" l="1"/>
  <c r="A49" i="3"/>
  <c r="B49" i="3"/>
  <c r="A50" i="3"/>
  <c r="B50" i="3"/>
  <c r="A51" i="3" s="1"/>
  <c r="U59" i="3"/>
  <c r="V59" i="3" s="1"/>
  <c r="U58" i="3"/>
  <c r="V58" i="3" s="1"/>
  <c r="U54" i="3"/>
  <c r="U53" i="3"/>
  <c r="U52" i="3"/>
  <c r="U48" i="3"/>
  <c r="S50" i="3"/>
  <c r="U50" i="3" s="1"/>
  <c r="V50" i="3" s="1"/>
  <c r="S48" i="3"/>
  <c r="A25" i="3"/>
  <c r="B25" i="3"/>
  <c r="A26" i="3"/>
  <c r="B26" i="3"/>
  <c r="A27" i="3" s="1"/>
  <c r="B24" i="3"/>
  <c r="U24" i="3"/>
  <c r="S24" i="3"/>
  <c r="D31" i="3"/>
  <c r="S26" i="3"/>
  <c r="S58" i="3"/>
  <c r="T58" i="3" s="1"/>
  <c r="S59" i="3"/>
  <c r="T59" i="3" s="1"/>
  <c r="S53" i="3"/>
  <c r="S52" i="3"/>
  <c r="T52" i="3" s="1"/>
  <c r="J60" i="3" s="1"/>
  <c r="S51" i="3"/>
  <c r="T51" i="3" s="1"/>
  <c r="S55" i="3"/>
  <c r="U55" i="3" s="1"/>
  <c r="S54" i="3"/>
  <c r="T54" i="3" s="1"/>
  <c r="L60" i="3" s="1"/>
  <c r="S56" i="3"/>
  <c r="U56" i="3" s="1"/>
  <c r="V56" i="3" s="1"/>
  <c r="E47" i="3"/>
  <c r="E63" i="3" s="1"/>
  <c r="D35" i="3"/>
  <c r="D34" i="3"/>
  <c r="B23" i="3"/>
  <c r="A24" i="3" s="1"/>
  <c r="G14" i="2"/>
  <c r="B51" i="3" l="1"/>
  <c r="V53" i="3"/>
  <c r="B27" i="3"/>
  <c r="V24" i="3"/>
  <c r="O60" i="3"/>
  <c r="O66" i="3" s="1"/>
  <c r="O67" i="3" s="1"/>
  <c r="O68" i="3" s="1"/>
  <c r="T24" i="3"/>
  <c r="V48" i="3"/>
  <c r="V55" i="3"/>
  <c r="T50" i="3"/>
  <c r="I60" i="3" s="1"/>
  <c r="I66" i="3" s="1"/>
  <c r="T48" i="3"/>
  <c r="T26" i="3"/>
  <c r="V54" i="3"/>
  <c r="V52" i="3"/>
  <c r="T53" i="3"/>
  <c r="T55" i="3"/>
  <c r="T56" i="3"/>
  <c r="S57" i="3"/>
  <c r="S25" i="3"/>
  <c r="O70" i="3"/>
  <c r="O64" i="3"/>
  <c r="O46" i="3"/>
  <c r="O22" i="3"/>
  <c r="O6" i="3"/>
  <c r="D60" i="3"/>
  <c r="B52" i="3" l="1"/>
  <c r="A52" i="3"/>
  <c r="B28" i="3"/>
  <c r="A28" i="3"/>
  <c r="L66" i="3"/>
  <c r="M60" i="3"/>
  <c r="M66" i="3" s="1"/>
  <c r="J66" i="3"/>
  <c r="K60" i="3"/>
  <c r="K66" i="3" s="1"/>
  <c r="T57" i="3"/>
  <c r="N60" i="3" s="1"/>
  <c r="U25" i="3"/>
  <c r="V25" i="3" s="1"/>
  <c r="T25" i="3"/>
  <c r="A53" i="3" l="1"/>
  <c r="B53" i="3"/>
  <c r="A29" i="3"/>
  <c r="B29" i="3"/>
  <c r="N66" i="3"/>
  <c r="S30" i="3"/>
  <c r="S29" i="3"/>
  <c r="S28" i="3"/>
  <c r="S27" i="3"/>
  <c r="S23" i="3"/>
  <c r="M70" i="3"/>
  <c r="M64" i="3"/>
  <c r="M46" i="3"/>
  <c r="M22" i="3"/>
  <c r="M6" i="3"/>
  <c r="B54" i="3" l="1"/>
  <c r="A54" i="3"/>
  <c r="B30" i="3"/>
  <c r="A30" i="3"/>
  <c r="T28" i="3"/>
  <c r="U28" i="3"/>
  <c r="V28" i="3" s="1"/>
  <c r="U27" i="3"/>
  <c r="V27" i="3" s="1"/>
  <c r="U29" i="3"/>
  <c r="V29" i="3" s="1"/>
  <c r="T30" i="3"/>
  <c r="T29" i="3"/>
  <c r="T27" i="3"/>
  <c r="T23" i="3"/>
  <c r="A55" i="3" l="1"/>
  <c r="B55" i="3"/>
  <c r="K70" i="3"/>
  <c r="K64" i="3"/>
  <c r="K46" i="3"/>
  <c r="K22" i="3"/>
  <c r="K6" i="3"/>
  <c r="H70" i="3"/>
  <c r="H64" i="3"/>
  <c r="H46" i="3"/>
  <c r="H22" i="3"/>
  <c r="H6" i="3"/>
  <c r="I70" i="3"/>
  <c r="J70" i="3"/>
  <c r="L70" i="3"/>
  <c r="N70" i="3"/>
  <c r="G70" i="3"/>
  <c r="B56" i="3" l="1"/>
  <c r="A56" i="3"/>
  <c r="U26" i="3"/>
  <c r="V26" i="3" s="1"/>
  <c r="L64" i="3"/>
  <c r="J64" i="3"/>
  <c r="L46" i="3"/>
  <c r="J46" i="3"/>
  <c r="L22" i="3"/>
  <c r="J22" i="3"/>
  <c r="L6" i="3"/>
  <c r="J6" i="3"/>
  <c r="A57" i="3" l="1"/>
  <c r="B57" i="3"/>
  <c r="S47" i="3"/>
  <c r="A58" i="3" l="1"/>
  <c r="B58" i="3"/>
  <c r="T47" i="3"/>
  <c r="A59" i="3" l="1"/>
  <c r="B59" i="3"/>
  <c r="G60" i="3"/>
  <c r="G66" i="3" s="1"/>
  <c r="S49" i="3"/>
  <c r="U49" i="3" s="1"/>
  <c r="V49" i="3" s="1"/>
  <c r="I46" i="3"/>
  <c r="N46" i="3"/>
  <c r="G46" i="3"/>
  <c r="D40" i="3"/>
  <c r="T38" i="3"/>
  <c r="M67" i="3" l="1"/>
  <c r="M68" i="3" s="1"/>
  <c r="K67" i="3"/>
  <c r="K68" i="3" s="1"/>
  <c r="T49" i="3"/>
  <c r="T60" i="3" s="1"/>
  <c r="H60" i="3" l="1"/>
  <c r="N64" i="3"/>
  <c r="N22" i="3"/>
  <c r="N6" i="3"/>
  <c r="U30" i="3" s="1"/>
  <c r="V30" i="3" s="1"/>
  <c r="I64" i="3"/>
  <c r="I22" i="3"/>
  <c r="I6" i="3"/>
  <c r="U57" i="3" l="1"/>
  <c r="V57" i="3" s="1"/>
  <c r="U51" i="3"/>
  <c r="V51" i="3" s="1"/>
  <c r="H66" i="3"/>
  <c r="T66" i="3" s="1"/>
  <c r="U23" i="3"/>
  <c r="V23" i="3" s="1"/>
  <c r="J67" i="3"/>
  <c r="J68" i="3" s="1"/>
  <c r="D38" i="3"/>
  <c r="D39" i="3" s="1"/>
  <c r="H67" i="3" l="1"/>
  <c r="H68" i="3" s="1"/>
  <c r="N67" i="3"/>
  <c r="N68" i="3" s="1"/>
  <c r="I67" i="3" l="1"/>
  <c r="I68" i="3" s="1"/>
  <c r="T31" i="3" l="1"/>
  <c r="G22" i="3" l="1"/>
  <c r="G64" i="3" l="1"/>
  <c r="T14" i="3" l="1"/>
  <c r="D36" i="3" l="1"/>
  <c r="G6" i="3"/>
  <c r="U47" i="3" s="1"/>
  <c r="V47" i="3" s="1"/>
  <c r="L67" i="3" l="1"/>
  <c r="L68" i="3" s="1"/>
  <c r="T37" i="3"/>
  <c r="D16" i="3" l="1"/>
  <c r="T13" i="3" l="1"/>
  <c r="D14" i="3" l="1"/>
  <c r="D15" i="3" l="1"/>
  <c r="G67" i="3"/>
  <c r="G68" i="3" s="1"/>
  <c r="T65" i="3"/>
  <c r="T67" i="3" l="1"/>
  <c r="G11" i="2" l="1"/>
  <c r="I11" i="2" l="1"/>
  <c r="B47" i="3" l="1"/>
  <c r="A47" i="3"/>
  <c r="B48" i="3" l="1"/>
  <c r="A48" i="3"/>
</calcChain>
</file>

<file path=xl/sharedStrings.xml><?xml version="1.0" encoding="utf-8"?>
<sst xmlns="http://schemas.openxmlformats.org/spreadsheetml/2006/main" count="175" uniqueCount="97">
  <si>
    <t xml:space="preserve">BUYER             : </t>
  </si>
  <si>
    <t>STYLE             :</t>
  </si>
  <si>
    <t>P. O. #             :</t>
  </si>
  <si>
    <t>O/QTY              :</t>
  </si>
  <si>
    <t>PCS</t>
  </si>
  <si>
    <t>SHIP QTY         :</t>
  </si>
  <si>
    <t>SKU / Item</t>
  </si>
  <si>
    <t>EX/SHORT       :</t>
  </si>
  <si>
    <t>80/40</t>
  </si>
  <si>
    <t>CTN QTY          :</t>
  </si>
  <si>
    <t>CTNS</t>
  </si>
  <si>
    <t xml:space="preserve">CARTON </t>
  </si>
  <si>
    <t>CTN MEAS.      :</t>
  </si>
  <si>
    <t>CTN</t>
  </si>
  <si>
    <t>CTN QTY</t>
  </si>
  <si>
    <t>COLOR</t>
  </si>
  <si>
    <t>PREPACK STECKER</t>
  </si>
  <si>
    <t>SIZE</t>
  </si>
  <si>
    <t>QTY PER CTN</t>
  </si>
  <si>
    <t>TOTAL QTY</t>
  </si>
  <si>
    <t xml:space="preserve">GROSS WEIGHT </t>
  </si>
  <si>
    <t>NET WEIGHT</t>
  </si>
  <si>
    <t>NO</t>
  </si>
  <si>
    <t>TOTAL</t>
  </si>
  <si>
    <t>ORDER  QTY</t>
  </si>
  <si>
    <t>SHIP  QTY</t>
  </si>
  <si>
    <t>EX/SHORT</t>
  </si>
  <si>
    <t>%</t>
  </si>
  <si>
    <t>Nishat Nagar , Tongi , Gazipur .</t>
  </si>
  <si>
    <t>PACKING LIST SUMMARY</t>
  </si>
  <si>
    <t>SHORT</t>
  </si>
  <si>
    <t>PENDING ISSUE</t>
  </si>
  <si>
    <t>YES</t>
  </si>
  <si>
    <t>REMARKS</t>
  </si>
  <si>
    <t>PACKING INCHARGE</t>
  </si>
  <si>
    <t>Nishatnagar,Tongi,Gazipur</t>
  </si>
  <si>
    <t>BUYER</t>
  </si>
  <si>
    <t>STYLE</t>
  </si>
  <si>
    <t>DATE</t>
  </si>
  <si>
    <t>DC</t>
  </si>
  <si>
    <t>PO NO</t>
  </si>
  <si>
    <t>COLOR/CODE</t>
  </si>
  <si>
    <t>ORD/QTY</t>
  </si>
  <si>
    <t>SHIP/QTY</t>
  </si>
  <si>
    <t>EXCES</t>
  </si>
  <si>
    <t>PER (%)</t>
  </si>
  <si>
    <t>SERIAL NO</t>
  </si>
  <si>
    <t>%ISSUE</t>
  </si>
  <si>
    <t>GPT</t>
  </si>
  <si>
    <t>TOP</t>
  </si>
  <si>
    <t>SHADE BAND</t>
  </si>
  <si>
    <t>GTS/YTS</t>
  </si>
  <si>
    <t>UP DATE DC PO</t>
  </si>
  <si>
    <t>TRIM CARD</t>
  </si>
  <si>
    <t>FA CTN QTY</t>
  </si>
  <si>
    <t>CHECK QTY</t>
  </si>
  <si>
    <t>VSL DATE</t>
  </si>
  <si>
    <t>ITEM</t>
  </si>
  <si>
    <t>MES:</t>
  </si>
  <si>
    <t>SEASON</t>
  </si>
  <si>
    <t xml:space="preserve">Unit / Prepack      </t>
  </si>
  <si>
    <t>FA AUDITOR</t>
  </si>
  <si>
    <t>N.W</t>
  </si>
  <si>
    <t>N.N.W</t>
  </si>
  <si>
    <t>EMPTY CTN WET</t>
  </si>
  <si>
    <t xml:space="preserve">    CREATIVE COLLECTIONS LTD-1A.</t>
  </si>
  <si>
    <t>CREATIVE COLLECTIONS LIMITED (UNIT-1A)</t>
  </si>
  <si>
    <t>N.WT</t>
  </si>
  <si>
    <t>N.N. WT</t>
  </si>
  <si>
    <t>FM</t>
  </si>
  <si>
    <t>OLD NAVY</t>
  </si>
  <si>
    <t xml:space="preserve">BULK PACK </t>
  </si>
  <si>
    <t>G84</t>
  </si>
  <si>
    <t>G82</t>
  </si>
  <si>
    <t>''</t>
  </si>
  <si>
    <t xml:space="preserve">Single PACK </t>
  </si>
  <si>
    <r>
      <t xml:space="preserve">PO </t>
    </r>
    <r>
      <rPr>
        <b/>
        <i/>
        <sz val="14"/>
        <rFont val="Arial"/>
        <family val="2"/>
      </rPr>
      <t xml:space="preserve"># </t>
    </r>
  </si>
  <si>
    <t>WASHED BLACK</t>
  </si>
  <si>
    <t>Holl'26</t>
  </si>
  <si>
    <t>1183764-00-1</t>
  </si>
  <si>
    <t>58.67 X 38.48 X 29.71 CM.G81</t>
  </si>
  <si>
    <t>58.67 X 38.48 X 14.86 CM.G82</t>
  </si>
  <si>
    <t>38.48 X 29.33 X 14.86 CM.G84</t>
  </si>
  <si>
    <t>29.33 X 19.25 X 14.86 CM.G85</t>
  </si>
  <si>
    <t>G81</t>
  </si>
  <si>
    <t>11 of 24</t>
  </si>
  <si>
    <t>1 of 24</t>
  </si>
  <si>
    <t>G85</t>
  </si>
  <si>
    <t>61835339</t>
  </si>
  <si>
    <t>61860103</t>
  </si>
  <si>
    <t>61860104</t>
  </si>
  <si>
    <t>61860105</t>
  </si>
  <si>
    <t>27/09/2026</t>
  </si>
  <si>
    <t>SDC</t>
  </si>
  <si>
    <t>OHO</t>
  </si>
  <si>
    <t>ODC</t>
  </si>
  <si>
    <t>FDC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</si>
</sst>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8"/>
      <name val="Arial"/>
      <family val="2"/>
    </font>
    <font>
      <b/>
      <sz val="14"/>
      <name val="Vrinda"/>
      <family val="1"/>
      <scheme val="major"/>
    </font>
    <font>
      <b/>
      <sz val="14"/>
      <name val="Arial"/>
      <family val="2"/>
    </font>
    <font>
      <sz val="11"/>
      <name val="Arial"/>
      <family val="2"/>
    </font>
    <font>
      <b/>
      <sz val="11"/>
      <name val="Vrinda"/>
      <family val="1"/>
      <scheme val="major"/>
    </font>
    <font>
      <b/>
      <sz val="12"/>
      <name val="Vrinda"/>
      <family val="1"/>
      <scheme val="major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1"/>
      <color rgb="FF000000"/>
      <name val="Helvetica"/>
    </font>
    <font>
      <b/>
      <sz val="6"/>
      <color rgb="FF000000"/>
      <name val="Helvetica"/>
    </font>
    <font>
      <b/>
      <u/>
      <sz val="14"/>
      <name val="Arial"/>
      <family val="2"/>
    </font>
    <font>
      <b/>
      <i/>
      <sz val="14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7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0" fontId="13" fillId="0" borderId="31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vertical="center"/>
    </xf>
    <xf numFmtId="0" fontId="8" fillId="3" borderId="40" xfId="0" applyFont="1" applyFill="1" applyBorder="1" applyAlignment="1">
      <alignment horizontal="center" vertical="center" wrapText="1"/>
    </xf>
    <xf numFmtId="0" fontId="1" fillId="4" borderId="56" xfId="0" applyFont="1" applyFill="1" applyBorder="1" applyAlignment="1">
      <alignment vertical="center"/>
    </xf>
    <xf numFmtId="0" fontId="1" fillId="4" borderId="57" xfId="0" applyFont="1" applyFill="1" applyBorder="1" applyAlignment="1">
      <alignment vertical="center"/>
    </xf>
    <xf numFmtId="0" fontId="8" fillId="4" borderId="5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0" fontId="8" fillId="4" borderId="58" xfId="1" applyNumberFormat="1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6" fillId="2" borderId="32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2" fontId="1" fillId="2" borderId="26" xfId="0" applyNumberFormat="1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5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18" fillId="2" borderId="0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2" fontId="8" fillId="2" borderId="17" xfId="0" applyNumberFormat="1" applyFont="1" applyFill="1" applyBorder="1" applyAlignment="1">
      <alignment horizontal="center" vertical="center" wrapText="1"/>
    </xf>
    <xf numFmtId="2" fontId="8" fillId="2" borderId="22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/>
    <xf numFmtId="0" fontId="19" fillId="2" borderId="0" xfId="0" applyFont="1" applyFill="1"/>
    <xf numFmtId="0" fontId="20" fillId="2" borderId="0" xfId="0" applyFont="1" applyFill="1"/>
    <xf numFmtId="0" fontId="13" fillId="0" borderId="17" xfId="0" quotePrefix="1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/>
    </xf>
    <xf numFmtId="0" fontId="12" fillId="2" borderId="20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 wrapText="1"/>
    </xf>
    <xf numFmtId="164" fontId="14" fillId="2" borderId="17" xfId="0" applyNumberFormat="1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2" fillId="2" borderId="0" xfId="0" applyFont="1" applyFill="1"/>
    <xf numFmtId="0" fontId="21" fillId="2" borderId="0" xfId="0" applyFont="1" applyFill="1"/>
    <xf numFmtId="0" fontId="12" fillId="2" borderId="0" xfId="0" applyFont="1" applyFill="1" applyAlignment="1">
      <alignment horizontal="right"/>
    </xf>
    <xf numFmtId="1" fontId="12" fillId="2" borderId="0" xfId="0" applyNumberFormat="1" applyFont="1" applyFill="1" applyAlignment="1">
      <alignment horizontal="left"/>
    </xf>
    <xf numFmtId="0" fontId="12" fillId="2" borderId="15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2" fontId="12" fillId="2" borderId="10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2" fontId="12" fillId="2" borderId="26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59" xfId="0" applyFont="1" applyFill="1" applyBorder="1" applyAlignment="1">
      <alignment horizontal="center" vertical="center"/>
    </xf>
    <xf numFmtId="49" fontId="12" fillId="2" borderId="13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6" fillId="2" borderId="14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/>
    </xf>
    <xf numFmtId="1" fontId="8" fillId="2" borderId="15" xfId="0" applyNumberFormat="1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4" fillId="2" borderId="15" xfId="0" applyFont="1" applyFill="1" applyBorder="1" applyAlignment="1">
      <alignment horizontal="center" vertical="center"/>
    </xf>
    <xf numFmtId="49" fontId="6" fillId="5" borderId="18" xfId="0" applyNumberFormat="1" applyFont="1" applyFill="1" applyBorder="1" applyAlignment="1">
      <alignment horizontal="center" vertical="center"/>
    </xf>
    <xf numFmtId="49" fontId="6" fillId="5" borderId="1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A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 val="0"/>
        <i/>
        <strike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585107</xdr:colOff>
      <xdr:row>46</xdr:row>
      <xdr:rowOff>285750</xdr:rowOff>
    </xdr:from>
    <xdr:to>
      <xdr:col>29</xdr:col>
      <xdr:colOff>518302</xdr:colOff>
      <xdr:row>57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DB8CF2-C5ED-4B21-8E45-5A15D70C5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8143" y="12994821"/>
          <a:ext cx="4219445" cy="3946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0"/>
  <sheetViews>
    <sheetView view="pageBreakPreview" zoomScale="70" zoomScaleSheetLayoutView="70" workbookViewId="0">
      <pane ySplit="5" topLeftCell="A54" activePane="bottomLeft" state="frozen"/>
      <selection pane="bottomLeft" sqref="A1:V1"/>
    </sheetView>
  </sheetViews>
  <sheetFormatPr defaultRowHeight="12.75" x14ac:dyDescent="0.2"/>
  <cols>
    <col min="1" max="1" width="6.28515625" style="83" customWidth="1"/>
    <col min="2" max="2" width="7.5703125" style="83" customWidth="1"/>
    <col min="3" max="3" width="7.85546875" style="83" customWidth="1"/>
    <col min="4" max="4" width="7.5703125" style="83" customWidth="1"/>
    <col min="5" max="5" width="12.5703125" style="83" customWidth="1"/>
    <col min="6" max="6" width="17" style="83" customWidth="1"/>
    <col min="7" max="15" width="10.42578125" style="83" customWidth="1"/>
    <col min="16" max="16" width="7" style="83" bestFit="1" customWidth="1"/>
    <col min="17" max="17" width="2.85546875" style="83" customWidth="1"/>
    <col min="18" max="18" width="4.85546875" style="83" customWidth="1"/>
    <col min="19" max="19" width="5.5703125" style="83" customWidth="1"/>
    <col min="20" max="20" width="9.42578125" style="83" customWidth="1"/>
    <col min="21" max="22" width="9.28515625" style="83" customWidth="1"/>
    <col min="23" max="16384" width="9.140625" style="83"/>
  </cols>
  <sheetData>
    <row r="1" spans="1:22" ht="23.25" x14ac:dyDescent="0.35">
      <c r="A1" s="159" t="s">
        <v>65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</row>
    <row r="2" spans="1:22" ht="16.7" customHeight="1" x14ac:dyDescent="0.25">
      <c r="A2" s="160" t="s">
        <v>28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</row>
    <row r="3" spans="1:22" ht="16.7" customHeight="1" x14ac:dyDescent="0.2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 spans="1:22" ht="16.7" customHeight="1" x14ac:dyDescent="0.2">
      <c r="A4" s="78"/>
      <c r="B4" s="78"/>
      <c r="C4" s="78"/>
      <c r="D4" s="80" t="s">
        <v>17</v>
      </c>
      <c r="E4" s="80"/>
      <c r="F4" s="69" t="s">
        <v>17</v>
      </c>
      <c r="G4" s="123">
        <v>5</v>
      </c>
      <c r="H4" s="123">
        <v>6</v>
      </c>
      <c r="I4" s="123">
        <v>7</v>
      </c>
      <c r="J4" s="123">
        <v>8</v>
      </c>
      <c r="K4" s="123">
        <v>10</v>
      </c>
      <c r="L4" s="123">
        <v>12</v>
      </c>
      <c r="M4" s="123">
        <v>14</v>
      </c>
      <c r="N4" s="123">
        <v>16</v>
      </c>
      <c r="O4" s="123">
        <v>18</v>
      </c>
      <c r="P4" s="71"/>
      <c r="Q4" s="71"/>
      <c r="R4" s="71"/>
      <c r="S4" s="78"/>
      <c r="T4" s="78"/>
      <c r="U4" s="78"/>
      <c r="V4" s="78"/>
    </row>
    <row r="5" spans="1:22" ht="16.7" customHeight="1" x14ac:dyDescent="0.2">
      <c r="A5" s="78"/>
      <c r="B5" s="78"/>
      <c r="C5" s="78"/>
      <c r="D5" s="80" t="s">
        <v>62</v>
      </c>
      <c r="E5" s="80"/>
      <c r="F5" s="69" t="s">
        <v>67</v>
      </c>
      <c r="G5" s="98">
        <v>0.37</v>
      </c>
      <c r="H5" s="98">
        <v>0.4</v>
      </c>
      <c r="I5" s="98">
        <v>0.42</v>
      </c>
      <c r="J5" s="98">
        <v>0.45</v>
      </c>
      <c r="K5" s="98">
        <v>0.48</v>
      </c>
      <c r="L5" s="98">
        <v>0.52</v>
      </c>
      <c r="M5" s="98">
        <v>0.57999999999999996</v>
      </c>
      <c r="N5" s="98">
        <v>0.6</v>
      </c>
      <c r="O5" s="98">
        <v>0.63</v>
      </c>
      <c r="P5" s="71"/>
      <c r="Q5" s="71"/>
      <c r="R5" s="71"/>
      <c r="S5" s="78"/>
      <c r="T5" s="78"/>
      <c r="U5" s="78"/>
      <c r="V5" s="78"/>
    </row>
    <row r="6" spans="1:22" ht="16.7" customHeight="1" x14ac:dyDescent="0.2">
      <c r="A6" s="78"/>
      <c r="B6" s="78"/>
      <c r="C6" s="78"/>
      <c r="D6" s="80" t="s">
        <v>63</v>
      </c>
      <c r="E6" s="80"/>
      <c r="F6" s="69" t="s">
        <v>68</v>
      </c>
      <c r="G6" s="97">
        <f t="shared" ref="G6" si="0">+G5-0.02</f>
        <v>0.35</v>
      </c>
      <c r="H6" s="97">
        <f t="shared" ref="H6" si="1">+H5-0.02</f>
        <v>0.38</v>
      </c>
      <c r="I6" s="97">
        <f t="shared" ref="I6:N6" si="2">+I5-0.02</f>
        <v>0.39999999999999997</v>
      </c>
      <c r="J6" s="97">
        <f t="shared" si="2"/>
        <v>0.43</v>
      </c>
      <c r="K6" s="97">
        <f t="shared" ref="K6:M6" si="3">+K5-0.02</f>
        <v>0.45999999999999996</v>
      </c>
      <c r="L6" s="97">
        <f t="shared" si="3"/>
        <v>0.5</v>
      </c>
      <c r="M6" s="97">
        <f t="shared" si="3"/>
        <v>0.55999999999999994</v>
      </c>
      <c r="N6" s="97">
        <f t="shared" si="2"/>
        <v>0.57999999999999996</v>
      </c>
      <c r="O6" s="97">
        <f t="shared" ref="O6" si="4">+O5-0.02</f>
        <v>0.61</v>
      </c>
      <c r="P6" s="71"/>
      <c r="Q6" s="71"/>
      <c r="R6" s="71"/>
      <c r="S6" s="78"/>
      <c r="T6" s="78"/>
      <c r="U6" s="78"/>
      <c r="V6" s="78"/>
    </row>
    <row r="7" spans="1:22" ht="16.7" customHeight="1" x14ac:dyDescent="0.2">
      <c r="A7" s="78"/>
      <c r="B7" s="78"/>
      <c r="C7" s="78"/>
      <c r="D7" s="163" t="s">
        <v>64</v>
      </c>
      <c r="E7" s="163"/>
      <c r="F7" s="72"/>
      <c r="G7" s="99"/>
      <c r="H7" s="99"/>
      <c r="I7" s="99"/>
      <c r="J7" s="99"/>
      <c r="K7" s="99"/>
      <c r="L7" s="99"/>
      <c r="M7" s="99"/>
      <c r="N7" s="99"/>
      <c r="O7" s="99"/>
      <c r="P7" s="62"/>
      <c r="Q7" s="62"/>
      <c r="R7" s="62"/>
      <c r="S7" s="78"/>
      <c r="T7" s="78"/>
      <c r="U7" s="78"/>
      <c r="V7" s="78"/>
    </row>
    <row r="8" spans="1:22" ht="16.7" customHeight="1" x14ac:dyDescent="0.2">
      <c r="A8" s="78"/>
      <c r="B8" s="78"/>
      <c r="C8" s="78"/>
      <c r="D8" s="79"/>
      <c r="E8" s="79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78"/>
      <c r="T8" s="78"/>
      <c r="U8" s="78"/>
      <c r="V8" s="78"/>
    </row>
    <row r="9" spans="1:22" ht="16.7" customHeight="1" x14ac:dyDescent="0.25">
      <c r="A9" s="150" t="s">
        <v>75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</row>
    <row r="10" spans="1:22" s="103" customFormat="1" ht="22.5" customHeight="1" x14ac:dyDescent="0.25">
      <c r="A10" s="101" t="s">
        <v>0</v>
      </c>
      <c r="B10" s="101"/>
      <c r="C10" s="101"/>
      <c r="D10" s="101" t="s">
        <v>70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</row>
    <row r="11" spans="1:22" s="103" customFormat="1" ht="22.5" customHeight="1" x14ac:dyDescent="0.25">
      <c r="A11" s="101" t="s">
        <v>1</v>
      </c>
      <c r="B11" s="101"/>
      <c r="C11" s="101"/>
      <c r="D11" s="106" t="s">
        <v>79</v>
      </c>
      <c r="I11" s="104"/>
      <c r="K11" s="104"/>
      <c r="L11" s="104"/>
      <c r="M11" s="104"/>
      <c r="N11" s="104"/>
      <c r="O11" s="104"/>
      <c r="P11" s="100"/>
      <c r="Q11" s="100"/>
      <c r="R11" s="100"/>
      <c r="S11" s="100"/>
      <c r="T11" s="100"/>
      <c r="U11" s="100"/>
    </row>
    <row r="12" spans="1:22" s="103" customFormat="1" ht="22.5" customHeight="1" x14ac:dyDescent="0.25">
      <c r="A12" s="101" t="s">
        <v>2</v>
      </c>
      <c r="B12" s="101"/>
      <c r="C12" s="101"/>
      <c r="D12" s="162">
        <v>61860103</v>
      </c>
      <c r="E12" s="162"/>
    </row>
    <row r="13" spans="1:22" s="103" customFormat="1" ht="22.5" customHeight="1" thickBot="1" x14ac:dyDescent="0.35">
      <c r="A13" s="101" t="s">
        <v>3</v>
      </c>
      <c r="B13" s="101"/>
      <c r="C13" s="101"/>
      <c r="D13" s="100">
        <v>172</v>
      </c>
      <c r="E13" s="103" t="s">
        <v>4</v>
      </c>
      <c r="P13" s="103" t="s">
        <v>76</v>
      </c>
      <c r="T13" s="161">
        <f>D12</f>
        <v>61860103</v>
      </c>
      <c r="U13" s="161"/>
    </row>
    <row r="14" spans="1:22" s="103" customFormat="1" ht="22.5" customHeight="1" thickBot="1" x14ac:dyDescent="0.3">
      <c r="A14" s="101" t="s">
        <v>5</v>
      </c>
      <c r="B14" s="101"/>
      <c r="C14" s="101"/>
      <c r="D14" s="100">
        <f>T31</f>
        <v>172</v>
      </c>
      <c r="E14" s="103" t="s">
        <v>4</v>
      </c>
      <c r="P14" s="103" t="s">
        <v>6</v>
      </c>
      <c r="T14" s="158" t="str">
        <f>D11</f>
        <v>1183764-00-1</v>
      </c>
      <c r="U14" s="149"/>
      <c r="V14" s="105"/>
    </row>
    <row r="15" spans="1:22" s="103" customFormat="1" ht="22.5" customHeight="1" thickBot="1" x14ac:dyDescent="0.3">
      <c r="A15" s="101" t="s">
        <v>7</v>
      </c>
      <c r="B15" s="101"/>
      <c r="C15" s="101"/>
      <c r="D15" s="100">
        <f>D14-D13</f>
        <v>0</v>
      </c>
      <c r="E15" s="103" t="s">
        <v>4</v>
      </c>
      <c r="P15" s="103" t="s">
        <v>60</v>
      </c>
      <c r="T15" s="149" t="s">
        <v>8</v>
      </c>
      <c r="U15" s="149"/>
      <c r="V15" s="105"/>
    </row>
    <row r="16" spans="1:22" s="103" customFormat="1" ht="22.5" customHeight="1" thickBot="1" x14ac:dyDescent="0.3">
      <c r="A16" s="101" t="s">
        <v>9</v>
      </c>
      <c r="B16" s="101"/>
      <c r="C16" s="101"/>
      <c r="D16" s="100">
        <f>D31</f>
        <v>10</v>
      </c>
      <c r="E16" s="103" t="s">
        <v>10</v>
      </c>
      <c r="P16" s="103" t="s">
        <v>11</v>
      </c>
      <c r="T16" s="149" t="s">
        <v>86</v>
      </c>
      <c r="U16" s="149"/>
    </row>
    <row r="17" spans="1:22" s="103" customFormat="1" ht="22.5" customHeight="1" x14ac:dyDescent="0.25">
      <c r="A17" s="101" t="s">
        <v>12</v>
      </c>
      <c r="B17" s="101"/>
      <c r="C17" s="101"/>
      <c r="D17" s="103" t="s">
        <v>80</v>
      </c>
    </row>
    <row r="18" spans="1:22" s="103" customFormat="1" ht="22.5" customHeight="1" x14ac:dyDescent="0.25">
      <c r="A18" s="101" t="s">
        <v>12</v>
      </c>
      <c r="B18" s="101"/>
      <c r="C18" s="101"/>
      <c r="D18" s="103" t="s">
        <v>81</v>
      </c>
    </row>
    <row r="19" spans="1:22" s="103" customFormat="1" ht="22.5" customHeight="1" x14ac:dyDescent="0.25">
      <c r="A19" s="101" t="s">
        <v>12</v>
      </c>
      <c r="B19" s="101"/>
      <c r="C19" s="101"/>
      <c r="D19" s="103" t="s">
        <v>82</v>
      </c>
    </row>
    <row r="20" spans="1:22" s="103" customFormat="1" ht="22.5" customHeight="1" thickBot="1" x14ac:dyDescent="0.3">
      <c r="A20" s="101" t="s">
        <v>12</v>
      </c>
      <c r="B20" s="101"/>
      <c r="C20" s="101"/>
      <c r="D20" s="103" t="s">
        <v>83</v>
      </c>
    </row>
    <row r="21" spans="1:22" ht="16.7" customHeight="1" x14ac:dyDescent="0.2">
      <c r="A21" s="5" t="s">
        <v>13</v>
      </c>
      <c r="B21" s="42"/>
      <c r="C21" s="6" t="s">
        <v>13</v>
      </c>
      <c r="D21" s="142" t="s">
        <v>14</v>
      </c>
      <c r="E21" s="142" t="s">
        <v>15</v>
      </c>
      <c r="F21" s="144" t="s">
        <v>16</v>
      </c>
      <c r="G21" s="146" t="s">
        <v>17</v>
      </c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8"/>
      <c r="S21" s="142" t="s">
        <v>18</v>
      </c>
      <c r="T21" s="144" t="s">
        <v>19</v>
      </c>
      <c r="U21" s="151" t="s">
        <v>20</v>
      </c>
      <c r="V21" s="153" t="s">
        <v>21</v>
      </c>
    </row>
    <row r="22" spans="1:22" ht="21.75" customHeight="1" thickBot="1" x14ac:dyDescent="0.25">
      <c r="A22" s="81" t="s">
        <v>22</v>
      </c>
      <c r="B22" s="82"/>
      <c r="C22" s="7" t="s">
        <v>58</v>
      </c>
      <c r="D22" s="143"/>
      <c r="E22" s="143"/>
      <c r="F22" s="145"/>
      <c r="G22" s="121">
        <f t="shared" ref="G22:O22" si="5">G4</f>
        <v>5</v>
      </c>
      <c r="H22" s="121">
        <f t="shared" si="5"/>
        <v>6</v>
      </c>
      <c r="I22" s="121">
        <f t="shared" si="5"/>
        <v>7</v>
      </c>
      <c r="J22" s="121">
        <f t="shared" si="5"/>
        <v>8</v>
      </c>
      <c r="K22" s="121">
        <f t="shared" si="5"/>
        <v>10</v>
      </c>
      <c r="L22" s="121">
        <f t="shared" si="5"/>
        <v>12</v>
      </c>
      <c r="M22" s="121">
        <f t="shared" si="5"/>
        <v>14</v>
      </c>
      <c r="N22" s="121">
        <f t="shared" si="5"/>
        <v>16</v>
      </c>
      <c r="O22" s="121">
        <f t="shared" si="5"/>
        <v>18</v>
      </c>
      <c r="P22" s="155"/>
      <c r="Q22" s="156"/>
      <c r="R22" s="157"/>
      <c r="S22" s="143"/>
      <c r="T22" s="145"/>
      <c r="U22" s="152"/>
      <c r="V22" s="154"/>
    </row>
    <row r="23" spans="1:22" ht="28.5" customHeight="1" x14ac:dyDescent="0.2">
      <c r="A23" s="114">
        <v>1</v>
      </c>
      <c r="B23" s="91">
        <f>+D23</f>
        <v>1</v>
      </c>
      <c r="C23" s="115" t="s">
        <v>73</v>
      </c>
      <c r="D23" s="116">
        <v>1</v>
      </c>
      <c r="E23" s="61" t="s">
        <v>77</v>
      </c>
      <c r="F23" s="91">
        <v>8870188</v>
      </c>
      <c r="G23" s="117"/>
      <c r="H23" s="117"/>
      <c r="I23" s="117"/>
      <c r="J23" s="117">
        <v>8</v>
      </c>
      <c r="K23" s="117"/>
      <c r="L23" s="117"/>
      <c r="M23" s="117"/>
      <c r="N23" s="117"/>
      <c r="O23" s="117"/>
      <c r="P23" s="57"/>
      <c r="Q23" s="58"/>
      <c r="R23" s="59"/>
      <c r="S23" s="120">
        <f t="shared" ref="S23:S30" si="6">SUM(G23:R23)*2</f>
        <v>16</v>
      </c>
      <c r="T23" s="43">
        <f t="shared" ref="T23:T30" si="7">S23*D23</f>
        <v>16</v>
      </c>
      <c r="U23" s="84">
        <f>+S23*I6+0.89</f>
        <v>7.2899999999999991</v>
      </c>
      <c r="V23" s="85">
        <f t="shared" ref="V23:V30" si="8">U23-0.24</f>
        <v>7.0499999999999989</v>
      </c>
    </row>
    <row r="24" spans="1:22" ht="28.5" customHeight="1" x14ac:dyDescent="0.2">
      <c r="A24" s="114">
        <f>+B23+1</f>
        <v>2</v>
      </c>
      <c r="B24" s="91">
        <f>+B23+D24</f>
        <v>2</v>
      </c>
      <c r="C24" s="115" t="s">
        <v>72</v>
      </c>
      <c r="D24" s="116">
        <v>1</v>
      </c>
      <c r="E24" s="61"/>
      <c r="F24" s="91">
        <v>8870188</v>
      </c>
      <c r="G24" s="117"/>
      <c r="H24" s="117"/>
      <c r="I24" s="117"/>
      <c r="J24" s="117">
        <v>3</v>
      </c>
      <c r="K24" s="117"/>
      <c r="L24" s="117"/>
      <c r="M24" s="117"/>
      <c r="N24" s="117"/>
      <c r="O24" s="117"/>
      <c r="P24" s="57"/>
      <c r="Q24" s="58"/>
      <c r="R24" s="59"/>
      <c r="S24" s="120">
        <f t="shared" ref="S24" si="9">SUM(G24:R24)*2</f>
        <v>6</v>
      </c>
      <c r="T24" s="43">
        <f t="shared" si="7"/>
        <v>6</v>
      </c>
      <c r="U24" s="84">
        <f>+S24*J5+0.42</f>
        <v>3.12</v>
      </c>
      <c r="V24" s="85">
        <f t="shared" si="8"/>
        <v>2.88</v>
      </c>
    </row>
    <row r="25" spans="1:22" ht="28.5" customHeight="1" x14ac:dyDescent="0.2">
      <c r="A25" s="114">
        <f t="shared" ref="A25:A30" si="10">+B24+1</f>
        <v>3</v>
      </c>
      <c r="B25" s="91">
        <f t="shared" ref="B25:B30" si="11">+B24+D25</f>
        <v>3</v>
      </c>
      <c r="C25" s="115" t="s">
        <v>73</v>
      </c>
      <c r="D25" s="116">
        <v>1</v>
      </c>
      <c r="E25" s="61"/>
      <c r="F25" s="91">
        <v>8870187</v>
      </c>
      <c r="G25" s="117"/>
      <c r="H25" s="117"/>
      <c r="I25" s="117"/>
      <c r="J25" s="117"/>
      <c r="K25" s="117">
        <v>9</v>
      </c>
      <c r="L25" s="117"/>
      <c r="M25" s="117"/>
      <c r="N25" s="117"/>
      <c r="O25" s="117"/>
      <c r="P25" s="57"/>
      <c r="Q25" s="58"/>
      <c r="R25" s="59"/>
      <c r="S25" s="120">
        <f t="shared" ref="S25" si="12">SUM(G25:R25)*2</f>
        <v>18</v>
      </c>
      <c r="T25" s="43">
        <f t="shared" ref="T25:T26" si="13">S25*D25</f>
        <v>18</v>
      </c>
      <c r="U25" s="84">
        <f>+S25*K5+0.42</f>
        <v>9.06</v>
      </c>
      <c r="V25" s="85">
        <f t="shared" ref="V25:V26" si="14">U25-0.24</f>
        <v>8.82</v>
      </c>
    </row>
    <row r="26" spans="1:22" ht="28.5" customHeight="1" x14ac:dyDescent="0.2">
      <c r="A26" s="114">
        <f t="shared" si="10"/>
        <v>4</v>
      </c>
      <c r="B26" s="91">
        <f t="shared" si="11"/>
        <v>5</v>
      </c>
      <c r="C26" s="115" t="s">
        <v>84</v>
      </c>
      <c r="D26" s="116">
        <v>2</v>
      </c>
      <c r="E26" s="61"/>
      <c r="F26" s="91">
        <v>8870183</v>
      </c>
      <c r="G26" s="117"/>
      <c r="H26" s="117"/>
      <c r="I26" s="117"/>
      <c r="J26" s="117"/>
      <c r="K26" s="117"/>
      <c r="L26" s="117">
        <v>12</v>
      </c>
      <c r="M26" s="117"/>
      <c r="N26" s="117"/>
      <c r="O26" s="117"/>
      <c r="P26" s="57"/>
      <c r="Q26" s="58"/>
      <c r="R26" s="59"/>
      <c r="S26" s="120">
        <f t="shared" ref="S26" si="15">SUM(G26:R26)*2</f>
        <v>24</v>
      </c>
      <c r="T26" s="43">
        <f t="shared" si="13"/>
        <v>48</v>
      </c>
      <c r="U26" s="84">
        <f>+S26*K6+0.42</f>
        <v>11.459999999999999</v>
      </c>
      <c r="V26" s="85">
        <f t="shared" si="14"/>
        <v>11.219999999999999</v>
      </c>
    </row>
    <row r="27" spans="1:22" ht="28.5" customHeight="1" x14ac:dyDescent="0.2">
      <c r="A27" s="114">
        <f t="shared" si="10"/>
        <v>6</v>
      </c>
      <c r="B27" s="91">
        <f t="shared" si="11"/>
        <v>6</v>
      </c>
      <c r="C27" s="115" t="s">
        <v>73</v>
      </c>
      <c r="D27" s="116">
        <v>1</v>
      </c>
      <c r="E27" s="61"/>
      <c r="F27" s="91">
        <v>8870183</v>
      </c>
      <c r="G27" s="117"/>
      <c r="H27" s="117"/>
      <c r="I27" s="117"/>
      <c r="J27" s="117"/>
      <c r="K27" s="117"/>
      <c r="L27" s="117">
        <v>6</v>
      </c>
      <c r="M27" s="117"/>
      <c r="N27" s="117"/>
      <c r="O27" s="117"/>
      <c r="P27" s="57"/>
      <c r="Q27" s="58"/>
      <c r="R27" s="59"/>
      <c r="S27" s="120">
        <f t="shared" si="6"/>
        <v>12</v>
      </c>
      <c r="T27" s="43">
        <f t="shared" si="7"/>
        <v>12</v>
      </c>
      <c r="U27" s="84">
        <f>+S27*J5+0.42</f>
        <v>5.82</v>
      </c>
      <c r="V27" s="85">
        <f t="shared" si="8"/>
        <v>5.58</v>
      </c>
    </row>
    <row r="28" spans="1:22" ht="28.5" customHeight="1" x14ac:dyDescent="0.2">
      <c r="A28" s="114">
        <f t="shared" si="10"/>
        <v>7</v>
      </c>
      <c r="B28" s="91">
        <f t="shared" si="11"/>
        <v>8</v>
      </c>
      <c r="C28" s="115" t="s">
        <v>84</v>
      </c>
      <c r="D28" s="116">
        <v>2</v>
      </c>
      <c r="E28" s="61"/>
      <c r="F28" s="91">
        <v>8870170</v>
      </c>
      <c r="G28" s="117"/>
      <c r="H28" s="117"/>
      <c r="I28" s="117"/>
      <c r="J28" s="117"/>
      <c r="K28" s="117"/>
      <c r="L28" s="117"/>
      <c r="M28" s="117">
        <v>12</v>
      </c>
      <c r="N28" s="117"/>
      <c r="O28" s="117"/>
      <c r="P28" s="57"/>
      <c r="Q28" s="58"/>
      <c r="R28" s="59"/>
      <c r="S28" s="120">
        <f t="shared" si="6"/>
        <v>24</v>
      </c>
      <c r="T28" s="43">
        <f t="shared" si="7"/>
        <v>48</v>
      </c>
      <c r="U28" s="84">
        <f>+S28*M6+0.89</f>
        <v>14.329999999999998</v>
      </c>
      <c r="V28" s="85">
        <f t="shared" si="8"/>
        <v>14.089999999999998</v>
      </c>
    </row>
    <row r="29" spans="1:22" ht="28.5" customHeight="1" x14ac:dyDescent="0.2">
      <c r="A29" s="114">
        <f t="shared" si="10"/>
        <v>9</v>
      </c>
      <c r="B29" s="91">
        <f t="shared" si="11"/>
        <v>9</v>
      </c>
      <c r="C29" s="115" t="s">
        <v>73</v>
      </c>
      <c r="D29" s="116">
        <v>1</v>
      </c>
      <c r="E29" s="61"/>
      <c r="F29" s="91">
        <v>8870170</v>
      </c>
      <c r="G29" s="117"/>
      <c r="H29" s="117"/>
      <c r="I29" s="117"/>
      <c r="J29" s="117"/>
      <c r="K29" s="117"/>
      <c r="L29" s="117"/>
      <c r="M29" s="117">
        <v>6</v>
      </c>
      <c r="N29" s="117"/>
      <c r="O29" s="117"/>
      <c r="P29" s="57"/>
      <c r="Q29" s="58"/>
      <c r="R29" s="59"/>
      <c r="S29" s="120">
        <f t="shared" si="6"/>
        <v>12</v>
      </c>
      <c r="T29" s="43">
        <f t="shared" si="7"/>
        <v>12</v>
      </c>
      <c r="U29" s="84">
        <f>+S29*N5+0.89</f>
        <v>8.09</v>
      </c>
      <c r="V29" s="85">
        <f t="shared" si="8"/>
        <v>7.85</v>
      </c>
    </row>
    <row r="30" spans="1:22" ht="28.5" customHeight="1" x14ac:dyDescent="0.2">
      <c r="A30" s="114">
        <f t="shared" si="10"/>
        <v>10</v>
      </c>
      <c r="B30" s="91">
        <f t="shared" si="11"/>
        <v>10</v>
      </c>
      <c r="C30" s="115" t="s">
        <v>73</v>
      </c>
      <c r="D30" s="116">
        <v>1</v>
      </c>
      <c r="E30" s="61"/>
      <c r="F30" s="91">
        <v>8870185</v>
      </c>
      <c r="G30" s="117"/>
      <c r="H30" s="117"/>
      <c r="I30" s="117"/>
      <c r="J30" s="117"/>
      <c r="K30" s="117"/>
      <c r="L30" s="117"/>
      <c r="M30" s="117"/>
      <c r="N30" s="117">
        <v>6</v>
      </c>
      <c r="O30" s="117"/>
      <c r="P30" s="57"/>
      <c r="Q30" s="58"/>
      <c r="R30" s="59"/>
      <c r="S30" s="120">
        <f t="shared" si="6"/>
        <v>12</v>
      </c>
      <c r="T30" s="43">
        <f t="shared" si="7"/>
        <v>12</v>
      </c>
      <c r="U30" s="84">
        <f>+S30*N6+0.89</f>
        <v>7.8499999999999988</v>
      </c>
      <c r="V30" s="85">
        <f t="shared" si="8"/>
        <v>7.6099999999999985</v>
      </c>
    </row>
    <row r="31" spans="1:22" ht="21.75" customHeight="1" thickBot="1" x14ac:dyDescent="0.35">
      <c r="A31" s="137" t="s">
        <v>23</v>
      </c>
      <c r="B31" s="138"/>
      <c r="C31" s="138"/>
      <c r="D31" s="113">
        <f>SUM(D23:D30)</f>
        <v>10</v>
      </c>
      <c r="E31" s="44" t="s">
        <v>13</v>
      </c>
      <c r="F31" s="91"/>
      <c r="G31" s="122"/>
      <c r="H31" s="122"/>
      <c r="I31" s="122"/>
      <c r="J31" s="122">
        <v>22</v>
      </c>
      <c r="K31" s="122">
        <v>18</v>
      </c>
      <c r="L31" s="122">
        <v>60</v>
      </c>
      <c r="M31" s="122">
        <v>60</v>
      </c>
      <c r="N31" s="122">
        <v>12</v>
      </c>
      <c r="O31" s="122"/>
      <c r="P31" s="139"/>
      <c r="Q31" s="140"/>
      <c r="R31" s="141"/>
      <c r="S31" s="70"/>
      <c r="T31" s="70">
        <f>SUM(T23:T30)</f>
        <v>172</v>
      </c>
      <c r="U31" s="45" t="s">
        <v>4</v>
      </c>
      <c r="V31" s="60"/>
    </row>
    <row r="32" spans="1:22" ht="16.7" customHeight="1" x14ac:dyDescent="0.25">
      <c r="A32" s="74"/>
      <c r="B32" s="74"/>
      <c r="C32" s="74"/>
      <c r="D32" s="75"/>
      <c r="E32" s="74"/>
      <c r="F32" s="86"/>
      <c r="G32" s="76"/>
      <c r="H32" s="76"/>
      <c r="I32" s="76"/>
      <c r="J32" s="76"/>
      <c r="K32" s="76"/>
      <c r="L32" s="76"/>
      <c r="M32" s="76"/>
      <c r="N32" s="76"/>
      <c r="O32" s="76"/>
      <c r="P32" s="74"/>
      <c r="Q32" s="74"/>
      <c r="R32" s="74"/>
      <c r="S32" s="74"/>
      <c r="T32" s="75"/>
      <c r="U32" s="77"/>
      <c r="V32" s="77"/>
    </row>
    <row r="33" spans="1:22" ht="16.7" customHeight="1" x14ac:dyDescent="0.25">
      <c r="A33" s="150" t="s">
        <v>71</v>
      </c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</row>
    <row r="34" spans="1:22" s="103" customFormat="1" ht="21.75" customHeight="1" x14ac:dyDescent="0.25">
      <c r="A34" s="101" t="s">
        <v>0</v>
      </c>
      <c r="B34" s="101"/>
      <c r="C34" s="101"/>
      <c r="D34" s="101" t="str">
        <f>+D10</f>
        <v>OLD NAVY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</row>
    <row r="35" spans="1:22" s="103" customFormat="1" ht="21.75" customHeight="1" x14ac:dyDescent="0.25">
      <c r="A35" s="101" t="s">
        <v>1</v>
      </c>
      <c r="B35" s="101"/>
      <c r="C35" s="101"/>
      <c r="D35" s="106" t="str">
        <f>+D11</f>
        <v>1183764-00-1</v>
      </c>
      <c r="I35" s="104"/>
      <c r="K35" s="104"/>
      <c r="L35" s="104"/>
      <c r="M35" s="104"/>
      <c r="N35" s="104"/>
      <c r="O35" s="104"/>
      <c r="P35" s="100"/>
      <c r="Q35" s="100"/>
      <c r="R35" s="100"/>
      <c r="S35" s="100"/>
      <c r="T35" s="100"/>
      <c r="U35" s="100"/>
    </row>
    <row r="36" spans="1:22" s="103" customFormat="1" ht="21.75" customHeight="1" x14ac:dyDescent="0.25">
      <c r="A36" s="101" t="s">
        <v>2</v>
      </c>
      <c r="B36" s="101"/>
      <c r="C36" s="101"/>
      <c r="D36" s="162">
        <f>+D12</f>
        <v>61860103</v>
      </c>
      <c r="E36" s="162"/>
    </row>
    <row r="37" spans="1:22" s="103" customFormat="1" ht="21.75" customHeight="1" thickBot="1" x14ac:dyDescent="0.35">
      <c r="A37" s="101" t="s">
        <v>3</v>
      </c>
      <c r="B37" s="101"/>
      <c r="C37" s="101"/>
      <c r="D37" s="100">
        <v>229</v>
      </c>
      <c r="E37" s="103" t="s">
        <v>4</v>
      </c>
      <c r="P37" s="103" t="s">
        <v>76</v>
      </c>
      <c r="T37" s="161">
        <f>D36</f>
        <v>61860103</v>
      </c>
      <c r="U37" s="161"/>
    </row>
    <row r="38" spans="1:22" s="103" customFormat="1" ht="21.75" customHeight="1" thickBot="1" x14ac:dyDescent="0.3">
      <c r="A38" s="101" t="s">
        <v>5</v>
      </c>
      <c r="B38" s="101"/>
      <c r="C38" s="101"/>
      <c r="D38" s="100">
        <f>T60</f>
        <v>226</v>
      </c>
      <c r="E38" s="103" t="s">
        <v>4</v>
      </c>
      <c r="P38" s="103" t="s">
        <v>6</v>
      </c>
      <c r="T38" s="158" t="str">
        <f>D35</f>
        <v>1183764-00-1</v>
      </c>
      <c r="U38" s="149"/>
      <c r="V38" s="105"/>
    </row>
    <row r="39" spans="1:22" s="103" customFormat="1" ht="21.75" customHeight="1" thickBot="1" x14ac:dyDescent="0.3">
      <c r="A39" s="101" t="s">
        <v>7</v>
      </c>
      <c r="B39" s="101"/>
      <c r="C39" s="101"/>
      <c r="D39" s="100">
        <f>D38-D37</f>
        <v>-3</v>
      </c>
      <c r="E39" s="103" t="s">
        <v>4</v>
      </c>
      <c r="P39" s="103" t="s">
        <v>60</v>
      </c>
      <c r="T39" s="149" t="s">
        <v>8</v>
      </c>
      <c r="U39" s="149"/>
      <c r="V39" s="105"/>
    </row>
    <row r="40" spans="1:22" s="103" customFormat="1" ht="21.75" customHeight="1" thickBot="1" x14ac:dyDescent="0.3">
      <c r="A40" s="101" t="s">
        <v>9</v>
      </c>
      <c r="B40" s="101"/>
      <c r="C40" s="101"/>
      <c r="D40" s="100">
        <f>D60</f>
        <v>14</v>
      </c>
      <c r="E40" s="103" t="s">
        <v>10</v>
      </c>
      <c r="P40" s="103" t="s">
        <v>11</v>
      </c>
      <c r="T40" s="149" t="s">
        <v>85</v>
      </c>
      <c r="U40" s="149"/>
    </row>
    <row r="41" spans="1:22" s="103" customFormat="1" ht="21.75" customHeight="1" x14ac:dyDescent="0.25">
      <c r="A41" s="101" t="s">
        <v>12</v>
      </c>
      <c r="B41" s="101"/>
      <c r="C41" s="101"/>
      <c r="D41" s="103" t="s">
        <v>80</v>
      </c>
    </row>
    <row r="42" spans="1:22" s="103" customFormat="1" ht="21.75" customHeight="1" x14ac:dyDescent="0.25">
      <c r="A42" s="101" t="s">
        <v>12</v>
      </c>
      <c r="B42" s="101"/>
      <c r="C42" s="101"/>
      <c r="D42" s="103" t="s">
        <v>81</v>
      </c>
    </row>
    <row r="43" spans="1:22" s="103" customFormat="1" ht="21.75" customHeight="1" x14ac:dyDescent="0.25">
      <c r="A43" s="101" t="s">
        <v>12</v>
      </c>
      <c r="B43" s="101"/>
      <c r="C43" s="101"/>
      <c r="D43" s="103" t="s">
        <v>82</v>
      </c>
    </row>
    <row r="44" spans="1:22" s="103" customFormat="1" ht="21.75" customHeight="1" thickBot="1" x14ac:dyDescent="0.3">
      <c r="A44" s="101" t="s">
        <v>12</v>
      </c>
      <c r="B44" s="101"/>
      <c r="C44" s="101"/>
      <c r="D44" s="103" t="s">
        <v>83</v>
      </c>
    </row>
    <row r="45" spans="1:22" ht="16.7" customHeight="1" x14ac:dyDescent="0.2">
      <c r="A45" s="5" t="s">
        <v>13</v>
      </c>
      <c r="B45" s="42"/>
      <c r="C45" s="6" t="s">
        <v>13</v>
      </c>
      <c r="D45" s="142" t="s">
        <v>14</v>
      </c>
      <c r="E45" s="142" t="s">
        <v>15</v>
      </c>
      <c r="F45" s="144" t="s">
        <v>16</v>
      </c>
      <c r="G45" s="146" t="s">
        <v>17</v>
      </c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8"/>
      <c r="S45" s="142" t="s">
        <v>18</v>
      </c>
      <c r="T45" s="144" t="s">
        <v>19</v>
      </c>
      <c r="U45" s="151" t="s">
        <v>20</v>
      </c>
      <c r="V45" s="153" t="s">
        <v>21</v>
      </c>
    </row>
    <row r="46" spans="1:22" ht="26.25" customHeight="1" thickBot="1" x14ac:dyDescent="0.25">
      <c r="A46" s="95" t="s">
        <v>22</v>
      </c>
      <c r="B46" s="96"/>
      <c r="C46" s="7" t="s">
        <v>58</v>
      </c>
      <c r="D46" s="143"/>
      <c r="E46" s="143"/>
      <c r="F46" s="145"/>
      <c r="G46" s="121">
        <f t="shared" ref="G46:O46" si="16">+G4</f>
        <v>5</v>
      </c>
      <c r="H46" s="121">
        <f t="shared" si="16"/>
        <v>6</v>
      </c>
      <c r="I46" s="121">
        <f t="shared" si="16"/>
        <v>7</v>
      </c>
      <c r="J46" s="121">
        <f t="shared" si="16"/>
        <v>8</v>
      </c>
      <c r="K46" s="121">
        <f t="shared" si="16"/>
        <v>10</v>
      </c>
      <c r="L46" s="121">
        <f t="shared" si="16"/>
        <v>12</v>
      </c>
      <c r="M46" s="121">
        <f t="shared" si="16"/>
        <v>14</v>
      </c>
      <c r="N46" s="121">
        <f t="shared" si="16"/>
        <v>16</v>
      </c>
      <c r="O46" s="121">
        <f t="shared" si="16"/>
        <v>18</v>
      </c>
      <c r="P46" s="155"/>
      <c r="Q46" s="156"/>
      <c r="R46" s="157"/>
      <c r="S46" s="143"/>
      <c r="T46" s="145"/>
      <c r="U46" s="152"/>
      <c r="V46" s="154"/>
    </row>
    <row r="47" spans="1:22" ht="28.5" customHeight="1" x14ac:dyDescent="0.2">
      <c r="A47" s="114">
        <f>+B30+1</f>
        <v>11</v>
      </c>
      <c r="B47" s="91">
        <f>+B30+D47</f>
        <v>11</v>
      </c>
      <c r="C47" s="115" t="s">
        <v>73</v>
      </c>
      <c r="D47" s="116">
        <v>1</v>
      </c>
      <c r="E47" s="61" t="str">
        <f>+E23</f>
        <v>WASHED BLACK</v>
      </c>
      <c r="F47" s="91"/>
      <c r="G47" s="117">
        <v>17</v>
      </c>
      <c r="H47" s="117"/>
      <c r="I47" s="117"/>
      <c r="J47" s="117"/>
      <c r="K47" s="117"/>
      <c r="L47" s="117"/>
      <c r="M47" s="117"/>
      <c r="N47" s="117"/>
      <c r="O47" s="117"/>
      <c r="P47" s="57"/>
      <c r="Q47" s="58"/>
      <c r="R47" s="59"/>
      <c r="S47" s="120">
        <f t="shared" ref="S47:S59" si="17">SUM(G47:R47)</f>
        <v>17</v>
      </c>
      <c r="T47" s="43">
        <f t="shared" ref="T47:T59" si="18">S47*D47</f>
        <v>17</v>
      </c>
      <c r="U47" s="84">
        <f>+S47*G6+0.24</f>
        <v>6.1899999999999995</v>
      </c>
      <c r="V47" s="85">
        <f t="shared" ref="V47:V48" si="19">U47-0.24</f>
        <v>5.9499999999999993</v>
      </c>
    </row>
    <row r="48" spans="1:22" ht="28.5" customHeight="1" x14ac:dyDescent="0.2">
      <c r="A48" s="114">
        <f>+B47+1</f>
        <v>12</v>
      </c>
      <c r="B48" s="91">
        <f>+B47+D48</f>
        <v>12</v>
      </c>
      <c r="C48" s="115" t="s">
        <v>84</v>
      </c>
      <c r="D48" s="116">
        <v>1</v>
      </c>
      <c r="E48" s="61"/>
      <c r="F48" s="91"/>
      <c r="G48" s="117"/>
      <c r="H48" s="117">
        <v>30</v>
      </c>
      <c r="I48" s="117"/>
      <c r="J48" s="117"/>
      <c r="K48" s="117"/>
      <c r="L48" s="117"/>
      <c r="M48" s="117"/>
      <c r="N48" s="117"/>
      <c r="O48" s="117"/>
      <c r="P48" s="57"/>
      <c r="Q48" s="58"/>
      <c r="R48" s="59"/>
      <c r="S48" s="120">
        <f>SUM(G48:R48)</f>
        <v>30</v>
      </c>
      <c r="T48" s="43">
        <f t="shared" ref="T48" si="20">S48*D48</f>
        <v>30</v>
      </c>
      <c r="U48" s="84">
        <f>+S48*H5+0.89</f>
        <v>12.89</v>
      </c>
      <c r="V48" s="85">
        <f t="shared" si="19"/>
        <v>12.65</v>
      </c>
    </row>
    <row r="49" spans="1:22" ht="28.5" customHeight="1" x14ac:dyDescent="0.2">
      <c r="A49" s="114">
        <f t="shared" ref="A49:A59" si="21">+B48+1</f>
        <v>13</v>
      </c>
      <c r="B49" s="91">
        <f t="shared" ref="B49:B59" si="22">+B48+D49</f>
        <v>13</v>
      </c>
      <c r="C49" s="115" t="s">
        <v>72</v>
      </c>
      <c r="D49" s="116">
        <v>1</v>
      </c>
      <c r="E49" s="61"/>
      <c r="F49" s="91"/>
      <c r="G49" s="117"/>
      <c r="H49" s="117">
        <v>12</v>
      </c>
      <c r="I49" s="117"/>
      <c r="J49" s="117"/>
      <c r="K49" s="117"/>
      <c r="L49" s="117"/>
      <c r="M49" s="117"/>
      <c r="N49" s="117"/>
      <c r="O49" s="117"/>
      <c r="P49" s="57"/>
      <c r="Q49" s="58"/>
      <c r="R49" s="59"/>
      <c r="S49" s="120">
        <f t="shared" si="17"/>
        <v>12</v>
      </c>
      <c r="T49" s="43">
        <f t="shared" si="18"/>
        <v>12</v>
      </c>
      <c r="U49" s="84">
        <f>+S49*I5+0.89</f>
        <v>5.93</v>
      </c>
      <c r="V49" s="85">
        <f t="shared" ref="V49:V59" si="23">U49-0.24</f>
        <v>5.6899999999999995</v>
      </c>
    </row>
    <row r="50" spans="1:22" ht="28.5" customHeight="1" x14ac:dyDescent="0.2">
      <c r="A50" s="114">
        <f t="shared" si="21"/>
        <v>14</v>
      </c>
      <c r="B50" s="91">
        <f t="shared" si="22"/>
        <v>14</v>
      </c>
      <c r="C50" s="115" t="s">
        <v>84</v>
      </c>
      <c r="D50" s="116">
        <v>1</v>
      </c>
      <c r="E50" s="61"/>
      <c r="F50" s="91"/>
      <c r="G50" s="117"/>
      <c r="H50" s="117"/>
      <c r="I50" s="117">
        <v>30</v>
      </c>
      <c r="J50" s="117"/>
      <c r="K50" s="117"/>
      <c r="L50" s="117"/>
      <c r="M50" s="117"/>
      <c r="N50" s="117"/>
      <c r="O50" s="117"/>
      <c r="P50" s="57"/>
      <c r="Q50" s="58"/>
      <c r="R50" s="59"/>
      <c r="S50" s="120">
        <f>SUM(G50:R50)</f>
        <v>30</v>
      </c>
      <c r="T50" s="43">
        <f t="shared" ref="T50" si="24">S50*D50</f>
        <v>30</v>
      </c>
      <c r="U50" s="84">
        <f>+S50*I5+0.89</f>
        <v>13.49</v>
      </c>
      <c r="V50" s="85">
        <f t="shared" ref="V50" si="25">U50-0.24</f>
        <v>13.25</v>
      </c>
    </row>
    <row r="51" spans="1:22" ht="28.5" customHeight="1" x14ac:dyDescent="0.2">
      <c r="A51" s="114">
        <f t="shared" si="21"/>
        <v>15</v>
      </c>
      <c r="B51" s="91">
        <f t="shared" si="22"/>
        <v>15</v>
      </c>
      <c r="C51" s="115" t="s">
        <v>73</v>
      </c>
      <c r="D51" s="116">
        <v>1</v>
      </c>
      <c r="E51" s="61"/>
      <c r="F51" s="91"/>
      <c r="G51" s="117"/>
      <c r="H51" s="117"/>
      <c r="I51" s="117">
        <v>16</v>
      </c>
      <c r="J51" s="117"/>
      <c r="K51" s="117"/>
      <c r="L51" s="117"/>
      <c r="M51" s="117"/>
      <c r="N51" s="117"/>
      <c r="O51" s="117"/>
      <c r="P51" s="57"/>
      <c r="Q51" s="58"/>
      <c r="R51" s="59"/>
      <c r="S51" s="120">
        <f t="shared" si="17"/>
        <v>16</v>
      </c>
      <c r="T51" s="43">
        <f t="shared" si="18"/>
        <v>16</v>
      </c>
      <c r="U51" s="84">
        <f>+S51*I6+0.89</f>
        <v>7.2899999999999991</v>
      </c>
      <c r="V51" s="85">
        <f t="shared" si="23"/>
        <v>7.0499999999999989</v>
      </c>
    </row>
    <row r="52" spans="1:22" ht="28.5" customHeight="1" x14ac:dyDescent="0.2">
      <c r="A52" s="114">
        <f t="shared" si="21"/>
        <v>16</v>
      </c>
      <c r="B52" s="91">
        <f t="shared" si="22"/>
        <v>16</v>
      </c>
      <c r="C52" s="115" t="s">
        <v>87</v>
      </c>
      <c r="D52" s="116">
        <v>1</v>
      </c>
      <c r="E52" s="61"/>
      <c r="F52" s="91"/>
      <c r="G52" s="117"/>
      <c r="H52" s="117"/>
      <c r="I52" s="117"/>
      <c r="J52" s="117">
        <v>2</v>
      </c>
      <c r="K52" s="117"/>
      <c r="L52" s="117"/>
      <c r="M52" s="117"/>
      <c r="N52" s="117"/>
      <c r="O52" s="117"/>
      <c r="P52" s="57"/>
      <c r="Q52" s="58"/>
      <c r="R52" s="59"/>
      <c r="S52" s="120">
        <f t="shared" si="17"/>
        <v>2</v>
      </c>
      <c r="T52" s="43">
        <f t="shared" si="18"/>
        <v>2</v>
      </c>
      <c r="U52" s="84">
        <f>+S52*J5+0.24</f>
        <v>1.1400000000000001</v>
      </c>
      <c r="V52" s="85">
        <f t="shared" ref="V52:V53" si="26">U52-0.24</f>
        <v>0.90000000000000013</v>
      </c>
    </row>
    <row r="53" spans="1:22" ht="28.5" customHeight="1" x14ac:dyDescent="0.2">
      <c r="A53" s="114">
        <f t="shared" si="21"/>
        <v>17</v>
      </c>
      <c r="B53" s="91">
        <f t="shared" si="22"/>
        <v>17</v>
      </c>
      <c r="C53" s="115" t="s">
        <v>72</v>
      </c>
      <c r="D53" s="116">
        <v>1</v>
      </c>
      <c r="E53" s="61"/>
      <c r="F53" s="91"/>
      <c r="G53" s="117"/>
      <c r="H53" s="117"/>
      <c r="I53" s="117"/>
      <c r="J53" s="117"/>
      <c r="K53" s="117">
        <v>5</v>
      </c>
      <c r="L53" s="117"/>
      <c r="M53" s="117"/>
      <c r="N53" s="117"/>
      <c r="O53" s="117"/>
      <c r="P53" s="57"/>
      <c r="Q53" s="58"/>
      <c r="R53" s="59"/>
      <c r="S53" s="120">
        <f t="shared" si="17"/>
        <v>5</v>
      </c>
      <c r="T53" s="43">
        <f t="shared" si="18"/>
        <v>5</v>
      </c>
      <c r="U53" s="84">
        <f>+S53*J6+0.24</f>
        <v>2.3899999999999997</v>
      </c>
      <c r="V53" s="85">
        <f t="shared" si="26"/>
        <v>2.1499999999999995</v>
      </c>
    </row>
    <row r="54" spans="1:22" ht="28.5" customHeight="1" x14ac:dyDescent="0.2">
      <c r="A54" s="114">
        <f t="shared" si="21"/>
        <v>18</v>
      </c>
      <c r="B54" s="91">
        <f t="shared" si="22"/>
        <v>18</v>
      </c>
      <c r="C54" s="115" t="s">
        <v>73</v>
      </c>
      <c r="D54" s="116">
        <v>1</v>
      </c>
      <c r="E54" s="61"/>
      <c r="F54" s="91"/>
      <c r="G54" s="117"/>
      <c r="H54" s="117"/>
      <c r="I54" s="117"/>
      <c r="J54" s="117"/>
      <c r="K54" s="117"/>
      <c r="L54" s="117">
        <v>14</v>
      </c>
      <c r="M54" s="117"/>
      <c r="N54" s="117"/>
      <c r="O54" s="117"/>
      <c r="P54" s="57"/>
      <c r="Q54" s="58"/>
      <c r="R54" s="59"/>
      <c r="S54" s="120">
        <f t="shared" si="17"/>
        <v>14</v>
      </c>
      <c r="T54" s="43">
        <f t="shared" si="18"/>
        <v>14</v>
      </c>
      <c r="U54" s="84">
        <f>+S54*L5+0.71</f>
        <v>7.99</v>
      </c>
      <c r="V54" s="85">
        <f t="shared" ref="V54:V55" si="27">U54-0.24</f>
        <v>7.75</v>
      </c>
    </row>
    <row r="55" spans="1:22" ht="28.5" customHeight="1" x14ac:dyDescent="0.2">
      <c r="A55" s="114">
        <f t="shared" si="21"/>
        <v>19</v>
      </c>
      <c r="B55" s="91">
        <f t="shared" si="22"/>
        <v>19</v>
      </c>
      <c r="C55" s="115" t="s">
        <v>84</v>
      </c>
      <c r="D55" s="116">
        <v>1</v>
      </c>
      <c r="E55" s="61"/>
      <c r="F55" s="91"/>
      <c r="G55" s="117"/>
      <c r="H55" s="117"/>
      <c r="I55" s="117"/>
      <c r="J55" s="117"/>
      <c r="K55" s="117"/>
      <c r="L55" s="117"/>
      <c r="M55" s="117">
        <v>25</v>
      </c>
      <c r="N55" s="117"/>
      <c r="O55" s="117"/>
      <c r="P55" s="57"/>
      <c r="Q55" s="58"/>
      <c r="R55" s="59"/>
      <c r="S55" s="120">
        <f t="shared" si="17"/>
        <v>25</v>
      </c>
      <c r="T55" s="43">
        <f t="shared" si="18"/>
        <v>25</v>
      </c>
      <c r="U55" s="84">
        <f>+S55*M5+0.89</f>
        <v>15.389999999999999</v>
      </c>
      <c r="V55" s="85">
        <f t="shared" si="27"/>
        <v>15.149999999999999</v>
      </c>
    </row>
    <row r="56" spans="1:22" ht="28.5" customHeight="1" x14ac:dyDescent="0.2">
      <c r="A56" s="114">
        <f t="shared" si="21"/>
        <v>20</v>
      </c>
      <c r="B56" s="91">
        <f t="shared" si="22"/>
        <v>20</v>
      </c>
      <c r="C56" s="115" t="s">
        <v>73</v>
      </c>
      <c r="D56" s="116">
        <v>1</v>
      </c>
      <c r="E56" s="61"/>
      <c r="F56" s="91"/>
      <c r="G56" s="117"/>
      <c r="H56" s="117"/>
      <c r="I56" s="117"/>
      <c r="J56" s="117"/>
      <c r="K56" s="117"/>
      <c r="L56" s="117"/>
      <c r="M56" s="117">
        <v>12</v>
      </c>
      <c r="N56" s="117"/>
      <c r="O56" s="117"/>
      <c r="P56" s="57"/>
      <c r="Q56" s="58"/>
      <c r="R56" s="59"/>
      <c r="S56" s="120">
        <f t="shared" si="17"/>
        <v>12</v>
      </c>
      <c r="T56" s="43">
        <f t="shared" si="18"/>
        <v>12</v>
      </c>
      <c r="U56" s="84">
        <f>+S56*I5+0.89</f>
        <v>5.93</v>
      </c>
      <c r="V56" s="85">
        <f t="shared" si="23"/>
        <v>5.6899999999999995</v>
      </c>
    </row>
    <row r="57" spans="1:22" ht="28.5" customHeight="1" x14ac:dyDescent="0.2">
      <c r="A57" s="114">
        <f t="shared" si="21"/>
        <v>21</v>
      </c>
      <c r="B57" s="91">
        <f t="shared" si="22"/>
        <v>21</v>
      </c>
      <c r="C57" s="115" t="s">
        <v>72</v>
      </c>
      <c r="D57" s="116">
        <v>1</v>
      </c>
      <c r="E57" s="61"/>
      <c r="F57" s="91"/>
      <c r="G57" s="117"/>
      <c r="H57" s="117"/>
      <c r="I57" s="117"/>
      <c r="J57" s="117"/>
      <c r="K57" s="117"/>
      <c r="L57" s="117"/>
      <c r="M57" s="117"/>
      <c r="N57" s="117">
        <v>6</v>
      </c>
      <c r="O57" s="117"/>
      <c r="P57" s="57"/>
      <c r="Q57" s="58"/>
      <c r="R57" s="59"/>
      <c r="S57" s="120">
        <f t="shared" si="17"/>
        <v>6</v>
      </c>
      <c r="T57" s="43">
        <f t="shared" si="18"/>
        <v>6</v>
      </c>
      <c r="U57" s="84">
        <f>+S57*I6+0.89</f>
        <v>3.29</v>
      </c>
      <c r="V57" s="85">
        <f t="shared" ref="V57:V58" si="28">U57-0.24</f>
        <v>3.05</v>
      </c>
    </row>
    <row r="58" spans="1:22" ht="28.5" customHeight="1" x14ac:dyDescent="0.2">
      <c r="A58" s="114">
        <f t="shared" si="21"/>
        <v>22</v>
      </c>
      <c r="B58" s="91">
        <f t="shared" si="22"/>
        <v>23</v>
      </c>
      <c r="C58" s="115" t="s">
        <v>84</v>
      </c>
      <c r="D58" s="116">
        <v>2</v>
      </c>
      <c r="E58" s="61"/>
      <c r="F58" s="91"/>
      <c r="G58" s="117"/>
      <c r="H58" s="117"/>
      <c r="I58" s="117"/>
      <c r="J58" s="117"/>
      <c r="K58" s="117"/>
      <c r="L58" s="117"/>
      <c r="M58" s="117"/>
      <c r="N58" s="117"/>
      <c r="O58" s="117">
        <v>25</v>
      </c>
      <c r="P58" s="57"/>
      <c r="Q58" s="58"/>
      <c r="R58" s="59"/>
      <c r="S58" s="120">
        <f t="shared" si="17"/>
        <v>25</v>
      </c>
      <c r="T58" s="43">
        <f t="shared" si="18"/>
        <v>50</v>
      </c>
      <c r="U58" s="84">
        <f>+S58*O5+0.89</f>
        <v>16.64</v>
      </c>
      <c r="V58" s="85">
        <f t="shared" si="28"/>
        <v>16.400000000000002</v>
      </c>
    </row>
    <row r="59" spans="1:22" ht="28.5" customHeight="1" x14ac:dyDescent="0.2">
      <c r="A59" s="114">
        <f t="shared" si="21"/>
        <v>24</v>
      </c>
      <c r="B59" s="91">
        <f t="shared" si="22"/>
        <v>24</v>
      </c>
      <c r="C59" s="115" t="s">
        <v>72</v>
      </c>
      <c r="D59" s="116">
        <v>1</v>
      </c>
      <c r="E59" s="61"/>
      <c r="F59" s="91"/>
      <c r="G59" s="117"/>
      <c r="H59" s="117"/>
      <c r="I59" s="117"/>
      <c r="J59" s="117"/>
      <c r="K59" s="117"/>
      <c r="L59" s="117"/>
      <c r="M59" s="117"/>
      <c r="N59" s="117"/>
      <c r="O59" s="117">
        <v>7</v>
      </c>
      <c r="P59" s="57"/>
      <c r="Q59" s="58"/>
      <c r="R59" s="59"/>
      <c r="S59" s="120">
        <f t="shared" si="17"/>
        <v>7</v>
      </c>
      <c r="T59" s="43">
        <f t="shared" si="18"/>
        <v>7</v>
      </c>
      <c r="U59" s="84">
        <f>+S59*O6+0.89</f>
        <v>5.1599999999999993</v>
      </c>
      <c r="V59" s="85">
        <f t="shared" si="23"/>
        <v>4.919999999999999</v>
      </c>
    </row>
    <row r="60" spans="1:22" ht="21" customHeight="1" thickBot="1" x14ac:dyDescent="0.35">
      <c r="A60" s="137" t="s">
        <v>23</v>
      </c>
      <c r="B60" s="138"/>
      <c r="C60" s="138"/>
      <c r="D60" s="113">
        <f>SUM(D47:D59)</f>
        <v>14</v>
      </c>
      <c r="E60" s="44" t="s">
        <v>13</v>
      </c>
      <c r="F60" s="92"/>
      <c r="G60" s="122">
        <f>+T47</f>
        <v>17</v>
      </c>
      <c r="H60" s="122">
        <f>+T48+T49</f>
        <v>42</v>
      </c>
      <c r="I60" s="122">
        <f>+T50+T51</f>
        <v>46</v>
      </c>
      <c r="J60" s="122">
        <f>+T52</f>
        <v>2</v>
      </c>
      <c r="K60" s="122">
        <f>+T53</f>
        <v>5</v>
      </c>
      <c r="L60" s="122">
        <f>+T54</f>
        <v>14</v>
      </c>
      <c r="M60" s="122">
        <f>+T55+T56</f>
        <v>37</v>
      </c>
      <c r="N60" s="122">
        <f>+T57</f>
        <v>6</v>
      </c>
      <c r="O60" s="122">
        <f>+T58+T59</f>
        <v>57</v>
      </c>
      <c r="P60" s="139"/>
      <c r="Q60" s="140"/>
      <c r="R60" s="141"/>
      <c r="S60" s="70"/>
      <c r="T60" s="70">
        <f>SUM(T47:T59)</f>
        <v>226</v>
      </c>
      <c r="U60" s="45" t="s">
        <v>4</v>
      </c>
      <c r="V60" s="60"/>
    </row>
    <row r="61" spans="1:22" ht="21" customHeight="1" x14ac:dyDescent="0.25">
      <c r="A61" s="118"/>
      <c r="B61" s="118"/>
      <c r="C61" s="118"/>
      <c r="D61" s="118"/>
      <c r="E61" s="74"/>
      <c r="F61" s="119"/>
      <c r="G61" s="118"/>
      <c r="H61" s="118"/>
      <c r="I61" s="118"/>
      <c r="J61" s="118"/>
      <c r="K61" s="118"/>
      <c r="L61" s="118"/>
      <c r="M61" s="118"/>
      <c r="N61" s="118"/>
      <c r="O61" s="118"/>
      <c r="P61" s="74"/>
      <c r="Q61" s="74"/>
      <c r="R61" s="74"/>
      <c r="S61" s="74"/>
      <c r="T61" s="75"/>
      <c r="U61" s="77"/>
      <c r="V61" s="77"/>
    </row>
    <row r="62" spans="1:22" ht="13.5" thickBot="1" x14ac:dyDescent="0.25"/>
    <row r="63" spans="1:22" ht="30.75" customHeight="1" thickBot="1" x14ac:dyDescent="0.3">
      <c r="A63" s="4"/>
      <c r="B63" s="4"/>
      <c r="C63" s="87"/>
      <c r="D63" s="4"/>
      <c r="E63" s="134" t="str">
        <f>+E47</f>
        <v>WASHED BLACK</v>
      </c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6"/>
      <c r="U63" s="4"/>
      <c r="V63" s="4"/>
    </row>
    <row r="64" spans="1:22" ht="30.75" customHeight="1" thickBot="1" x14ac:dyDescent="0.25">
      <c r="A64" s="4"/>
      <c r="B64" s="4"/>
      <c r="C64" s="88"/>
      <c r="D64" s="4"/>
      <c r="E64" s="129" t="s">
        <v>17</v>
      </c>
      <c r="F64" s="130"/>
      <c r="G64" s="90">
        <f t="shared" ref="G64:O64" si="29">G4</f>
        <v>5</v>
      </c>
      <c r="H64" s="90">
        <f t="shared" si="29"/>
        <v>6</v>
      </c>
      <c r="I64" s="90">
        <f t="shared" si="29"/>
        <v>7</v>
      </c>
      <c r="J64" s="90">
        <f t="shared" si="29"/>
        <v>8</v>
      </c>
      <c r="K64" s="90">
        <f t="shared" si="29"/>
        <v>10</v>
      </c>
      <c r="L64" s="90">
        <f t="shared" si="29"/>
        <v>12</v>
      </c>
      <c r="M64" s="90">
        <f t="shared" si="29"/>
        <v>14</v>
      </c>
      <c r="N64" s="90">
        <f t="shared" si="29"/>
        <v>16</v>
      </c>
      <c r="O64" s="90">
        <f t="shared" si="29"/>
        <v>18</v>
      </c>
      <c r="P64" s="126"/>
      <c r="Q64" s="127"/>
      <c r="R64" s="128"/>
      <c r="S64" s="90"/>
      <c r="T64" s="73" t="s">
        <v>23</v>
      </c>
      <c r="U64" s="4"/>
      <c r="V64" s="4"/>
    </row>
    <row r="65" spans="1:22" ht="30.75" customHeight="1" x14ac:dyDescent="0.2">
      <c r="A65" s="4"/>
      <c r="B65" s="4"/>
      <c r="C65" s="4"/>
      <c r="D65" s="4"/>
      <c r="E65" s="129" t="s">
        <v>24</v>
      </c>
      <c r="F65" s="130"/>
      <c r="G65" s="107">
        <v>17</v>
      </c>
      <c r="H65" s="107">
        <v>42</v>
      </c>
      <c r="I65" s="107">
        <v>46</v>
      </c>
      <c r="J65" s="107">
        <v>24</v>
      </c>
      <c r="K65" s="107">
        <v>23</v>
      </c>
      <c r="L65" s="107">
        <v>74</v>
      </c>
      <c r="M65" s="107">
        <v>97</v>
      </c>
      <c r="N65" s="107">
        <v>18</v>
      </c>
      <c r="O65" s="107">
        <v>60</v>
      </c>
      <c r="P65" s="131"/>
      <c r="Q65" s="132"/>
      <c r="R65" s="133"/>
      <c r="S65" s="94"/>
      <c r="T65" s="108">
        <f>SUM(G65:S65)</f>
        <v>401</v>
      </c>
      <c r="U65" s="4"/>
      <c r="V65" s="4"/>
    </row>
    <row r="66" spans="1:22" ht="30.75" customHeight="1" x14ac:dyDescent="0.2">
      <c r="A66" s="4"/>
      <c r="B66" s="4"/>
      <c r="C66" s="4"/>
      <c r="D66" s="4"/>
      <c r="E66" s="129" t="s">
        <v>25</v>
      </c>
      <c r="F66" s="130"/>
      <c r="G66" s="91">
        <f>+G60+G31</f>
        <v>17</v>
      </c>
      <c r="H66" s="91">
        <f t="shared" ref="H66:O66" si="30">+H60+H31</f>
        <v>42</v>
      </c>
      <c r="I66" s="91">
        <f t="shared" si="30"/>
        <v>46</v>
      </c>
      <c r="J66" s="91">
        <f t="shared" si="30"/>
        <v>24</v>
      </c>
      <c r="K66" s="91">
        <f t="shared" si="30"/>
        <v>23</v>
      </c>
      <c r="L66" s="91">
        <f t="shared" si="30"/>
        <v>74</v>
      </c>
      <c r="M66" s="91">
        <f t="shared" si="30"/>
        <v>97</v>
      </c>
      <c r="N66" s="91">
        <f t="shared" si="30"/>
        <v>18</v>
      </c>
      <c r="O66" s="91">
        <f t="shared" si="30"/>
        <v>57</v>
      </c>
      <c r="P66" s="131"/>
      <c r="Q66" s="132"/>
      <c r="R66" s="133"/>
      <c r="S66" s="93"/>
      <c r="T66" s="109">
        <f>SUM(G66:S66)</f>
        <v>398</v>
      </c>
      <c r="U66" s="4"/>
      <c r="V66" s="4"/>
    </row>
    <row r="67" spans="1:22" ht="30.75" customHeight="1" x14ac:dyDescent="0.2">
      <c r="A67" s="4"/>
      <c r="B67" s="4"/>
      <c r="C67" s="4"/>
      <c r="D67" s="4"/>
      <c r="E67" s="129" t="s">
        <v>26</v>
      </c>
      <c r="F67" s="130"/>
      <c r="G67" s="107">
        <f t="shared" ref="G67" si="31">G66-G65</f>
        <v>0</v>
      </c>
      <c r="H67" s="107">
        <f t="shared" ref="H67" si="32">H66-H65</f>
        <v>0</v>
      </c>
      <c r="I67" s="107">
        <f t="shared" ref="I67:N67" si="33">I66-I65</f>
        <v>0</v>
      </c>
      <c r="J67" s="107">
        <f t="shared" si="33"/>
        <v>0</v>
      </c>
      <c r="K67" s="107">
        <f t="shared" ref="K67:M67" si="34">K66-K65</f>
        <v>0</v>
      </c>
      <c r="L67" s="107">
        <f t="shared" si="34"/>
        <v>0</v>
      </c>
      <c r="M67" s="107">
        <f t="shared" si="34"/>
        <v>0</v>
      </c>
      <c r="N67" s="107">
        <f t="shared" si="33"/>
        <v>0</v>
      </c>
      <c r="O67" s="107">
        <f t="shared" ref="O67" si="35">O66-O65</f>
        <v>-3</v>
      </c>
      <c r="P67" s="131"/>
      <c r="Q67" s="132"/>
      <c r="R67" s="133"/>
      <c r="S67" s="93"/>
      <c r="T67" s="109">
        <f>SUM(G67:S67)</f>
        <v>-3</v>
      </c>
      <c r="U67" s="4"/>
      <c r="V67" s="4"/>
    </row>
    <row r="68" spans="1:22" ht="30.75" customHeight="1" thickBot="1" x14ac:dyDescent="0.25">
      <c r="A68" s="4"/>
      <c r="B68" s="4"/>
      <c r="C68" s="4"/>
      <c r="D68" s="4"/>
      <c r="E68" s="124" t="s">
        <v>27</v>
      </c>
      <c r="F68" s="125"/>
      <c r="G68" s="110">
        <f t="shared" ref="G68" si="36">G67/G65*100</f>
        <v>0</v>
      </c>
      <c r="H68" s="110">
        <f t="shared" ref="H68" si="37">H67/H65*100</f>
        <v>0</v>
      </c>
      <c r="I68" s="110">
        <f t="shared" ref="I68:N68" si="38">I67/I65*100</f>
        <v>0</v>
      </c>
      <c r="J68" s="110">
        <f t="shared" si="38"/>
        <v>0</v>
      </c>
      <c r="K68" s="110">
        <f t="shared" ref="K68:M68" si="39">K67/K65*100</f>
        <v>0</v>
      </c>
      <c r="L68" s="110">
        <f t="shared" si="39"/>
        <v>0</v>
      </c>
      <c r="M68" s="110">
        <f t="shared" si="39"/>
        <v>0</v>
      </c>
      <c r="N68" s="110">
        <f t="shared" si="38"/>
        <v>0</v>
      </c>
      <c r="O68" s="110">
        <f t="shared" ref="O68" si="40">O67/O65*100</f>
        <v>-5</v>
      </c>
      <c r="P68" s="126"/>
      <c r="Q68" s="127"/>
      <c r="R68" s="128"/>
      <c r="S68" s="111"/>
      <c r="T68" s="112">
        <f>T67/T65*100</f>
        <v>-0.74812967581047385</v>
      </c>
      <c r="U68" s="4"/>
      <c r="V68" s="4"/>
    </row>
    <row r="70" spans="1:22" x14ac:dyDescent="0.2">
      <c r="G70" s="83">
        <f>+G65*3%</f>
        <v>0.51</v>
      </c>
      <c r="H70" s="83">
        <f>+H65*3%</f>
        <v>1.26</v>
      </c>
      <c r="I70" s="83">
        <f t="shared" ref="I70:N70" si="41">+I65*3%</f>
        <v>1.38</v>
      </c>
      <c r="J70" s="83">
        <f t="shared" si="41"/>
        <v>0.72</v>
      </c>
      <c r="K70" s="83">
        <f t="shared" ref="K70" si="42">+K65*3%</f>
        <v>0.69</v>
      </c>
      <c r="L70" s="83">
        <f t="shared" si="41"/>
        <v>2.2199999999999998</v>
      </c>
      <c r="M70" s="83">
        <f t="shared" ref="M70" si="43">+M65*3%</f>
        <v>2.9099999999999997</v>
      </c>
      <c r="N70" s="83">
        <f t="shared" si="41"/>
        <v>0.54</v>
      </c>
      <c r="O70" s="83">
        <f t="shared" ref="O70" si="44">+O65*3%</f>
        <v>1.7999999999999998</v>
      </c>
    </row>
  </sheetData>
  <mergeCells count="48">
    <mergeCell ref="A31:C31"/>
    <mergeCell ref="P31:R31"/>
    <mergeCell ref="D36:E36"/>
    <mergeCell ref="T37:U37"/>
    <mergeCell ref="S21:S22"/>
    <mergeCell ref="T21:T22"/>
    <mergeCell ref="T40:U40"/>
    <mergeCell ref="A33:V33"/>
    <mergeCell ref="T45:T46"/>
    <mergeCell ref="T38:U38"/>
    <mergeCell ref="T39:U39"/>
    <mergeCell ref="U45:U46"/>
    <mergeCell ref="V45:V46"/>
    <mergeCell ref="P46:R46"/>
    <mergeCell ref="S45:S46"/>
    <mergeCell ref="A1:V1"/>
    <mergeCell ref="A2:V2"/>
    <mergeCell ref="T13:U13"/>
    <mergeCell ref="D12:E12"/>
    <mergeCell ref="D7:E7"/>
    <mergeCell ref="T16:U16"/>
    <mergeCell ref="D21:D22"/>
    <mergeCell ref="A9:V9"/>
    <mergeCell ref="U21:U22"/>
    <mergeCell ref="V21:V22"/>
    <mergeCell ref="P22:R22"/>
    <mergeCell ref="E21:E22"/>
    <mergeCell ref="F21:F22"/>
    <mergeCell ref="G21:R21"/>
    <mergeCell ref="T14:U14"/>
    <mergeCell ref="T15:U15"/>
    <mergeCell ref="A60:C60"/>
    <mergeCell ref="P60:R60"/>
    <mergeCell ref="D45:D46"/>
    <mergeCell ref="E45:E46"/>
    <mergeCell ref="F45:F46"/>
    <mergeCell ref="G45:R45"/>
    <mergeCell ref="E68:F68"/>
    <mergeCell ref="P68:R68"/>
    <mergeCell ref="E67:F67"/>
    <mergeCell ref="P67:R67"/>
    <mergeCell ref="E63:T63"/>
    <mergeCell ref="E64:F64"/>
    <mergeCell ref="P64:R64"/>
    <mergeCell ref="E65:F65"/>
    <mergeCell ref="E66:F66"/>
    <mergeCell ref="P66:R66"/>
    <mergeCell ref="P65:R65"/>
  </mergeCells>
  <conditionalFormatting sqref="T64">
    <cfRule type="expression" dxfId="13" priority="701">
      <formula>$T64="CANCEL"</formula>
    </cfRule>
    <cfRule type="expression" dxfId="12" priority="702">
      <formula>#REF!="Closed"</formula>
    </cfRule>
    <cfRule type="expression" dxfId="11" priority="703">
      <formula>#REF!="Delayed"</formula>
    </cfRule>
    <cfRule type="expression" dxfId="10" priority="704">
      <formula>IF(ISNUMBER(#REF!),#REF!&gt;#REF!,0)</formula>
    </cfRule>
    <cfRule type="expression" dxfId="9" priority="705">
      <formula>#REF!="Cut-off"</formula>
    </cfRule>
    <cfRule type="expression" dxfId="8" priority="706">
      <formula>#REF!="In Week"</formula>
    </cfRule>
    <cfRule type="expression" dxfId="7" priority="707">
      <formula>#REF!="Missed"</formula>
    </cfRule>
  </conditionalFormatting>
  <conditionalFormatting sqref="G65:O65">
    <cfRule type="expression" dxfId="6" priority="1121">
      <formula>$T65="CANCEL"</formula>
    </cfRule>
    <cfRule type="expression" dxfId="5" priority="1122">
      <formula>$Y31="Closed"</formula>
    </cfRule>
    <cfRule type="expression" dxfId="4" priority="1123">
      <formula>$Y31="Delayed"</formula>
    </cfRule>
    <cfRule type="expression" dxfId="3" priority="1124">
      <formula>IF(ISNUMBER(#REF!),$Z31&gt;$X31,0)</formula>
    </cfRule>
    <cfRule type="expression" dxfId="2" priority="1125">
      <formula>$Y31="Cut-off"</formula>
    </cfRule>
    <cfRule type="expression" dxfId="1" priority="1126">
      <formula>$Y31="In Week"</formula>
    </cfRule>
    <cfRule type="expression" dxfId="0" priority="1127">
      <formula>$Y31="Missed"</formula>
    </cfRule>
  </conditionalFormatting>
  <printOptions horizontalCentered="1"/>
  <pageMargins left="0.22" right="0.23" top="0.35" bottom="0.34" header="0.3" footer="0.3"/>
  <pageSetup paperSize="9" scale="48" fitToHeight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45"/>
  <sheetViews>
    <sheetView tabSelected="1" view="pageBreakPreview" zoomScaleNormal="100" zoomScaleSheetLayoutView="100" workbookViewId="0">
      <selection activeCell="D8" sqref="D8"/>
    </sheetView>
  </sheetViews>
  <sheetFormatPr defaultRowHeight="12.75" x14ac:dyDescent="0.2"/>
  <cols>
    <col min="1" max="1" width="16.28515625" style="2" customWidth="1"/>
    <col min="2" max="2" width="15.140625" style="2" customWidth="1"/>
    <col min="3" max="3" width="11.85546875" style="2" customWidth="1"/>
    <col min="4" max="4" width="32" style="2" customWidth="1"/>
    <col min="5" max="5" width="11" style="2" bestFit="1" customWidth="1"/>
    <col min="6" max="6" width="11.140625" style="2" customWidth="1"/>
    <col min="7" max="7" width="8.28515625" style="2" bestFit="1" customWidth="1"/>
    <col min="8" max="8" width="8.7109375" style="2" bestFit="1" customWidth="1"/>
    <col min="9" max="9" width="8.7109375" style="2" customWidth="1"/>
    <col min="10" max="10" width="9.140625" style="2" customWidth="1"/>
    <col min="11" max="16384" width="9.140625" style="2"/>
  </cols>
  <sheetData>
    <row r="3" spans="1:10" ht="26.25" x14ac:dyDescent="0.2">
      <c r="A3" s="166" t="s">
        <v>66</v>
      </c>
      <c r="B3" s="166"/>
      <c r="C3" s="166"/>
      <c r="D3" s="166"/>
      <c r="E3" s="166"/>
      <c r="F3" s="166"/>
      <c r="G3" s="166"/>
      <c r="H3" s="166"/>
      <c r="I3" s="166"/>
      <c r="J3" s="166"/>
    </row>
    <row r="4" spans="1:10" x14ac:dyDescent="0.2">
      <c r="A4" s="167" t="s">
        <v>35</v>
      </c>
      <c r="B4" s="167"/>
      <c r="C4" s="167"/>
      <c r="D4" s="167"/>
      <c r="E4" s="167"/>
      <c r="F4" s="167"/>
      <c r="G4" s="167"/>
      <c r="H4" s="167"/>
      <c r="I4" s="167"/>
      <c r="J4" s="167"/>
    </row>
    <row r="5" spans="1:10" ht="15.75" x14ac:dyDescent="0.2">
      <c r="A5" s="168" t="s">
        <v>29</v>
      </c>
      <c r="B5" s="168"/>
      <c r="C5" s="168"/>
      <c r="D5" s="168"/>
      <c r="E5" s="168"/>
      <c r="F5" s="168"/>
      <c r="G5" s="168"/>
      <c r="H5" s="168"/>
      <c r="I5" s="168"/>
      <c r="J5" s="168"/>
    </row>
    <row r="6" spans="1:10" ht="16.5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21.75" thickBot="1" x14ac:dyDescent="0.25">
      <c r="A7" s="12" t="s">
        <v>36</v>
      </c>
      <c r="B7" s="13" t="s">
        <v>70</v>
      </c>
      <c r="C7" s="37"/>
      <c r="D7" s="15"/>
      <c r="E7" s="15"/>
      <c r="F7" s="15"/>
      <c r="G7" s="15"/>
      <c r="H7" s="15"/>
      <c r="I7" s="15"/>
      <c r="J7" s="15"/>
    </row>
    <row r="8" spans="1:10" ht="21.75" thickBot="1" x14ac:dyDescent="0.25">
      <c r="A8" s="14" t="s">
        <v>37</v>
      </c>
      <c r="B8" s="13">
        <v>1183764</v>
      </c>
      <c r="C8" s="38"/>
      <c r="D8" s="15"/>
      <c r="E8" s="15"/>
      <c r="F8" s="15"/>
      <c r="G8" s="15"/>
      <c r="H8" s="16" t="s">
        <v>38</v>
      </c>
      <c r="I8" s="164" t="s">
        <v>92</v>
      </c>
      <c r="J8" s="165"/>
    </row>
    <row r="9" spans="1:10" ht="16.5" thickBo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6.5" thickTop="1" thickBot="1" x14ac:dyDescent="0.25">
      <c r="A10" s="46" t="s">
        <v>39</v>
      </c>
      <c r="B10" s="47" t="s">
        <v>40</v>
      </c>
      <c r="C10" s="47" t="s">
        <v>59</v>
      </c>
      <c r="D10" s="47" t="s">
        <v>41</v>
      </c>
      <c r="E10" s="48" t="s">
        <v>42</v>
      </c>
      <c r="F10" s="49" t="s">
        <v>43</v>
      </c>
      <c r="G10" s="49" t="s">
        <v>44</v>
      </c>
      <c r="H10" s="49" t="s">
        <v>30</v>
      </c>
      <c r="I10" s="50" t="s">
        <v>45</v>
      </c>
      <c r="J10" s="51" t="s">
        <v>10</v>
      </c>
    </row>
    <row r="11" spans="1:10" ht="15.75" thickTop="1" x14ac:dyDescent="0.2">
      <c r="A11" s="17" t="s">
        <v>94</v>
      </c>
      <c r="B11" s="18" t="s">
        <v>88</v>
      </c>
      <c r="C11" s="18" t="s">
        <v>78</v>
      </c>
      <c r="D11" s="8" t="s">
        <v>77</v>
      </c>
      <c r="E11" s="55">
        <v>136</v>
      </c>
      <c r="F11" s="55">
        <v>136</v>
      </c>
      <c r="G11" s="19">
        <f>F11-E11</f>
        <v>0</v>
      </c>
      <c r="H11" s="19">
        <v>0</v>
      </c>
      <c r="I11" s="20">
        <f>G11/E11</f>
        <v>0</v>
      </c>
      <c r="J11" s="21">
        <v>16</v>
      </c>
    </row>
    <row r="12" spans="1:10" ht="15" x14ac:dyDescent="0.2">
      <c r="A12" s="17" t="s">
        <v>93</v>
      </c>
      <c r="B12" s="89" t="s">
        <v>89</v>
      </c>
      <c r="C12" s="89" t="s">
        <v>74</v>
      </c>
      <c r="D12" s="89" t="s">
        <v>74</v>
      </c>
      <c r="E12" s="55">
        <v>401</v>
      </c>
      <c r="F12" s="55">
        <v>398</v>
      </c>
      <c r="G12" s="19">
        <v>0</v>
      </c>
      <c r="H12" s="19">
        <f>+F12-E12</f>
        <v>-3</v>
      </c>
      <c r="I12" s="20">
        <f>H12/E12</f>
        <v>-7.481296758104738E-3</v>
      </c>
      <c r="J12" s="21">
        <v>24</v>
      </c>
    </row>
    <row r="13" spans="1:10" ht="15" x14ac:dyDescent="0.2">
      <c r="A13" s="17" t="s">
        <v>95</v>
      </c>
      <c r="B13" s="89" t="s">
        <v>90</v>
      </c>
      <c r="C13" s="89" t="s">
        <v>74</v>
      </c>
      <c r="D13" s="89" t="s">
        <v>74</v>
      </c>
      <c r="E13" s="55">
        <v>306</v>
      </c>
      <c r="F13" s="55">
        <v>302</v>
      </c>
      <c r="G13" s="19">
        <v>0</v>
      </c>
      <c r="H13" s="19">
        <f>+F13-E13</f>
        <v>-4</v>
      </c>
      <c r="I13" s="20">
        <f>H13/E13</f>
        <v>-1.3071895424836602E-2</v>
      </c>
      <c r="J13" s="21">
        <v>18</v>
      </c>
    </row>
    <row r="14" spans="1:10" ht="15" x14ac:dyDescent="0.2">
      <c r="A14" s="17" t="s">
        <v>96</v>
      </c>
      <c r="B14" s="89" t="s">
        <v>91</v>
      </c>
      <c r="C14" s="89" t="s">
        <v>74</v>
      </c>
      <c r="D14" s="89" t="s">
        <v>74</v>
      </c>
      <c r="E14" s="55">
        <v>878</v>
      </c>
      <c r="F14" s="55">
        <v>885</v>
      </c>
      <c r="G14" s="19">
        <f>F14-E14</f>
        <v>7</v>
      </c>
      <c r="H14" s="19">
        <v>0</v>
      </c>
      <c r="I14" s="20">
        <f>G14/E14</f>
        <v>7.972665148063782E-3</v>
      </c>
      <c r="J14" s="21">
        <v>43</v>
      </c>
    </row>
    <row r="15" spans="1:10" ht="15.75" thickBot="1" x14ac:dyDescent="0.25">
      <c r="A15" s="52"/>
      <c r="B15" s="53"/>
      <c r="C15" s="53"/>
      <c r="D15" s="54" t="s">
        <v>23</v>
      </c>
      <c r="E15" s="54">
        <f>SUM(E11:E14)</f>
        <v>1721</v>
      </c>
      <c r="F15" s="54">
        <f>SUM(F11:F14)</f>
        <v>1721</v>
      </c>
      <c r="G15" s="54">
        <f>SUM(G11:G14)</f>
        <v>7</v>
      </c>
      <c r="H15" s="54">
        <f>SUM(H11:H14)</f>
        <v>-7</v>
      </c>
      <c r="I15" s="56">
        <v>0</v>
      </c>
      <c r="J15" s="54">
        <f>SUM(J11:J14)</f>
        <v>101</v>
      </c>
    </row>
    <row r="16" spans="1:10" ht="13.5" thickTop="1" x14ac:dyDescent="0.2">
      <c r="A16" s="11"/>
      <c r="B16" s="11"/>
      <c r="C16" s="11"/>
      <c r="D16" s="11"/>
      <c r="E16" s="11"/>
      <c r="F16" s="11"/>
      <c r="G16" s="11"/>
      <c r="H16" s="11"/>
      <c r="I16" s="3"/>
      <c r="J16" s="11"/>
    </row>
    <row r="17" spans="1:10" x14ac:dyDescent="0.2">
      <c r="A17" s="11"/>
      <c r="B17" s="11"/>
      <c r="C17" s="11"/>
      <c r="D17" s="11"/>
      <c r="E17" s="11"/>
      <c r="F17" s="11"/>
      <c r="G17" s="11"/>
      <c r="H17" s="11"/>
      <c r="I17" s="3"/>
      <c r="J17" s="11"/>
    </row>
    <row r="18" spans="1:10" x14ac:dyDescent="0.2">
      <c r="A18" s="11"/>
      <c r="B18" s="11"/>
      <c r="C18" s="11"/>
      <c r="D18" s="11"/>
      <c r="E18" s="11"/>
      <c r="F18" s="11"/>
      <c r="G18" s="11"/>
      <c r="H18" s="11"/>
      <c r="I18" s="3"/>
      <c r="J18" s="11"/>
    </row>
    <row r="19" spans="1:10" x14ac:dyDescent="0.2">
      <c r="A19" s="11"/>
      <c r="B19" s="11"/>
      <c r="C19" s="11"/>
      <c r="D19" s="11"/>
      <c r="E19" s="11"/>
      <c r="F19" s="11"/>
      <c r="G19" s="11"/>
      <c r="H19" s="11"/>
      <c r="I19" s="3"/>
      <c r="J19" s="11"/>
    </row>
    <row r="20" spans="1:10" ht="13.5" thickBot="1" x14ac:dyDescent="0.25">
      <c r="A20" s="11"/>
      <c r="B20" s="11"/>
      <c r="C20" s="11"/>
      <c r="D20" s="11"/>
      <c r="E20" s="11"/>
      <c r="F20" s="11"/>
      <c r="G20" s="11"/>
      <c r="H20" s="11"/>
      <c r="I20" s="3"/>
      <c r="J20" s="11"/>
    </row>
    <row r="21" spans="1:10" ht="14.25" thickTop="1" thickBot="1" x14ac:dyDescent="0.25">
      <c r="A21" s="11"/>
      <c r="B21" s="22" t="s">
        <v>46</v>
      </c>
      <c r="C21" s="39"/>
      <c r="D21" s="23" t="s">
        <v>31</v>
      </c>
      <c r="E21" s="23" t="s">
        <v>32</v>
      </c>
      <c r="F21" s="23" t="s">
        <v>22</v>
      </c>
      <c r="G21" s="170" t="s">
        <v>33</v>
      </c>
      <c r="H21" s="171"/>
      <c r="I21" s="172"/>
      <c r="J21" s="11"/>
    </row>
    <row r="22" spans="1:10" ht="13.5" thickTop="1" x14ac:dyDescent="0.2">
      <c r="A22" s="1"/>
      <c r="B22" s="24">
        <v>1</v>
      </c>
      <c r="C22" s="40"/>
      <c r="D22" s="8" t="s">
        <v>47</v>
      </c>
      <c r="E22" s="25"/>
      <c r="F22" s="25"/>
      <c r="G22" s="173"/>
      <c r="H22" s="174"/>
      <c r="I22" s="175"/>
      <c r="J22" s="11"/>
    </row>
    <row r="23" spans="1:10" x14ac:dyDescent="0.2">
      <c r="A23" s="1"/>
      <c r="B23" s="26">
        <v>2</v>
      </c>
      <c r="C23" s="36"/>
      <c r="D23" s="9" t="s">
        <v>48</v>
      </c>
      <c r="E23" s="10"/>
      <c r="F23" s="10"/>
      <c r="G23" s="176"/>
      <c r="H23" s="177"/>
      <c r="I23" s="178"/>
      <c r="J23" s="11"/>
    </row>
    <row r="24" spans="1:10" x14ac:dyDescent="0.2">
      <c r="A24" s="11"/>
      <c r="B24" s="26">
        <v>3</v>
      </c>
      <c r="C24" s="36"/>
      <c r="D24" s="9" t="s">
        <v>49</v>
      </c>
      <c r="E24" s="10"/>
      <c r="F24" s="10"/>
      <c r="G24" s="176"/>
      <c r="H24" s="177"/>
      <c r="I24" s="178"/>
      <c r="J24" s="11"/>
    </row>
    <row r="25" spans="1:10" x14ac:dyDescent="0.2">
      <c r="A25" s="11"/>
      <c r="B25" s="26">
        <v>4</v>
      </c>
      <c r="C25" s="36"/>
      <c r="D25" s="9" t="s">
        <v>50</v>
      </c>
      <c r="E25" s="10"/>
      <c r="F25" s="10"/>
      <c r="G25" s="176"/>
      <c r="H25" s="177"/>
      <c r="I25" s="178"/>
      <c r="J25" s="11"/>
    </row>
    <row r="26" spans="1:10" x14ac:dyDescent="0.2">
      <c r="A26" s="11"/>
      <c r="B26" s="26">
        <v>5</v>
      </c>
      <c r="C26" s="36"/>
      <c r="D26" s="9" t="s">
        <v>51</v>
      </c>
      <c r="E26" s="10"/>
      <c r="F26" s="10"/>
      <c r="G26" s="176"/>
      <c r="H26" s="177"/>
      <c r="I26" s="178"/>
      <c r="J26" s="11"/>
    </row>
    <row r="27" spans="1:10" x14ac:dyDescent="0.2">
      <c r="A27" s="11"/>
      <c r="B27" s="26">
        <v>6</v>
      </c>
      <c r="C27" s="36"/>
      <c r="D27" s="9" t="s">
        <v>52</v>
      </c>
      <c r="E27" s="10"/>
      <c r="F27" s="10"/>
      <c r="G27" s="33"/>
      <c r="H27" s="34"/>
      <c r="I27" s="35"/>
      <c r="J27" s="11"/>
    </row>
    <row r="28" spans="1:10" x14ac:dyDescent="0.2">
      <c r="A28" s="11"/>
      <c r="B28" s="26">
        <v>7</v>
      </c>
      <c r="C28" s="36"/>
      <c r="D28" s="9" t="s">
        <v>53</v>
      </c>
      <c r="E28" s="10"/>
      <c r="F28" s="10"/>
      <c r="G28" s="33"/>
      <c r="H28" s="34"/>
      <c r="I28" s="35"/>
      <c r="J28" s="11"/>
    </row>
    <row r="29" spans="1:10" x14ac:dyDescent="0.2">
      <c r="A29" s="11"/>
      <c r="B29" s="26">
        <v>8</v>
      </c>
      <c r="C29" s="36"/>
      <c r="D29" s="9" t="s">
        <v>54</v>
      </c>
      <c r="E29" s="67"/>
      <c r="F29" s="67"/>
      <c r="G29" s="64"/>
      <c r="H29" s="34"/>
      <c r="I29" s="35"/>
      <c r="J29" s="11"/>
    </row>
    <row r="30" spans="1:10" x14ac:dyDescent="0.2">
      <c r="A30" s="11"/>
      <c r="B30" s="26">
        <v>9</v>
      </c>
      <c r="C30" s="36"/>
      <c r="D30" s="9" t="s">
        <v>55</v>
      </c>
      <c r="E30" s="67"/>
      <c r="F30" s="67"/>
      <c r="G30" s="27"/>
      <c r="H30" s="34"/>
      <c r="I30" s="35"/>
      <c r="J30" s="11"/>
    </row>
    <row r="31" spans="1:10" x14ac:dyDescent="0.2">
      <c r="A31" s="11"/>
      <c r="B31" s="26">
        <v>10</v>
      </c>
      <c r="C31" s="36"/>
      <c r="D31" s="9" t="s">
        <v>56</v>
      </c>
      <c r="E31" s="67"/>
      <c r="F31" s="67"/>
      <c r="G31" s="27"/>
      <c r="H31" s="27"/>
      <c r="I31" s="28"/>
      <c r="J31" s="11"/>
    </row>
    <row r="32" spans="1:10" ht="13.5" thickBot="1" x14ac:dyDescent="0.25">
      <c r="A32" s="11"/>
      <c r="B32" s="29"/>
      <c r="C32" s="41"/>
      <c r="D32" s="30" t="s">
        <v>57</v>
      </c>
      <c r="E32" s="68"/>
      <c r="F32" s="68"/>
      <c r="G32" s="31"/>
      <c r="H32" s="31"/>
      <c r="I32" s="32"/>
      <c r="J32" s="11"/>
    </row>
    <row r="33" spans="1:10" ht="13.5" customHeight="1" thickTop="1" x14ac:dyDescent="0.2">
      <c r="A33" s="11"/>
      <c r="B33" s="11"/>
      <c r="C33" s="11"/>
      <c r="D33" s="1"/>
      <c r="E33" s="1"/>
      <c r="F33" s="1"/>
      <c r="G33" s="11"/>
      <c r="H33" s="11"/>
      <c r="I33" s="11"/>
      <c r="J33" s="11"/>
    </row>
    <row r="34" spans="1:10" x14ac:dyDescent="0.2">
      <c r="A34" s="11"/>
      <c r="B34" s="11"/>
      <c r="C34" s="11"/>
      <c r="D34" s="1"/>
      <c r="E34" s="1"/>
      <c r="F34" s="1"/>
      <c r="G34" s="11"/>
      <c r="H34" s="11"/>
      <c r="I34" s="11"/>
      <c r="J34" s="11"/>
    </row>
    <row r="35" spans="1:10" x14ac:dyDescent="0.2">
      <c r="A35" s="11"/>
      <c r="B35" s="11"/>
      <c r="C35" s="11"/>
      <c r="D35" s="1"/>
      <c r="E35" s="1"/>
      <c r="F35" s="1"/>
      <c r="G35" s="11"/>
      <c r="H35" s="11"/>
      <c r="I35" s="11"/>
      <c r="J35" s="11"/>
    </row>
    <row r="36" spans="1:10" x14ac:dyDescent="0.2">
      <c r="A36" s="11"/>
      <c r="B36" s="11"/>
      <c r="C36" s="11"/>
      <c r="D36" s="1"/>
      <c r="E36" s="1"/>
      <c r="F36" s="1"/>
      <c r="G36" s="11"/>
      <c r="H36" s="11"/>
      <c r="I36" s="11"/>
      <c r="J36" s="11"/>
    </row>
    <row r="37" spans="1:10" x14ac:dyDescent="0.2">
      <c r="A37" s="11"/>
      <c r="B37" s="11"/>
      <c r="C37" s="11"/>
      <c r="D37" s="1"/>
      <c r="E37" s="1"/>
      <c r="F37" s="1"/>
      <c r="G37" s="11"/>
      <c r="H37" s="11"/>
      <c r="I37" s="11"/>
      <c r="J37" s="11"/>
    </row>
    <row r="38" spans="1:10" x14ac:dyDescent="0.2">
      <c r="A38" s="11"/>
      <c r="B38" s="11"/>
      <c r="C38" s="11"/>
      <c r="D38" s="1"/>
      <c r="E38" s="1"/>
      <c r="F38" s="1"/>
      <c r="G38" s="11"/>
      <c r="H38" s="11"/>
      <c r="I38" s="11"/>
      <c r="J38" s="11"/>
    </row>
    <row r="39" spans="1:10" x14ac:dyDescent="0.2">
      <c r="A39" s="11"/>
      <c r="B39" s="11"/>
      <c r="C39" s="11"/>
      <c r="D39" s="1"/>
      <c r="E39" s="1"/>
      <c r="F39" s="1"/>
      <c r="G39" s="11"/>
      <c r="H39" s="11"/>
      <c r="I39" s="11"/>
      <c r="J39" s="11"/>
    </row>
    <row r="40" spans="1:10" x14ac:dyDescent="0.2">
      <c r="A40" s="11"/>
      <c r="B40" s="11"/>
      <c r="C40" s="11"/>
      <c r="D40" s="1"/>
      <c r="E40" s="1"/>
      <c r="F40" s="1"/>
      <c r="G40" s="11"/>
      <c r="H40" s="11"/>
      <c r="I40" s="11"/>
      <c r="J40" s="11"/>
    </row>
    <row r="41" spans="1:10" x14ac:dyDescent="0.2">
      <c r="A41" s="11"/>
      <c r="B41" s="11"/>
      <c r="C41" s="11"/>
      <c r="D41" s="1"/>
      <c r="E41" s="1"/>
      <c r="F41" s="1"/>
      <c r="G41" s="11"/>
      <c r="H41" s="11"/>
      <c r="I41" s="11"/>
      <c r="J41" s="11"/>
    </row>
    <row r="42" spans="1:10" x14ac:dyDescent="0.2">
      <c r="A42" s="11"/>
      <c r="B42" s="11"/>
      <c r="C42" s="11"/>
      <c r="D42" s="1"/>
      <c r="E42" s="1"/>
      <c r="F42" s="1"/>
      <c r="G42" s="11"/>
      <c r="H42" s="11"/>
      <c r="I42" s="11"/>
      <c r="J42" s="11"/>
    </row>
    <row r="43" spans="1:10" x14ac:dyDescent="0.2">
      <c r="A43" s="11"/>
      <c r="B43" s="11"/>
      <c r="C43" s="11"/>
      <c r="D43" s="1"/>
      <c r="E43" s="1"/>
      <c r="F43" s="1"/>
      <c r="G43" s="11"/>
      <c r="H43" s="11"/>
      <c r="I43" s="11"/>
      <c r="J43" s="11"/>
    </row>
    <row r="45" spans="1:10" s="1" customFormat="1" x14ac:dyDescent="0.2">
      <c r="A45" s="169" t="s">
        <v>61</v>
      </c>
      <c r="B45" s="169"/>
      <c r="C45" s="63"/>
      <c r="D45" s="66" t="s">
        <v>34</v>
      </c>
      <c r="E45" s="65"/>
      <c r="G45" s="63"/>
      <c r="H45" s="66" t="s">
        <v>69</v>
      </c>
      <c r="J45" s="63"/>
    </row>
  </sheetData>
  <mergeCells count="11">
    <mergeCell ref="I8:J8"/>
    <mergeCell ref="A3:J3"/>
    <mergeCell ref="A4:J4"/>
    <mergeCell ref="A5:J5"/>
    <mergeCell ref="A45:B45"/>
    <mergeCell ref="G21:I21"/>
    <mergeCell ref="G22:I22"/>
    <mergeCell ref="G23:I23"/>
    <mergeCell ref="G24:I24"/>
    <mergeCell ref="G25:I25"/>
    <mergeCell ref="G26:I26"/>
  </mergeCells>
  <phoneticPr fontId="16" type="noConversion"/>
  <pageMargins left="0.49" right="0.27" top="0.34" bottom="0.24" header="0.3" footer="0.3"/>
  <pageSetup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PKL.</vt:lpstr>
      <vt:lpstr>sum</vt:lpstr>
      <vt:lpstr>PKL.!Print_Area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Jaman</dc:creator>
  <cp:lastModifiedBy>User</cp:lastModifiedBy>
  <cp:lastPrinted>2026-09-27T08:51:49Z</cp:lastPrinted>
  <dcterms:created xsi:type="dcterms:W3CDTF">2014-04-22T09:32:45Z</dcterms:created>
  <dcterms:modified xsi:type="dcterms:W3CDTF">2026-09-27T09:01:56Z</dcterms:modified>
</cp:coreProperties>
</file>