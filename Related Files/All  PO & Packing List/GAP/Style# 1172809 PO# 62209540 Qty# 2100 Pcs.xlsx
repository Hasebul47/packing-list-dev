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BUYER # GAP - PACKING LIST\ALL STYLE PACKING LIST\2026\SUM''26-NEW STYLE PACKINGLIST\D90370-1172809\HOL-26\"/>
    </mc:Choice>
  </mc:AlternateContent>
  <xr:revisionPtr revIDLastSave="0" documentId="13_ncr:1_{75CD1AF0-A7A3-4F0B-8D7F-067F5442D3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KL." sheetId="3" r:id="rId1"/>
    <sheet name="sum" sheetId="2" r:id="rId2"/>
  </sheets>
  <definedNames>
    <definedName name="_xlnm.Print_Area" localSheetId="0">PKL.!$A$1:$P$46</definedName>
  </definedNames>
  <calcPr calcId="191029"/>
</workbook>
</file>

<file path=xl/calcChain.xml><?xml version="1.0" encoding="utf-8"?>
<calcChain xmlns="http://schemas.openxmlformats.org/spreadsheetml/2006/main">
  <c r="O37" i="3" l="1"/>
  <c r="O36" i="3"/>
  <c r="P36" i="3" s="1"/>
  <c r="P37" i="3"/>
  <c r="P35" i="3"/>
  <c r="P34" i="3"/>
  <c r="P33" i="3"/>
  <c r="P32" i="3"/>
  <c r="P31" i="3"/>
  <c r="P30" i="3"/>
  <c r="P29" i="3"/>
  <c r="P28" i="3"/>
  <c r="P27" i="3"/>
  <c r="P26" i="3"/>
  <c r="L39" i="3"/>
  <c r="A36" i="3"/>
  <c r="B36" i="3"/>
  <c r="A37" i="3" s="1"/>
  <c r="B37" i="3"/>
  <c r="M36" i="3"/>
  <c r="N36" i="3" s="1"/>
  <c r="O23" i="3"/>
  <c r="P23" i="3" s="1"/>
  <c r="M27" i="3"/>
  <c r="N27" i="3" s="1"/>
  <c r="M28" i="3"/>
  <c r="N28" i="3" s="1"/>
  <c r="M23" i="3"/>
  <c r="N23" i="3" s="1"/>
  <c r="M24" i="3"/>
  <c r="N24" i="3" s="1"/>
  <c r="M25" i="3"/>
  <c r="N25" i="3" s="1"/>
  <c r="J21" i="3"/>
  <c r="K21" i="3"/>
  <c r="M34" i="3"/>
  <c r="N34" i="3" s="1"/>
  <c r="M35" i="3"/>
  <c r="N35" i="3" s="1"/>
  <c r="M37" i="3"/>
  <c r="N37" i="3" s="1"/>
  <c r="M32" i="3"/>
  <c r="N32" i="3" s="1"/>
  <c r="O24" i="3" l="1"/>
  <c r="P24" i="3" s="1"/>
  <c r="O34" i="3"/>
  <c r="O35" i="3"/>
  <c r="O27" i="3"/>
  <c r="O32" i="3"/>
  <c r="O28" i="3"/>
  <c r="O25" i="3"/>
  <c r="P25" i="3" s="1"/>
  <c r="F22" i="3"/>
  <c r="M33" i="3"/>
  <c r="O33" i="3" s="1"/>
  <c r="L21" i="3"/>
  <c r="L42" i="3" s="1"/>
  <c r="J7" i="3"/>
  <c r="N33" i="3" l="1"/>
  <c r="K39" i="3" s="1"/>
  <c r="M31" i="3"/>
  <c r="O31" i="3" s="1"/>
  <c r="M26" i="3"/>
  <c r="O26" i="3" s="1"/>
  <c r="M29" i="3"/>
  <c r="O29" i="3" s="1"/>
  <c r="M30" i="3"/>
  <c r="O30" i="3" s="1"/>
  <c r="K42" i="3"/>
  <c r="N26" i="3" l="1"/>
  <c r="H39" i="3" s="1"/>
  <c r="N30" i="3"/>
  <c r="I39" i="3" s="1"/>
  <c r="N29" i="3"/>
  <c r="N31" i="3"/>
  <c r="J39" i="3" s="1"/>
  <c r="K44" i="3" l="1"/>
  <c r="K45" i="3" s="1"/>
  <c r="K46" i="3" s="1"/>
  <c r="L44" i="3"/>
  <c r="L45" i="3" s="1"/>
  <c r="L46" i="3" s="1"/>
  <c r="H21" i="3" l="1"/>
  <c r="I21" i="3"/>
  <c r="G21" i="3"/>
  <c r="H44" i="3" l="1"/>
  <c r="H45" i="3" s="1"/>
  <c r="H46" i="3" s="1"/>
  <c r="J44" i="3"/>
  <c r="J45" i="3" s="1"/>
  <c r="J46" i="3" s="1"/>
  <c r="M22" i="3"/>
  <c r="O22" i="3" s="1"/>
  <c r="P22" i="3" s="1"/>
  <c r="I7" i="3" l="1"/>
  <c r="H7" i="3"/>
  <c r="G7" i="3"/>
  <c r="F7" i="3"/>
  <c r="E7" i="3"/>
  <c r="G42" i="3"/>
  <c r="H42" i="3"/>
  <c r="I42" i="3"/>
  <c r="J42" i="3"/>
  <c r="N43" i="3"/>
  <c r="D9" i="2" l="1"/>
  <c r="B22" i="3" l="1"/>
  <c r="A22" i="3"/>
  <c r="B23" i="3" l="1"/>
  <c r="A23" i="3"/>
  <c r="E9" i="2"/>
  <c r="B24" i="3" l="1"/>
  <c r="A24" i="3"/>
  <c r="E11" i="2"/>
  <c r="B9" i="2"/>
  <c r="A25" i="3" l="1"/>
  <c r="B25" i="3"/>
  <c r="D39" i="3"/>
  <c r="J9" i="2" s="1"/>
  <c r="J11" i="2" s="1"/>
  <c r="A26" i="3" l="1"/>
  <c r="B26" i="3"/>
  <c r="D15" i="3"/>
  <c r="N12" i="3"/>
  <c r="N22" i="3"/>
  <c r="G39" i="3" s="1"/>
  <c r="B27" i="3" l="1"/>
  <c r="A27" i="3"/>
  <c r="G44" i="3"/>
  <c r="G45" i="3" s="1"/>
  <c r="I44" i="3"/>
  <c r="I45" i="3" s="1"/>
  <c r="I46" i="3" s="1"/>
  <c r="N39" i="3"/>
  <c r="D13" i="3" s="1"/>
  <c r="A28" i="3" l="1"/>
  <c r="B28" i="3"/>
  <c r="N44" i="3"/>
  <c r="N45" i="3"/>
  <c r="D14" i="3"/>
  <c r="A29" i="3" l="1"/>
  <c r="B29" i="3"/>
  <c r="G46" i="3"/>
  <c r="F9" i="2"/>
  <c r="G9" i="2" s="1"/>
  <c r="I9" i="2" s="1"/>
  <c r="A30" i="3" l="1"/>
  <c r="B30" i="3"/>
  <c r="F11" i="2"/>
  <c r="N46" i="3"/>
  <c r="G11" i="2"/>
  <c r="I11" i="2" s="1"/>
  <c r="B31" i="3" l="1"/>
  <c r="A31" i="3"/>
  <c r="H11" i="2"/>
  <c r="A32" i="3" l="1"/>
  <c r="B32" i="3"/>
  <c r="A33" i="3" l="1"/>
  <c r="B33" i="3"/>
  <c r="A34" i="3" l="1"/>
  <c r="B34" i="3"/>
  <c r="B35" i="3" l="1"/>
  <c r="A35" i="3"/>
</calcChain>
</file>

<file path=xl/sharedStrings.xml><?xml version="1.0" encoding="utf-8"?>
<sst xmlns="http://schemas.openxmlformats.org/spreadsheetml/2006/main" count="124" uniqueCount="98">
  <si>
    <t xml:space="preserve">PACKING LIST </t>
  </si>
  <si>
    <t xml:space="preserve">BUYER             : </t>
  </si>
  <si>
    <t>STYLE             :</t>
  </si>
  <si>
    <t>P. O. #             :</t>
  </si>
  <si>
    <t>O/QTY              :</t>
  </si>
  <si>
    <t>PCS</t>
  </si>
  <si>
    <r>
      <t xml:space="preserve">PO </t>
    </r>
    <r>
      <rPr>
        <b/>
        <i/>
        <sz val="10"/>
        <rFont val="Arial"/>
        <family val="2"/>
      </rPr>
      <t xml:space="preserve"># </t>
    </r>
  </si>
  <si>
    <t>SHIP QTY         :</t>
  </si>
  <si>
    <t>SKU / Item</t>
  </si>
  <si>
    <t>EX/SHORT       :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</si>
  <si>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</si>
  <si>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</si>
  <si>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</si>
  <si>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</si>
  <si>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</si>
  <si>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</si>
  <si>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</si>
  <si>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</si>
  <si>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</si>
  <si>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</si>
  <si>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</si>
  <si>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</si>
  <si>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</si>
  <si>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</si>
  <si>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SUMMARY</t>
  </si>
  <si>
    <t>ORDER  QTY</t>
  </si>
  <si>
    <t>SHIP  QTY</t>
  </si>
  <si>
    <t>EX/SHORT</t>
  </si>
  <si>
    <t>%</t>
  </si>
  <si>
    <t>Nishat Nagar , Tongi , Gazipur .</t>
  </si>
  <si>
    <t>PACKING LIST SUMMARY</t>
  </si>
  <si>
    <t>SHORT</t>
  </si>
  <si>
    <t>PENDING ISSUE</t>
  </si>
  <si>
    <t>YES</t>
  </si>
  <si>
    <t>REMARKS</t>
  </si>
  <si>
    <t>PACKING INCHARGE</t>
  </si>
  <si>
    <t xml:space="preserve">Unit / Prepack     </t>
  </si>
  <si>
    <t xml:space="preserve">    CREATIVE COLLECTIONS LTD-2.</t>
  </si>
  <si>
    <t>CREATIVE COLLECTIONS LIMITED (UNIT= 02)</t>
  </si>
  <si>
    <t>Nishatnagar,Tongi,Gazipur</t>
  </si>
  <si>
    <t>BUYER</t>
  </si>
  <si>
    <t>STYLE</t>
  </si>
  <si>
    <t>DATE</t>
  </si>
  <si>
    <t>DC</t>
  </si>
  <si>
    <t>PO NO</t>
  </si>
  <si>
    <t>COLOR/CODE</t>
  </si>
  <si>
    <t>ORD/QTY</t>
  </si>
  <si>
    <t>SHIP/QTY</t>
  </si>
  <si>
    <t>EXCES</t>
  </si>
  <si>
    <t>PER (%)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</si>
  <si>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</si>
  <si>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</si>
  <si>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</si>
  <si>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</si>
  <si>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</si>
  <si>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</si>
  <si>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</si>
  <si>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</si>
  <si>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</si>
  <si>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</si>
  <si>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</si>
  <si>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</si>
  <si>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FINISHING MANAGER</t>
  </si>
  <si>
    <t>MES:</t>
  </si>
  <si>
    <t>SEASON</t>
  </si>
  <si>
    <t>FA AUDITOR</t>
  </si>
  <si>
    <t>BULK PACK</t>
  </si>
  <si>
    <t>N.W</t>
  </si>
  <si>
    <t>N.N.W</t>
  </si>
  <si>
    <t>EMPTY CTN WET</t>
  </si>
  <si>
    <t>1/0.75/0.45</t>
  </si>
  <si>
    <t>20/0</t>
  </si>
  <si>
    <t>GAP</t>
  </si>
  <si>
    <t xml:space="preserve">GAP </t>
  </si>
  <si>
    <t>58.67 X 38.48 X 29.72 CM.G81</t>
  </si>
  <si>
    <t>58.67 X 38.48 X 14.86 CM.G82</t>
  </si>
  <si>
    <t>38.48 X 29.34 X 14.86 CM.G84</t>
  </si>
  <si>
    <t>29.34 X 19.25 X 14.86 CM.G85</t>
  </si>
  <si>
    <t xml:space="preserve">DC CODE : </t>
  </si>
  <si>
    <t>G84</t>
  </si>
  <si>
    <t>BULK</t>
  </si>
  <si>
    <t>D92406</t>
  </si>
  <si>
    <t>Fall'26</t>
  </si>
  <si>
    <t>G82</t>
  </si>
  <si>
    <t>CAO</t>
  </si>
  <si>
    <t>8/3/2026</t>
  </si>
  <si>
    <t>G85</t>
  </si>
  <si>
    <t>XS REG</t>
  </si>
  <si>
    <t>S REG</t>
  </si>
  <si>
    <t>M REG</t>
  </si>
  <si>
    <t>L REG</t>
  </si>
  <si>
    <t>XL REG</t>
  </si>
  <si>
    <t>XXL REG</t>
  </si>
  <si>
    <t>LVO</t>
  </si>
  <si>
    <t>1172809-12-1</t>
  </si>
  <si>
    <t>WICKER-12-1</t>
  </si>
  <si>
    <t>01 of 32</t>
  </si>
  <si>
    <t>G81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</si>
</sst>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4"/>
      <name val="Cambria"/>
      <family val="1"/>
      <scheme val="major"/>
    </font>
    <font>
      <b/>
      <sz val="14"/>
      <name val="Arial"/>
      <family val="2"/>
    </font>
    <font>
      <sz val="11"/>
      <name val="Arial"/>
      <family val="2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3" fillId="2" borderId="19" xfId="0" applyFont="1" applyFill="1" applyBorder="1"/>
    <xf numFmtId="0" fontId="2" fillId="2" borderId="20" xfId="0" applyFont="1" applyFill="1" applyBorder="1" applyAlignment="1">
      <alignment horizontal="center"/>
    </xf>
    <xf numFmtId="0" fontId="3" fillId="2" borderId="0" xfId="0" applyFont="1" applyFill="1"/>
    <xf numFmtId="0" fontId="9" fillId="2" borderId="20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2" fontId="2" fillId="2" borderId="27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16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0" fontId="12" fillId="0" borderId="13" xfId="0" applyNumberFormat="1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164" fontId="19" fillId="2" borderId="13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" fillId="2" borderId="64" xfId="0" applyFont="1" applyFill="1" applyBorder="1" applyAlignment="1">
      <alignment horizontal="center"/>
    </xf>
    <xf numFmtId="0" fontId="10" fillId="2" borderId="62" xfId="0" applyFont="1" applyFill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/>
    </xf>
    <xf numFmtId="2" fontId="2" fillId="2" borderId="66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2" fillId="3" borderId="57" xfId="0" applyFont="1" applyFill="1" applyBorder="1" applyAlignment="1">
      <alignment horizontal="center" vertical="center"/>
    </xf>
    <xf numFmtId="0" fontId="12" fillId="3" borderId="58" xfId="0" applyFont="1" applyFill="1" applyBorder="1" applyAlignment="1">
      <alignment horizontal="center" vertical="center"/>
    </xf>
    <xf numFmtId="0" fontId="12" fillId="3" borderId="57" xfId="0" applyFont="1" applyFill="1" applyBorder="1" applyAlignment="1">
      <alignment horizontal="center" vertical="center" wrapText="1"/>
    </xf>
    <xf numFmtId="0" fontId="12" fillId="3" borderId="57" xfId="0" applyFont="1" applyFill="1" applyBorder="1" applyAlignment="1">
      <alignment vertical="center"/>
    </xf>
    <xf numFmtId="0" fontId="12" fillId="3" borderId="59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vertical="center"/>
    </xf>
    <xf numFmtId="0" fontId="2" fillId="3" borderId="53" xfId="0" applyFont="1" applyFill="1" applyBorder="1" applyAlignment="1">
      <alignment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7" xfId="0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10" fontId="12" fillId="0" borderId="47" xfId="0" applyNumberFormat="1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49" fontId="2" fillId="2" borderId="16" xfId="0" applyNumberFormat="1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19" fillId="2" borderId="13" xfId="0" applyFont="1" applyFill="1" applyBorder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2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/>
    </xf>
    <xf numFmtId="2" fontId="2" fillId="2" borderId="62" xfId="0" applyNumberFormat="1" applyFont="1" applyFill="1" applyBorder="1" applyAlignment="1">
      <alignment horizontal="center" vertical="center" wrapText="1"/>
    </xf>
    <xf numFmtId="2" fontId="2" fillId="2" borderId="63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2" fontId="2" fillId="2" borderId="13" xfId="0" applyNumberFormat="1" applyFont="1" applyFill="1" applyBorder="1" applyAlignment="1">
      <alignment horizontal="center" vertical="center" wrapText="1"/>
    </xf>
    <xf numFmtId="2" fontId="2" fillId="2" borderId="15" xfId="0" applyNumberFormat="1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49" fontId="2" fillId="2" borderId="62" xfId="0" applyNumberFormat="1" applyFont="1" applyFill="1" applyBorder="1" applyAlignment="1">
      <alignment horizontal="center"/>
    </xf>
    <xf numFmtId="0" fontId="6" fillId="2" borderId="62" xfId="0" applyFont="1" applyFill="1" applyBorder="1" applyAlignment="1">
      <alignment vertical="center"/>
    </xf>
    <xf numFmtId="49" fontId="2" fillId="2" borderId="13" xfId="0" applyNumberFormat="1" applyFont="1" applyFill="1" applyBorder="1" applyAlignment="1">
      <alignment horizontal="center"/>
    </xf>
    <xf numFmtId="0" fontId="10" fillId="0" borderId="16" xfId="0" applyFont="1" applyBorder="1" applyAlignment="1">
      <alignment horizontal="center" vertical="center"/>
    </xf>
    <xf numFmtId="164" fontId="19" fillId="4" borderId="1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8" fillId="0" borderId="13" xfId="0" applyFont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4" borderId="2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62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</cellXfs>
  <cellStyles count="2">
    <cellStyle name="Normal" xfId="0" builtinId="0"/>
    <cellStyle name="Normal 2 2 2" xfId="1" xr:uid="{9B06D3FF-0A77-4876-89AE-747DDA2B2BF0}"/>
  </cellStyles>
  <dxfs count="7"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view="pageBreakPreview" topLeftCell="A4" zoomScaleSheetLayoutView="100" workbookViewId="0">
      <selection activeCell="K26" sqref="K26"/>
    </sheetView>
  </sheetViews>
  <sheetFormatPr defaultRowHeight="12.75" x14ac:dyDescent="0.2"/>
  <cols>
    <col min="1" max="1" width="6.28515625" style="4" customWidth="1"/>
    <col min="2" max="2" width="7.5703125" style="4" customWidth="1"/>
    <col min="3" max="3" width="6.85546875" style="4" customWidth="1"/>
    <col min="4" max="4" width="11.140625" style="4" customWidth="1"/>
    <col min="5" max="5" width="13.28515625" style="4" customWidth="1"/>
    <col min="6" max="6" width="16" style="4" customWidth="1"/>
    <col min="7" max="7" width="10.7109375" style="4" customWidth="1"/>
    <col min="8" max="8" width="8.85546875" style="4" customWidth="1"/>
    <col min="9" max="9" width="10" style="4" customWidth="1"/>
    <col min="10" max="10" width="11.7109375" style="4" customWidth="1"/>
    <col min="11" max="12" width="9" style="4" customWidth="1"/>
    <col min="13" max="13" width="5.5703125" style="4" customWidth="1"/>
    <col min="14" max="16" width="7.140625" style="4" customWidth="1"/>
    <col min="17" max="16384" width="9.140625" style="4"/>
  </cols>
  <sheetData>
    <row r="1" spans="1:17" ht="23.25" x14ac:dyDescent="0.35">
      <c r="A1" s="130" t="s">
        <v>37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7" ht="16.7" customHeight="1" x14ac:dyDescent="0.25">
      <c r="A2" s="131" t="s">
        <v>29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</row>
    <row r="3" spans="1:17" ht="16.7" customHeight="1" x14ac:dyDescent="0.2">
      <c r="A3" s="132" t="s">
        <v>0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</row>
    <row r="4" spans="1:17" ht="16.7" customHeight="1" x14ac:dyDescent="0.2">
      <c r="A4" s="132" t="s">
        <v>66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</row>
    <row r="5" spans="1:17" ht="16.7" customHeight="1" x14ac:dyDescent="0.2">
      <c r="A5" s="61"/>
      <c r="B5" s="61"/>
      <c r="C5" s="134" t="s">
        <v>17</v>
      </c>
      <c r="D5" s="134"/>
      <c r="E5" s="78" t="s">
        <v>87</v>
      </c>
      <c r="F5" s="78" t="s">
        <v>88</v>
      </c>
      <c r="G5" s="78" t="s">
        <v>89</v>
      </c>
      <c r="H5" s="79" t="s">
        <v>90</v>
      </c>
      <c r="I5" s="79" t="s">
        <v>91</v>
      </c>
      <c r="J5" s="79" t="s">
        <v>92</v>
      </c>
      <c r="K5" s="81"/>
      <c r="L5" s="81"/>
      <c r="M5" s="61"/>
      <c r="N5" s="61"/>
      <c r="O5" s="61"/>
      <c r="P5" s="61"/>
    </row>
    <row r="6" spans="1:17" ht="16.7" customHeight="1" x14ac:dyDescent="0.2">
      <c r="A6" s="61"/>
      <c r="B6" s="61"/>
      <c r="C6" s="134" t="s">
        <v>67</v>
      </c>
      <c r="D6" s="134"/>
      <c r="E6" s="129">
        <v>0.11</v>
      </c>
      <c r="F6" s="129">
        <v>0.12</v>
      </c>
      <c r="G6" s="129">
        <v>0.13</v>
      </c>
      <c r="H6" s="129">
        <v>0.14000000000000001</v>
      </c>
      <c r="I6" s="129">
        <v>0.14000000000000001</v>
      </c>
      <c r="J6" s="129">
        <v>0.18</v>
      </c>
      <c r="K6" s="82"/>
      <c r="L6" s="82"/>
      <c r="M6" s="61"/>
      <c r="N6" s="61"/>
      <c r="O6" s="61"/>
      <c r="P6" s="61"/>
    </row>
    <row r="7" spans="1:17" ht="16.7" customHeight="1" x14ac:dyDescent="0.2">
      <c r="A7" s="61"/>
      <c r="B7" s="61"/>
      <c r="C7" s="134" t="s">
        <v>68</v>
      </c>
      <c r="D7" s="134"/>
      <c r="E7" s="80">
        <f>E6-0.01</f>
        <v>0.1</v>
      </c>
      <c r="F7" s="80">
        <f t="shared" ref="F7:J7" si="0">F6-0.01</f>
        <v>0.11</v>
      </c>
      <c r="G7" s="80">
        <f t="shared" si="0"/>
        <v>0.12000000000000001</v>
      </c>
      <c r="H7" s="80">
        <f t="shared" si="0"/>
        <v>0.13</v>
      </c>
      <c r="I7" s="80">
        <f>I6-0.01</f>
        <v>0.13</v>
      </c>
      <c r="J7" s="80">
        <f t="shared" si="0"/>
        <v>0.16999999999999998</v>
      </c>
      <c r="K7" s="82"/>
      <c r="L7" s="82"/>
      <c r="M7" s="61"/>
      <c r="N7" s="61"/>
      <c r="O7" s="61"/>
      <c r="P7" s="61"/>
    </row>
    <row r="8" spans="1:17" ht="16.7" customHeight="1" x14ac:dyDescent="0.2">
      <c r="A8" s="61"/>
      <c r="B8" s="61"/>
      <c r="C8" s="136" t="s">
        <v>69</v>
      </c>
      <c r="D8" s="137"/>
      <c r="E8" s="135" t="s">
        <v>70</v>
      </c>
      <c r="F8" s="135"/>
      <c r="G8" s="135"/>
      <c r="H8" s="135"/>
      <c r="I8" s="135"/>
      <c r="J8" s="110"/>
      <c r="K8" s="83"/>
      <c r="L8" s="83"/>
      <c r="M8" s="61"/>
      <c r="N8" s="61"/>
      <c r="O8" s="61"/>
      <c r="P8" s="61"/>
    </row>
    <row r="9" spans="1:17" ht="16.7" customHeight="1" x14ac:dyDescent="0.2">
      <c r="A9" s="5" t="s">
        <v>1</v>
      </c>
      <c r="B9" s="5"/>
      <c r="C9" s="5"/>
      <c r="D9" s="5" t="s">
        <v>72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</row>
    <row r="10" spans="1:17" ht="16.7" customHeight="1" thickBot="1" x14ac:dyDescent="0.25">
      <c r="A10" s="5" t="s">
        <v>2</v>
      </c>
      <c r="B10" s="5"/>
      <c r="C10" s="5"/>
      <c r="D10" s="5" t="s">
        <v>94</v>
      </c>
      <c r="E10" s="6"/>
      <c r="F10" s="6"/>
      <c r="G10" s="6"/>
      <c r="H10" s="7"/>
      <c r="I10" s="8"/>
      <c r="J10" s="9"/>
      <c r="K10" s="9"/>
      <c r="L10" s="9"/>
      <c r="M10" s="9"/>
      <c r="N10" s="9"/>
      <c r="O10" s="9"/>
      <c r="P10" s="8"/>
    </row>
    <row r="11" spans="1:17" ht="16.7" customHeight="1" thickBot="1" x14ac:dyDescent="0.3">
      <c r="A11" s="5" t="s">
        <v>3</v>
      </c>
      <c r="B11" s="5"/>
      <c r="C11" s="5"/>
      <c r="D11" s="112">
        <v>62209540</v>
      </c>
      <c r="E11" s="6"/>
      <c r="F11" s="6"/>
      <c r="G11" s="6"/>
      <c r="H11" s="10"/>
      <c r="I11" s="10"/>
      <c r="J11" s="109" t="s">
        <v>78</v>
      </c>
      <c r="K11" s="109"/>
      <c r="L11" s="109"/>
      <c r="M11" s="109"/>
      <c r="N11" s="139" t="s">
        <v>93</v>
      </c>
      <c r="O11" s="140"/>
      <c r="P11" s="138"/>
      <c r="Q11" s="138"/>
    </row>
    <row r="12" spans="1:17" ht="16.7" customHeight="1" thickBot="1" x14ac:dyDescent="0.25">
      <c r="A12" s="5" t="s">
        <v>4</v>
      </c>
      <c r="B12" s="5"/>
      <c r="C12" s="5"/>
      <c r="D12" s="5">
        <v>2100</v>
      </c>
      <c r="E12" s="6" t="s">
        <v>5</v>
      </c>
      <c r="F12" s="6"/>
      <c r="G12" s="6"/>
      <c r="H12" s="10"/>
      <c r="I12" s="10"/>
      <c r="J12" s="6" t="s">
        <v>6</v>
      </c>
      <c r="K12" s="6"/>
      <c r="L12" s="6"/>
      <c r="N12" s="133">
        <f>D11</f>
        <v>62209540</v>
      </c>
      <c r="O12" s="133"/>
      <c r="P12" s="10"/>
    </row>
    <row r="13" spans="1:17" ht="16.7" customHeight="1" thickBot="1" x14ac:dyDescent="0.25">
      <c r="A13" s="5" t="s">
        <v>7</v>
      </c>
      <c r="B13" s="5"/>
      <c r="C13" s="5"/>
      <c r="D13" s="5">
        <f>N39</f>
        <v>2144</v>
      </c>
      <c r="E13" s="6" t="s">
        <v>5</v>
      </c>
      <c r="F13" s="6"/>
      <c r="G13" s="6"/>
      <c r="H13" s="10"/>
      <c r="I13" s="10"/>
      <c r="J13" s="6" t="s">
        <v>8</v>
      </c>
      <c r="K13" s="6"/>
      <c r="L13" s="6"/>
      <c r="N13" s="141">
        <v>912548</v>
      </c>
      <c r="O13" s="141"/>
      <c r="P13" s="11"/>
    </row>
    <row r="14" spans="1:17" ht="16.7" customHeight="1" thickBot="1" x14ac:dyDescent="0.25">
      <c r="A14" s="5" t="s">
        <v>9</v>
      </c>
      <c r="B14" s="5"/>
      <c r="C14" s="5"/>
      <c r="D14" s="5">
        <f>D13-D12</f>
        <v>44</v>
      </c>
      <c r="E14" s="6" t="s">
        <v>5</v>
      </c>
      <c r="F14" s="23"/>
      <c r="G14" s="6"/>
      <c r="H14" s="10"/>
      <c r="I14" s="10"/>
      <c r="J14" s="6" t="s">
        <v>36</v>
      </c>
      <c r="K14" s="6"/>
      <c r="L14" s="6"/>
      <c r="N14" s="141" t="s">
        <v>71</v>
      </c>
      <c r="O14" s="141"/>
      <c r="P14" s="11"/>
    </row>
    <row r="15" spans="1:17" ht="16.7" customHeight="1" thickBot="1" x14ac:dyDescent="0.25">
      <c r="A15" s="5" t="s">
        <v>10</v>
      </c>
      <c r="B15" s="5"/>
      <c r="C15" s="5"/>
      <c r="D15" s="5">
        <f>D39</f>
        <v>32</v>
      </c>
      <c r="E15" s="6" t="s">
        <v>11</v>
      </c>
      <c r="F15" s="6"/>
      <c r="G15" s="6"/>
      <c r="H15" s="10"/>
      <c r="I15" s="10"/>
      <c r="J15" s="6" t="s">
        <v>12</v>
      </c>
      <c r="K15" s="6"/>
      <c r="L15" s="6"/>
      <c r="N15" s="141" t="s">
        <v>96</v>
      </c>
      <c r="O15" s="141"/>
      <c r="P15" s="10"/>
    </row>
    <row r="16" spans="1:17" ht="15" customHeight="1" x14ac:dyDescent="0.2">
      <c r="A16" s="5" t="s">
        <v>13</v>
      </c>
      <c r="B16" s="5"/>
      <c r="C16" s="5"/>
      <c r="D16" s="63" t="s">
        <v>74</v>
      </c>
      <c r="E16" s="63"/>
      <c r="F16" s="63"/>
      <c r="G16" s="6"/>
      <c r="H16" s="10"/>
      <c r="I16" s="10"/>
      <c r="J16" s="10"/>
      <c r="K16" s="10"/>
      <c r="L16" s="10"/>
      <c r="M16" s="10"/>
    </row>
    <row r="17" spans="1:16" ht="15" customHeight="1" x14ac:dyDescent="0.2">
      <c r="A17" s="5" t="s">
        <v>13</v>
      </c>
      <c r="B17" s="5"/>
      <c r="C17" s="5"/>
      <c r="D17" s="63" t="s">
        <v>75</v>
      </c>
      <c r="E17" s="63"/>
      <c r="F17" s="63"/>
      <c r="G17" s="6"/>
      <c r="H17" s="10"/>
      <c r="I17" s="10"/>
      <c r="J17" s="10"/>
      <c r="K17" s="10"/>
      <c r="L17" s="10"/>
      <c r="M17" s="10"/>
    </row>
    <row r="18" spans="1:16" ht="15" customHeight="1" x14ac:dyDescent="0.2">
      <c r="A18" s="5" t="s">
        <v>13</v>
      </c>
      <c r="B18" s="5"/>
      <c r="C18" s="5"/>
      <c r="D18" s="63" t="s">
        <v>76</v>
      </c>
      <c r="E18" s="63"/>
      <c r="F18" s="63"/>
      <c r="G18" s="6"/>
      <c r="H18" s="10"/>
      <c r="I18" s="10"/>
      <c r="J18" s="10"/>
      <c r="K18" s="10"/>
      <c r="L18" s="10"/>
      <c r="M18" s="10"/>
    </row>
    <row r="19" spans="1:16" ht="15" customHeight="1" thickBot="1" x14ac:dyDescent="0.25">
      <c r="A19" s="5" t="s">
        <v>13</v>
      </c>
      <c r="B19" s="5"/>
      <c r="C19" s="5"/>
      <c r="D19" s="63" t="s">
        <v>77</v>
      </c>
      <c r="E19" s="63"/>
      <c r="F19" s="63"/>
      <c r="G19" s="6"/>
      <c r="H19" s="10"/>
      <c r="I19" s="10"/>
      <c r="J19" s="10"/>
      <c r="K19" s="10"/>
      <c r="L19" s="10"/>
      <c r="M19" s="10"/>
    </row>
    <row r="20" spans="1:16" ht="16.7" customHeight="1" x14ac:dyDescent="0.2">
      <c r="A20" s="12" t="s">
        <v>14</v>
      </c>
      <c r="B20" s="59"/>
      <c r="C20" s="13" t="s">
        <v>14</v>
      </c>
      <c r="D20" s="146" t="s">
        <v>15</v>
      </c>
      <c r="E20" s="146" t="s">
        <v>16</v>
      </c>
      <c r="F20" s="146" t="s">
        <v>80</v>
      </c>
      <c r="G20" s="148" t="s">
        <v>17</v>
      </c>
      <c r="H20" s="149"/>
      <c r="I20" s="149"/>
      <c r="J20" s="150"/>
      <c r="K20" s="59"/>
      <c r="L20" s="59"/>
      <c r="M20" s="146" t="s">
        <v>18</v>
      </c>
      <c r="N20" s="151" t="s">
        <v>19</v>
      </c>
      <c r="O20" s="153" t="s">
        <v>20</v>
      </c>
      <c r="P20" s="142" t="s">
        <v>21</v>
      </c>
    </row>
    <row r="21" spans="1:16" ht="16.7" customHeight="1" thickBot="1" x14ac:dyDescent="0.25">
      <c r="A21" s="14" t="s">
        <v>22</v>
      </c>
      <c r="B21" s="60"/>
      <c r="C21" s="15" t="s">
        <v>63</v>
      </c>
      <c r="D21" s="147"/>
      <c r="E21" s="147"/>
      <c r="F21" s="147"/>
      <c r="G21" s="117" t="str">
        <f t="shared" ref="G21:L21" si="1">+E5</f>
        <v>XS REG</v>
      </c>
      <c r="H21" s="117" t="str">
        <f t="shared" si="1"/>
        <v>S REG</v>
      </c>
      <c r="I21" s="117" t="str">
        <f t="shared" si="1"/>
        <v>M REG</v>
      </c>
      <c r="J21" s="117" t="str">
        <f t="shared" ref="J21" si="2">+H5</f>
        <v>L REG</v>
      </c>
      <c r="K21" s="117" t="str">
        <f t="shared" ref="K21" si="3">+I5</f>
        <v>XL REG</v>
      </c>
      <c r="L21" s="117" t="str">
        <f t="shared" si="1"/>
        <v>XXL REG</v>
      </c>
      <c r="M21" s="147"/>
      <c r="N21" s="152"/>
      <c r="O21" s="154"/>
      <c r="P21" s="143"/>
    </row>
    <row r="22" spans="1:16" ht="16.7" customHeight="1" x14ac:dyDescent="0.2">
      <c r="A22" s="105">
        <f>1</f>
        <v>1</v>
      </c>
      <c r="B22" s="113">
        <f>+D22</f>
        <v>1</v>
      </c>
      <c r="C22" s="107" t="s">
        <v>97</v>
      </c>
      <c r="D22" s="114">
        <v>1</v>
      </c>
      <c r="E22" s="155" t="s">
        <v>95</v>
      </c>
      <c r="F22" s="128" t="str">
        <f>+D10</f>
        <v>1172809-12-1</v>
      </c>
      <c r="G22" s="108">
        <v>105</v>
      </c>
      <c r="H22" s="108"/>
      <c r="I22" s="108"/>
      <c r="J22" s="108"/>
      <c r="K22" s="108"/>
      <c r="L22" s="108"/>
      <c r="M22" s="108">
        <f>SUM(G22:J22)</f>
        <v>105</v>
      </c>
      <c r="N22" s="108">
        <f>M22*D22</f>
        <v>105</v>
      </c>
      <c r="O22" s="115">
        <f>+E6*M22+1</f>
        <v>12.55</v>
      </c>
      <c r="P22" s="116">
        <f>O22-1</f>
        <v>11.55</v>
      </c>
    </row>
    <row r="23" spans="1:16" ht="16.7" customHeight="1" x14ac:dyDescent="0.2">
      <c r="A23" s="105">
        <f>+B22+1</f>
        <v>2</v>
      </c>
      <c r="B23" s="106">
        <f>+B22+D23</f>
        <v>2</v>
      </c>
      <c r="C23" s="107" t="s">
        <v>83</v>
      </c>
      <c r="D23" s="114">
        <v>1</v>
      </c>
      <c r="E23" s="156"/>
      <c r="F23" s="128"/>
      <c r="G23" s="70">
        <v>50</v>
      </c>
      <c r="H23" s="70"/>
      <c r="I23" s="70"/>
      <c r="J23" s="70"/>
      <c r="K23" s="70"/>
      <c r="L23" s="70"/>
      <c r="M23" s="70">
        <f t="shared" ref="M23:M25" si="4">SUM(G23:J23)</f>
        <v>50</v>
      </c>
      <c r="N23" s="70">
        <f t="shared" ref="N23:N25" si="5">M23*D23</f>
        <v>50</v>
      </c>
      <c r="O23" s="118">
        <f>+E6*M23+0.75</f>
        <v>6.25</v>
      </c>
      <c r="P23" s="119">
        <f>O23-0.75</f>
        <v>5.5</v>
      </c>
    </row>
    <row r="24" spans="1:16" ht="16.7" customHeight="1" x14ac:dyDescent="0.2">
      <c r="A24" s="105">
        <f t="shared" ref="A24:A35" si="6">+B23+1</f>
        <v>3</v>
      </c>
      <c r="B24" s="106">
        <f t="shared" ref="B24:B35" si="7">+B23+D24</f>
        <v>3</v>
      </c>
      <c r="C24" s="107" t="s">
        <v>79</v>
      </c>
      <c r="D24" s="114">
        <v>1</v>
      </c>
      <c r="E24" s="156"/>
      <c r="F24" s="128"/>
      <c r="G24" s="70">
        <v>25</v>
      </c>
      <c r="H24" s="70"/>
      <c r="I24" s="70"/>
      <c r="J24" s="70"/>
      <c r="K24" s="70"/>
      <c r="L24" s="70"/>
      <c r="M24" s="70">
        <f t="shared" si="4"/>
        <v>25</v>
      </c>
      <c r="N24" s="70">
        <f t="shared" si="5"/>
        <v>25</v>
      </c>
      <c r="O24" s="118">
        <f>+E6*M24+0.45</f>
        <v>3.2</v>
      </c>
      <c r="P24" s="119">
        <f>O24-0.45</f>
        <v>2.75</v>
      </c>
    </row>
    <row r="25" spans="1:16" ht="16.7" customHeight="1" x14ac:dyDescent="0.2">
      <c r="A25" s="105">
        <f t="shared" si="6"/>
        <v>4</v>
      </c>
      <c r="B25" s="106">
        <f t="shared" si="7"/>
        <v>4</v>
      </c>
      <c r="C25" s="107" t="s">
        <v>86</v>
      </c>
      <c r="D25" s="114">
        <v>1</v>
      </c>
      <c r="E25" s="156"/>
      <c r="F25" s="128"/>
      <c r="G25" s="108">
        <v>10</v>
      </c>
      <c r="H25" s="108"/>
      <c r="I25" s="108"/>
      <c r="J25" s="108"/>
      <c r="K25" s="108"/>
      <c r="L25" s="108"/>
      <c r="M25" s="108">
        <f t="shared" si="4"/>
        <v>10</v>
      </c>
      <c r="N25" s="108">
        <f t="shared" si="5"/>
        <v>10</v>
      </c>
      <c r="O25" s="115">
        <f>+E6*M25+0.25</f>
        <v>1.35</v>
      </c>
      <c r="P25" s="116">
        <f>O25-0.25</f>
        <v>1.1000000000000001</v>
      </c>
    </row>
    <row r="26" spans="1:16" ht="16.7" customHeight="1" x14ac:dyDescent="0.2">
      <c r="A26" s="105">
        <f t="shared" si="6"/>
        <v>5</v>
      </c>
      <c r="B26" s="106">
        <f t="shared" si="7"/>
        <v>8</v>
      </c>
      <c r="C26" s="107" t="s">
        <v>97</v>
      </c>
      <c r="D26" s="114">
        <v>4</v>
      </c>
      <c r="E26" s="156"/>
      <c r="F26" s="120"/>
      <c r="G26" s="70"/>
      <c r="H26" s="70">
        <v>105</v>
      </c>
      <c r="I26" s="70"/>
      <c r="J26" s="70"/>
      <c r="K26" s="70"/>
      <c r="L26" s="70"/>
      <c r="M26" s="70">
        <f>SUM(G26:J26)</f>
        <v>105</v>
      </c>
      <c r="N26" s="70">
        <f>M26*D26</f>
        <v>420</v>
      </c>
      <c r="O26" s="118">
        <f>+F6*M26+1</f>
        <v>13.6</v>
      </c>
      <c r="P26" s="119">
        <f>O26-1</f>
        <v>12.6</v>
      </c>
    </row>
    <row r="27" spans="1:16" ht="16.7" customHeight="1" x14ac:dyDescent="0.2">
      <c r="A27" s="105">
        <f t="shared" si="6"/>
        <v>9</v>
      </c>
      <c r="B27" s="106">
        <f t="shared" si="7"/>
        <v>9</v>
      </c>
      <c r="C27" s="107" t="s">
        <v>79</v>
      </c>
      <c r="D27" s="114">
        <v>1</v>
      </c>
      <c r="E27" s="156"/>
      <c r="F27" s="120"/>
      <c r="G27" s="70"/>
      <c r="H27" s="70">
        <v>26</v>
      </c>
      <c r="I27" s="70"/>
      <c r="J27" s="70"/>
      <c r="K27" s="70"/>
      <c r="L27" s="70"/>
      <c r="M27" s="70">
        <f t="shared" ref="M27:M28" si="8">SUM(G27:J27)</f>
        <v>26</v>
      </c>
      <c r="N27" s="70">
        <f t="shared" ref="N27:N28" si="9">M27*D27</f>
        <v>26</v>
      </c>
      <c r="O27" s="118">
        <f>+F6*M27+0.45</f>
        <v>3.5700000000000003</v>
      </c>
      <c r="P27" s="119">
        <f>O27-0.45</f>
        <v>3.12</v>
      </c>
    </row>
    <row r="28" spans="1:16" ht="16.7" customHeight="1" x14ac:dyDescent="0.2">
      <c r="A28" s="105">
        <f t="shared" si="6"/>
        <v>10</v>
      </c>
      <c r="B28" s="106">
        <f t="shared" si="7"/>
        <v>10</v>
      </c>
      <c r="C28" s="107" t="s">
        <v>86</v>
      </c>
      <c r="D28" s="114">
        <v>1</v>
      </c>
      <c r="E28" s="156"/>
      <c r="F28" s="120"/>
      <c r="G28" s="70"/>
      <c r="H28" s="70">
        <v>10</v>
      </c>
      <c r="I28" s="70"/>
      <c r="J28" s="70"/>
      <c r="K28" s="70"/>
      <c r="L28" s="70"/>
      <c r="M28" s="70">
        <f t="shared" si="8"/>
        <v>10</v>
      </c>
      <c r="N28" s="70">
        <f t="shared" si="9"/>
        <v>10</v>
      </c>
      <c r="O28" s="118">
        <f>+F6*M28+0.25</f>
        <v>1.45</v>
      </c>
      <c r="P28" s="119">
        <f>O28-0.25</f>
        <v>1.2</v>
      </c>
    </row>
    <row r="29" spans="1:16" ht="16.7" customHeight="1" x14ac:dyDescent="0.2">
      <c r="A29" s="105">
        <f t="shared" si="6"/>
        <v>11</v>
      </c>
      <c r="B29" s="106">
        <f t="shared" si="7"/>
        <v>14</v>
      </c>
      <c r="C29" s="107" t="s">
        <v>97</v>
      </c>
      <c r="D29" s="114">
        <v>4</v>
      </c>
      <c r="E29" s="156"/>
      <c r="F29" s="120"/>
      <c r="G29" s="70"/>
      <c r="H29" s="70"/>
      <c r="I29" s="70">
        <v>90</v>
      </c>
      <c r="J29" s="70"/>
      <c r="K29" s="70"/>
      <c r="L29" s="70"/>
      <c r="M29" s="70">
        <f>SUM(G29:J29)</f>
        <v>90</v>
      </c>
      <c r="N29" s="70">
        <f t="shared" ref="N29:N37" si="10">M29*D29</f>
        <v>360</v>
      </c>
      <c r="O29" s="118">
        <f>+G6*M29+1</f>
        <v>12.700000000000001</v>
      </c>
      <c r="P29" s="119">
        <f>O29-1</f>
        <v>11.700000000000001</v>
      </c>
    </row>
    <row r="30" spans="1:16" ht="16.7" customHeight="1" x14ac:dyDescent="0.2">
      <c r="A30" s="105">
        <f t="shared" si="6"/>
        <v>15</v>
      </c>
      <c r="B30" s="106">
        <f t="shared" si="7"/>
        <v>16</v>
      </c>
      <c r="C30" s="107" t="s">
        <v>83</v>
      </c>
      <c r="D30" s="114">
        <v>2</v>
      </c>
      <c r="E30" s="156"/>
      <c r="F30" s="120"/>
      <c r="G30" s="70"/>
      <c r="H30" s="70"/>
      <c r="I30" s="70">
        <v>40</v>
      </c>
      <c r="J30" s="70"/>
      <c r="K30" s="70"/>
      <c r="L30" s="70"/>
      <c r="M30" s="70">
        <f>SUM(G30:J30)</f>
        <v>40</v>
      </c>
      <c r="N30" s="70">
        <f t="shared" si="10"/>
        <v>80</v>
      </c>
      <c r="O30" s="118">
        <f>+G6*M30+0.75</f>
        <v>5.95</v>
      </c>
      <c r="P30" s="119">
        <f>O30-0.75</f>
        <v>5.2</v>
      </c>
    </row>
    <row r="31" spans="1:16" ht="16.7" customHeight="1" x14ac:dyDescent="0.2">
      <c r="A31" s="105">
        <f t="shared" si="6"/>
        <v>17</v>
      </c>
      <c r="B31" s="106">
        <f t="shared" si="7"/>
        <v>20</v>
      </c>
      <c r="C31" s="107" t="s">
        <v>97</v>
      </c>
      <c r="D31" s="114">
        <v>4</v>
      </c>
      <c r="E31" s="156"/>
      <c r="F31" s="121"/>
      <c r="G31" s="111"/>
      <c r="H31" s="111"/>
      <c r="I31" s="111"/>
      <c r="J31" s="70">
        <v>90</v>
      </c>
      <c r="K31" s="71"/>
      <c r="L31" s="71"/>
      <c r="M31" s="71">
        <f t="shared" ref="M31:M37" si="11">SUM(G31:L31)</f>
        <v>90</v>
      </c>
      <c r="N31" s="71">
        <f t="shared" si="10"/>
        <v>360</v>
      </c>
      <c r="O31" s="86">
        <f>+H6*M31+1</f>
        <v>13.600000000000001</v>
      </c>
      <c r="P31" s="119">
        <f>O31-1</f>
        <v>12.600000000000001</v>
      </c>
    </row>
    <row r="32" spans="1:16" ht="16.7" customHeight="1" x14ac:dyDescent="0.2">
      <c r="A32" s="105">
        <f t="shared" si="6"/>
        <v>21</v>
      </c>
      <c r="B32" s="106">
        <f t="shared" si="7"/>
        <v>21</v>
      </c>
      <c r="C32" s="107" t="s">
        <v>83</v>
      </c>
      <c r="D32" s="114">
        <v>1</v>
      </c>
      <c r="E32" s="156"/>
      <c r="F32" s="121"/>
      <c r="G32" s="111"/>
      <c r="H32" s="111"/>
      <c r="I32" s="111"/>
      <c r="J32" s="70">
        <v>36</v>
      </c>
      <c r="K32" s="71"/>
      <c r="L32" s="71"/>
      <c r="M32" s="71">
        <f t="shared" si="11"/>
        <v>36</v>
      </c>
      <c r="N32" s="71">
        <f t="shared" si="10"/>
        <v>36</v>
      </c>
      <c r="O32" s="86">
        <f>+H6*M32+0.75</f>
        <v>5.7900000000000009</v>
      </c>
      <c r="P32" s="119">
        <f>O32-0.75</f>
        <v>5.0400000000000009</v>
      </c>
    </row>
    <row r="33" spans="1:16" ht="16.7" customHeight="1" x14ac:dyDescent="0.2">
      <c r="A33" s="105">
        <f t="shared" si="6"/>
        <v>22</v>
      </c>
      <c r="B33" s="106">
        <f t="shared" si="7"/>
        <v>25</v>
      </c>
      <c r="C33" s="127" t="s">
        <v>97</v>
      </c>
      <c r="D33" s="114">
        <v>4</v>
      </c>
      <c r="E33" s="156"/>
      <c r="F33" s="121"/>
      <c r="G33" s="111"/>
      <c r="H33" s="111"/>
      <c r="I33" s="111"/>
      <c r="J33" s="70"/>
      <c r="K33" s="70">
        <v>75</v>
      </c>
      <c r="L33" s="71"/>
      <c r="M33" s="71">
        <f t="shared" si="11"/>
        <v>75</v>
      </c>
      <c r="N33" s="71">
        <f t="shared" si="10"/>
        <v>300</v>
      </c>
      <c r="O33" s="86">
        <f>+I6*M33+1</f>
        <v>11.500000000000002</v>
      </c>
      <c r="P33" s="119">
        <f>O33-1</f>
        <v>10.500000000000002</v>
      </c>
    </row>
    <row r="34" spans="1:16" ht="16.7" customHeight="1" x14ac:dyDescent="0.2">
      <c r="A34" s="105">
        <f t="shared" si="6"/>
        <v>26</v>
      </c>
      <c r="B34" s="106">
        <f t="shared" si="7"/>
        <v>26</v>
      </c>
      <c r="C34" s="127" t="s">
        <v>83</v>
      </c>
      <c r="D34" s="114">
        <v>1</v>
      </c>
      <c r="E34" s="156"/>
      <c r="F34" s="121"/>
      <c r="G34" s="111"/>
      <c r="H34" s="111"/>
      <c r="I34" s="111"/>
      <c r="J34" s="70"/>
      <c r="K34" s="70">
        <v>34</v>
      </c>
      <c r="L34" s="71"/>
      <c r="M34" s="71">
        <f t="shared" si="11"/>
        <v>34</v>
      </c>
      <c r="N34" s="71">
        <f t="shared" si="10"/>
        <v>34</v>
      </c>
      <c r="O34" s="86">
        <f>+I6*M34+0.75</f>
        <v>5.5100000000000007</v>
      </c>
      <c r="P34" s="119">
        <f>O34-0.75</f>
        <v>4.7600000000000007</v>
      </c>
    </row>
    <row r="35" spans="1:16" ht="16.7" customHeight="1" x14ac:dyDescent="0.2">
      <c r="A35" s="105">
        <f t="shared" si="6"/>
        <v>27</v>
      </c>
      <c r="B35" s="106">
        <f t="shared" si="7"/>
        <v>29</v>
      </c>
      <c r="C35" s="127" t="s">
        <v>97</v>
      </c>
      <c r="D35" s="114">
        <v>3</v>
      </c>
      <c r="E35" s="156"/>
      <c r="F35" s="121"/>
      <c r="G35" s="111"/>
      <c r="H35" s="111"/>
      <c r="I35" s="111"/>
      <c r="J35" s="70"/>
      <c r="K35" s="70"/>
      <c r="L35" s="71">
        <v>70</v>
      </c>
      <c r="M35" s="71">
        <f t="shared" si="11"/>
        <v>70</v>
      </c>
      <c r="N35" s="71">
        <f t="shared" si="10"/>
        <v>210</v>
      </c>
      <c r="O35" s="86">
        <f>+J6*M35+1</f>
        <v>13.6</v>
      </c>
      <c r="P35" s="119">
        <f>O35-1</f>
        <v>12.6</v>
      </c>
    </row>
    <row r="36" spans="1:16" ht="16.7" customHeight="1" x14ac:dyDescent="0.2">
      <c r="A36" s="105">
        <f t="shared" ref="A36:A37" si="12">+B35+1</f>
        <v>30</v>
      </c>
      <c r="B36" s="106">
        <f t="shared" ref="B36:B37" si="13">+B35+D36</f>
        <v>30</v>
      </c>
      <c r="C36" s="127" t="s">
        <v>97</v>
      </c>
      <c r="D36" s="114">
        <v>1</v>
      </c>
      <c r="E36" s="156"/>
      <c r="F36" s="121"/>
      <c r="G36" s="111"/>
      <c r="H36" s="111"/>
      <c r="I36" s="111"/>
      <c r="J36" s="70"/>
      <c r="K36" s="70"/>
      <c r="L36" s="71">
        <v>62</v>
      </c>
      <c r="M36" s="71">
        <f t="shared" ref="M36" si="14">SUM(G36:L36)</f>
        <v>62</v>
      </c>
      <c r="N36" s="71">
        <f t="shared" ref="N36" si="15">M36*D36</f>
        <v>62</v>
      </c>
      <c r="O36" s="86">
        <f>+J6*M36+1</f>
        <v>12.16</v>
      </c>
      <c r="P36" s="119">
        <f>O36-1</f>
        <v>11.16</v>
      </c>
    </row>
    <row r="37" spans="1:16" ht="16.7" customHeight="1" x14ac:dyDescent="0.2">
      <c r="A37" s="105">
        <f t="shared" si="12"/>
        <v>31</v>
      </c>
      <c r="B37" s="106">
        <f t="shared" si="13"/>
        <v>32</v>
      </c>
      <c r="C37" s="127" t="s">
        <v>83</v>
      </c>
      <c r="D37" s="114">
        <v>2</v>
      </c>
      <c r="E37" s="156"/>
      <c r="F37" s="121"/>
      <c r="G37" s="111"/>
      <c r="H37" s="111"/>
      <c r="I37" s="111"/>
      <c r="J37" s="70"/>
      <c r="K37" s="70"/>
      <c r="L37" s="71">
        <v>28</v>
      </c>
      <c r="M37" s="71">
        <f t="shared" si="11"/>
        <v>28</v>
      </c>
      <c r="N37" s="71">
        <f t="shared" si="10"/>
        <v>56</v>
      </c>
      <c r="O37" s="86">
        <f>+J6*M37+0.75</f>
        <v>5.79</v>
      </c>
      <c r="P37" s="119">
        <f>O37-0.75</f>
        <v>5.04</v>
      </c>
    </row>
    <row r="38" spans="1:16" ht="16.7" customHeight="1" thickBot="1" x14ac:dyDescent="0.25">
      <c r="A38" s="87"/>
      <c r="B38" s="18"/>
      <c r="C38" s="125"/>
      <c r="D38" s="84"/>
      <c r="E38" s="126"/>
      <c r="F38" s="85"/>
      <c r="G38" s="108"/>
      <c r="H38" s="108"/>
      <c r="I38" s="108"/>
      <c r="J38" s="108"/>
      <c r="K38" s="108"/>
      <c r="L38" s="71"/>
      <c r="M38" s="71"/>
      <c r="N38" s="71"/>
      <c r="O38" s="86"/>
      <c r="P38" s="88"/>
    </row>
    <row r="39" spans="1:16" ht="16.7" customHeight="1" thickBot="1" x14ac:dyDescent="0.25">
      <c r="A39" s="144" t="s">
        <v>23</v>
      </c>
      <c r="B39" s="141"/>
      <c r="C39" s="145"/>
      <c r="D39" s="19">
        <f>SUM(D22:D38)</f>
        <v>32</v>
      </c>
      <c r="E39" s="20" t="s">
        <v>11</v>
      </c>
      <c r="F39" s="21"/>
      <c r="G39" s="19">
        <f>+N25+N24+N23+N22</f>
        <v>190</v>
      </c>
      <c r="H39" s="22">
        <f>+N28+N27+N26</f>
        <v>456</v>
      </c>
      <c r="I39" s="22">
        <f>+N30+N29</f>
        <v>440</v>
      </c>
      <c r="J39" s="22">
        <f>+N32+N31</f>
        <v>396</v>
      </c>
      <c r="K39" s="22">
        <f>+N34+N33</f>
        <v>334</v>
      </c>
      <c r="L39" s="22">
        <f>+N37+N35+N36</f>
        <v>328</v>
      </c>
      <c r="M39" s="22"/>
      <c r="N39" s="22">
        <f>SUM(N22:N38)</f>
        <v>2144</v>
      </c>
      <c r="O39" s="22" t="s">
        <v>5</v>
      </c>
      <c r="P39" s="20"/>
    </row>
    <row r="40" spans="1:16" ht="16.7" customHeight="1" thickBot="1" x14ac:dyDescent="0.25">
      <c r="A40" s="9"/>
      <c r="B40" s="9"/>
      <c r="C40" s="9"/>
      <c r="D40" s="9"/>
      <c r="E40" s="9"/>
      <c r="F40" s="23"/>
      <c r="G40" s="9"/>
      <c r="H40" s="9"/>
      <c r="I40" s="9"/>
      <c r="J40" s="9"/>
      <c r="K40" s="9"/>
      <c r="L40" s="18"/>
      <c r="M40" s="18"/>
      <c r="N40" s="9"/>
      <c r="O40" s="9"/>
      <c r="P40" s="9"/>
    </row>
    <row r="41" spans="1:16" ht="16.7" customHeight="1" thickBot="1" x14ac:dyDescent="0.25">
      <c r="A41" s="9"/>
      <c r="B41" s="9"/>
      <c r="C41" s="9"/>
      <c r="D41" s="9"/>
      <c r="E41" s="157" t="s">
        <v>24</v>
      </c>
      <c r="F41" s="158"/>
      <c r="G41" s="158"/>
      <c r="H41" s="158"/>
      <c r="I41" s="158"/>
      <c r="J41" s="158"/>
      <c r="K41" s="158"/>
      <c r="L41" s="158"/>
      <c r="M41" s="158"/>
      <c r="N41" s="159"/>
      <c r="O41" s="9"/>
      <c r="P41" s="9"/>
    </row>
    <row r="42" spans="1:16" ht="16.7" customHeight="1" thickBot="1" x14ac:dyDescent="0.25">
      <c r="A42" s="9"/>
      <c r="B42" s="9"/>
      <c r="C42" s="9"/>
      <c r="D42" s="9"/>
      <c r="E42" s="160" t="s">
        <v>17</v>
      </c>
      <c r="F42" s="161"/>
      <c r="G42" s="69" t="str">
        <f t="shared" ref="G42:L42" si="16">+G21</f>
        <v>XS REG</v>
      </c>
      <c r="H42" s="69" t="str">
        <f t="shared" si="16"/>
        <v>S REG</v>
      </c>
      <c r="I42" s="75" t="str">
        <f t="shared" si="16"/>
        <v>M REG</v>
      </c>
      <c r="J42" s="69" t="str">
        <f t="shared" si="16"/>
        <v>L REG</v>
      </c>
      <c r="K42" s="69" t="str">
        <f t="shared" si="16"/>
        <v>XL REG</v>
      </c>
      <c r="L42" s="69" t="str">
        <f t="shared" si="16"/>
        <v>XXL REG</v>
      </c>
      <c r="M42" s="24"/>
      <c r="N42" s="17" t="s">
        <v>23</v>
      </c>
      <c r="O42" s="9"/>
      <c r="P42" s="9"/>
    </row>
    <row r="43" spans="1:16" ht="16.7" customHeight="1" x14ac:dyDescent="0.2">
      <c r="A43" s="9"/>
      <c r="B43" s="9"/>
      <c r="C43" s="9"/>
      <c r="D43" s="9"/>
      <c r="E43" s="164" t="s">
        <v>25</v>
      </c>
      <c r="F43" s="165"/>
      <c r="G43" s="30">
        <v>185</v>
      </c>
      <c r="H43" s="30">
        <v>446</v>
      </c>
      <c r="I43" s="30">
        <v>429</v>
      </c>
      <c r="J43" s="30">
        <v>386</v>
      </c>
      <c r="K43" s="30">
        <v>326</v>
      </c>
      <c r="L43" s="30">
        <v>328</v>
      </c>
      <c r="M43" s="62"/>
      <c r="N43" s="25">
        <f>SUM(G43:M43)</f>
        <v>2100</v>
      </c>
      <c r="O43" s="9"/>
      <c r="P43" s="9"/>
    </row>
    <row r="44" spans="1:16" ht="16.7" customHeight="1" x14ac:dyDescent="0.2">
      <c r="A44" s="9"/>
      <c r="B44" s="9"/>
      <c r="C44" s="9"/>
      <c r="D44" s="9"/>
      <c r="E44" s="164" t="s">
        <v>26</v>
      </c>
      <c r="F44" s="165"/>
      <c r="G44" s="72">
        <f t="shared" ref="G44:K44" si="17">G39</f>
        <v>190</v>
      </c>
      <c r="H44" s="72">
        <f t="shared" si="17"/>
        <v>456</v>
      </c>
      <c r="I44" s="72">
        <f t="shared" si="17"/>
        <v>440</v>
      </c>
      <c r="J44" s="72">
        <f t="shared" si="17"/>
        <v>396</v>
      </c>
      <c r="K44" s="72">
        <f t="shared" si="17"/>
        <v>334</v>
      </c>
      <c r="L44" s="72">
        <f>L39</f>
        <v>328</v>
      </c>
      <c r="M44" s="53"/>
      <c r="N44" s="26">
        <f>SUM(G44:M44)</f>
        <v>2144</v>
      </c>
      <c r="O44" s="9"/>
      <c r="P44" s="9"/>
    </row>
    <row r="45" spans="1:16" ht="16.7" customHeight="1" x14ac:dyDescent="0.2">
      <c r="A45" s="18"/>
      <c r="B45" s="18"/>
      <c r="C45" s="18"/>
      <c r="D45" s="18"/>
      <c r="E45" s="164" t="s">
        <v>27</v>
      </c>
      <c r="F45" s="165"/>
      <c r="G45" s="73">
        <f t="shared" ref="G45:L45" si="18">G44-G43</f>
        <v>5</v>
      </c>
      <c r="H45" s="73">
        <f t="shared" si="18"/>
        <v>10</v>
      </c>
      <c r="I45" s="73">
        <f t="shared" si="18"/>
        <v>11</v>
      </c>
      <c r="J45" s="73">
        <f t="shared" si="18"/>
        <v>10</v>
      </c>
      <c r="K45" s="73">
        <f t="shared" si="18"/>
        <v>8</v>
      </c>
      <c r="L45" s="73">
        <f t="shared" si="18"/>
        <v>0</v>
      </c>
      <c r="M45" s="53"/>
      <c r="N45" s="26">
        <f>SUM(G45:M45)</f>
        <v>44</v>
      </c>
      <c r="O45" s="18"/>
      <c r="P45" s="18"/>
    </row>
    <row r="46" spans="1:16" ht="16.7" customHeight="1" thickBot="1" x14ac:dyDescent="0.25">
      <c r="A46" s="18"/>
      <c r="B46" s="18"/>
      <c r="C46" s="18"/>
      <c r="D46" s="18"/>
      <c r="E46" s="162" t="s">
        <v>28</v>
      </c>
      <c r="F46" s="163"/>
      <c r="G46" s="74">
        <f>G45/G43*100</f>
        <v>2.7027027027027026</v>
      </c>
      <c r="H46" s="74">
        <f t="shared" ref="H46:L46" si="19">H45/H43*100</f>
        <v>2.2421524663677128</v>
      </c>
      <c r="I46" s="74">
        <f t="shared" si="19"/>
        <v>2.5641025641025639</v>
      </c>
      <c r="J46" s="74">
        <f t="shared" si="19"/>
        <v>2.5906735751295336</v>
      </c>
      <c r="K46" s="74">
        <f t="shared" si="19"/>
        <v>2.4539877300613497</v>
      </c>
      <c r="L46" s="74">
        <f t="shared" si="19"/>
        <v>0</v>
      </c>
      <c r="M46" s="16"/>
      <c r="N46" s="27">
        <f>N45/N43*100</f>
        <v>2.0952380952380953</v>
      </c>
      <c r="O46" s="18"/>
      <c r="P46" s="18"/>
    </row>
  </sheetData>
  <mergeCells count="31">
    <mergeCell ref="E41:N41"/>
    <mergeCell ref="E42:F42"/>
    <mergeCell ref="E46:F46"/>
    <mergeCell ref="E43:F43"/>
    <mergeCell ref="E44:F44"/>
    <mergeCell ref="E45:F45"/>
    <mergeCell ref="N13:O13"/>
    <mergeCell ref="P20:P21"/>
    <mergeCell ref="A39:C39"/>
    <mergeCell ref="N14:O14"/>
    <mergeCell ref="N15:O15"/>
    <mergeCell ref="D20:D21"/>
    <mergeCell ref="E20:E21"/>
    <mergeCell ref="F20:F21"/>
    <mergeCell ref="G20:J20"/>
    <mergeCell ref="M20:M21"/>
    <mergeCell ref="N20:N21"/>
    <mergeCell ref="O20:O21"/>
    <mergeCell ref="E22:E37"/>
    <mergeCell ref="A1:P1"/>
    <mergeCell ref="A2:P2"/>
    <mergeCell ref="A3:P3"/>
    <mergeCell ref="A4:P4"/>
    <mergeCell ref="N12:O12"/>
    <mergeCell ref="C5:D5"/>
    <mergeCell ref="C6:D6"/>
    <mergeCell ref="C7:D7"/>
    <mergeCell ref="E8:I8"/>
    <mergeCell ref="C8:D8"/>
    <mergeCell ref="P11:Q11"/>
    <mergeCell ref="N11:O11"/>
  </mergeCells>
  <conditionalFormatting sqref="G43:L43">
    <cfRule type="expression" dxfId="6" priority="8">
      <formula>$N43="CANCEL"</formula>
    </cfRule>
    <cfRule type="expression" dxfId="5" priority="9">
      <formula>$S43="Closed"</formula>
    </cfRule>
    <cfRule type="expression" dxfId="4" priority="10">
      <formula>$S43="Delayed"</formula>
    </cfRule>
    <cfRule type="expression" dxfId="3" priority="11">
      <formula>IF(ISNUMBER(#REF!),$T43&gt;$R43,0)</formula>
    </cfRule>
    <cfRule type="expression" dxfId="2" priority="12">
      <formula>$S43="Cut-off"</formula>
    </cfRule>
    <cfRule type="expression" dxfId="1" priority="13">
      <formula>$S43="In Week"</formula>
    </cfRule>
    <cfRule type="expression" dxfId="0" priority="14">
      <formula>$S43="Missed"</formula>
    </cfRule>
  </conditionalFormatting>
  <printOptions horizontalCentered="1"/>
  <pageMargins left="0" right="0" top="0.35" bottom="0.09" header="0.3" footer="0.3"/>
  <pageSetup scale="77" fitToHeight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activeCell="H11" sqref="H11"/>
    </sheetView>
  </sheetViews>
  <sheetFormatPr defaultRowHeight="12.75" x14ac:dyDescent="0.2"/>
  <cols>
    <col min="1" max="1" width="13.140625" style="2" customWidth="1"/>
    <col min="2" max="2" width="13.85546875" style="2" customWidth="1"/>
    <col min="3" max="3" width="12.28515625" style="2" bestFit="1" customWidth="1"/>
    <col min="4" max="4" width="21.28515625" style="2" customWidth="1"/>
    <col min="5" max="5" width="11" style="2" bestFit="1" customWidth="1"/>
    <col min="6" max="6" width="11.140625" style="2" customWidth="1"/>
    <col min="7" max="7" width="8.28515625" style="2" bestFit="1" customWidth="1"/>
    <col min="8" max="8" width="8.7109375" style="2" bestFit="1" customWidth="1"/>
    <col min="9" max="9" width="8.7109375" style="2" customWidth="1"/>
    <col min="10" max="10" width="9.140625" style="2" customWidth="1"/>
    <col min="11" max="16384" width="9.140625" style="2"/>
  </cols>
  <sheetData>
    <row r="1" spans="1:10" ht="26.25" x14ac:dyDescent="0.2">
      <c r="A1" s="168" t="s">
        <v>38</v>
      </c>
      <c r="B1" s="168"/>
      <c r="C1" s="168"/>
      <c r="D1" s="168"/>
      <c r="E1" s="168"/>
      <c r="F1" s="168"/>
      <c r="G1" s="168"/>
      <c r="H1" s="168"/>
      <c r="I1" s="168"/>
      <c r="J1" s="168"/>
    </row>
    <row r="2" spans="1:10" x14ac:dyDescent="0.2">
      <c r="A2" s="169" t="s">
        <v>39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ht="15.75" x14ac:dyDescent="0.2">
      <c r="A3" s="170" t="s">
        <v>30</v>
      </c>
      <c r="B3" s="170"/>
      <c r="C3" s="170"/>
      <c r="D3" s="170"/>
      <c r="E3" s="170"/>
      <c r="F3" s="170"/>
      <c r="G3" s="170"/>
      <c r="H3" s="170"/>
      <c r="I3" s="170"/>
      <c r="J3" s="170"/>
    </row>
    <row r="4" spans="1:10" ht="16.5" thickBo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ht="18.75" thickBot="1" x14ac:dyDescent="0.25">
      <c r="A5" s="32" t="s">
        <v>40</v>
      </c>
      <c r="B5" s="33" t="s">
        <v>73</v>
      </c>
      <c r="C5" s="55"/>
      <c r="D5" s="36"/>
      <c r="E5" s="36"/>
      <c r="F5" s="36"/>
      <c r="G5" s="36"/>
      <c r="H5" s="36"/>
      <c r="I5" s="36"/>
      <c r="J5" s="36"/>
    </row>
    <row r="6" spans="1:10" ht="18.75" thickBot="1" x14ac:dyDescent="0.25">
      <c r="A6" s="34" t="s">
        <v>41</v>
      </c>
      <c r="B6" s="35">
        <v>912548</v>
      </c>
      <c r="C6" s="101" t="s">
        <v>81</v>
      </c>
      <c r="D6" s="36"/>
      <c r="E6" s="36"/>
      <c r="F6" s="36"/>
      <c r="G6" s="36"/>
      <c r="H6" s="37" t="s">
        <v>42</v>
      </c>
      <c r="I6" s="166" t="s">
        <v>85</v>
      </c>
      <c r="J6" s="167"/>
    </row>
    <row r="7" spans="1:10" ht="16.5" thickBot="1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ht="15.75" thickTop="1" x14ac:dyDescent="0.2">
      <c r="A8" s="91" t="s">
        <v>43</v>
      </c>
      <c r="B8" s="92" t="s">
        <v>44</v>
      </c>
      <c r="C8" s="92" t="s">
        <v>64</v>
      </c>
      <c r="D8" s="92" t="s">
        <v>45</v>
      </c>
      <c r="E8" s="93" t="s">
        <v>46</v>
      </c>
      <c r="F8" s="94" t="s">
        <v>47</v>
      </c>
      <c r="G8" s="94" t="s">
        <v>48</v>
      </c>
      <c r="H8" s="94" t="s">
        <v>31</v>
      </c>
      <c r="I8" s="95" t="s">
        <v>49</v>
      </c>
      <c r="J8" s="96" t="s">
        <v>11</v>
      </c>
    </row>
    <row r="9" spans="1:10" ht="15" x14ac:dyDescent="0.2">
      <c r="A9" s="104" t="s">
        <v>84</v>
      </c>
      <c r="B9" s="89">
        <f>+PKL.!D11</f>
        <v>62209540</v>
      </c>
      <c r="C9" s="89" t="s">
        <v>82</v>
      </c>
      <c r="D9" s="30" t="str">
        <f>PKL.!E22</f>
        <v>WICKER-12-1</v>
      </c>
      <c r="E9" s="67">
        <f>PKL.!N43</f>
        <v>2100</v>
      </c>
      <c r="F9" s="67">
        <f>PKL.!N44</f>
        <v>2144</v>
      </c>
      <c r="G9" s="67">
        <f>F9-E9</f>
        <v>44</v>
      </c>
      <c r="H9" s="67">
        <v>0</v>
      </c>
      <c r="I9" s="68">
        <f>+G9/E9</f>
        <v>2.0952380952380951E-2</v>
      </c>
      <c r="J9" s="90">
        <f>PKL.!D39</f>
        <v>32</v>
      </c>
    </row>
    <row r="10" spans="1:10" ht="15" x14ac:dyDescent="0.2">
      <c r="A10" s="76"/>
      <c r="B10" s="65"/>
      <c r="C10" s="65"/>
      <c r="D10" s="66"/>
      <c r="E10" s="67"/>
      <c r="F10" s="67"/>
      <c r="G10" s="67"/>
      <c r="H10" s="67"/>
      <c r="I10" s="68"/>
      <c r="J10" s="77"/>
    </row>
    <row r="11" spans="1:10" ht="15.75" thickBot="1" x14ac:dyDescent="0.25">
      <c r="A11" s="97"/>
      <c r="B11" s="98"/>
      <c r="C11" s="98"/>
      <c r="D11" s="99" t="s">
        <v>23</v>
      </c>
      <c r="E11" s="99">
        <f>SUM(E9:E10)</f>
        <v>2100</v>
      </c>
      <c r="F11" s="99">
        <f>SUM(F9:F10)</f>
        <v>2144</v>
      </c>
      <c r="G11" s="99">
        <f>SUM(G9:G10)</f>
        <v>44</v>
      </c>
      <c r="H11" s="102">
        <f>SUM(H9:H10)</f>
        <v>0</v>
      </c>
      <c r="I11" s="103">
        <f>+G11/E11</f>
        <v>2.0952380952380951E-2</v>
      </c>
      <c r="J11" s="100">
        <f>SUM(J9:J10)</f>
        <v>32</v>
      </c>
    </row>
    <row r="12" spans="1:10" ht="13.5" thickTop="1" x14ac:dyDescent="0.2">
      <c r="A12" s="31"/>
      <c r="B12" s="31"/>
      <c r="C12" s="31"/>
      <c r="D12" s="31"/>
      <c r="E12" s="31"/>
      <c r="F12" s="31"/>
      <c r="G12" s="31"/>
      <c r="H12" s="31"/>
      <c r="I12" s="3"/>
      <c r="J12" s="31"/>
    </row>
    <row r="13" spans="1:10" x14ac:dyDescent="0.2">
      <c r="A13" s="31"/>
      <c r="B13" s="31"/>
      <c r="C13" s="31"/>
      <c r="D13" s="31"/>
      <c r="E13" s="31"/>
      <c r="F13" s="31"/>
      <c r="G13" s="31"/>
      <c r="H13" s="31"/>
      <c r="I13" s="3"/>
      <c r="J13" s="31"/>
    </row>
    <row r="14" spans="1:10" x14ac:dyDescent="0.2">
      <c r="A14" s="31"/>
      <c r="B14" s="31"/>
      <c r="C14" s="31"/>
      <c r="D14" s="31"/>
      <c r="E14" s="31"/>
      <c r="F14" s="31"/>
      <c r="G14" s="31"/>
      <c r="H14" s="31"/>
      <c r="I14" s="3"/>
      <c r="J14" s="31"/>
    </row>
    <row r="15" spans="1:10" x14ac:dyDescent="0.2">
      <c r="A15" s="31"/>
      <c r="B15" s="31"/>
      <c r="C15" s="31"/>
      <c r="D15" s="31"/>
      <c r="E15" s="31"/>
      <c r="F15" s="31"/>
      <c r="G15" s="31"/>
      <c r="H15" s="31"/>
      <c r="I15" s="3"/>
      <c r="J15" s="31"/>
    </row>
    <row r="16" spans="1:10" ht="13.5" thickBot="1" x14ac:dyDescent="0.25">
      <c r="A16" s="31"/>
      <c r="B16" s="31"/>
      <c r="C16" s="31"/>
      <c r="D16" s="31"/>
      <c r="E16" s="31"/>
      <c r="F16" s="31"/>
      <c r="G16" s="31"/>
      <c r="H16" s="31"/>
      <c r="I16" s="3"/>
      <c r="J16" s="31"/>
    </row>
    <row r="17" spans="1:10" ht="14.25" thickTop="1" thickBot="1" x14ac:dyDescent="0.25">
      <c r="A17" s="31"/>
      <c r="B17" s="38" t="s">
        <v>50</v>
      </c>
      <c r="C17" s="56"/>
      <c r="D17" s="39" t="s">
        <v>32</v>
      </c>
      <c r="E17" s="39" t="s">
        <v>33</v>
      </c>
      <c r="F17" s="39" t="s">
        <v>22</v>
      </c>
      <c r="G17" s="172" t="s">
        <v>34</v>
      </c>
      <c r="H17" s="173"/>
      <c r="I17" s="174"/>
      <c r="J17" s="31"/>
    </row>
    <row r="18" spans="1:10" ht="13.5" thickTop="1" x14ac:dyDescent="0.2">
      <c r="A18" s="1"/>
      <c r="B18" s="40">
        <v>1</v>
      </c>
      <c r="C18" s="57"/>
      <c r="D18" s="28" t="s">
        <v>51</v>
      </c>
      <c r="E18" s="41"/>
      <c r="F18" s="41"/>
      <c r="G18" s="175"/>
      <c r="H18" s="176"/>
      <c r="I18" s="177"/>
      <c r="J18" s="31"/>
    </row>
    <row r="19" spans="1:10" x14ac:dyDescent="0.2">
      <c r="A19" s="1"/>
      <c r="B19" s="42">
        <v>2</v>
      </c>
      <c r="C19" s="54"/>
      <c r="D19" s="29" t="s">
        <v>52</v>
      </c>
      <c r="E19" s="30"/>
      <c r="F19" s="30"/>
      <c r="G19" s="178"/>
      <c r="H19" s="179"/>
      <c r="I19" s="180"/>
      <c r="J19" s="31"/>
    </row>
    <row r="20" spans="1:10" x14ac:dyDescent="0.2">
      <c r="A20" s="31"/>
      <c r="B20" s="42">
        <v>3</v>
      </c>
      <c r="C20" s="54"/>
      <c r="D20" s="29" t="s">
        <v>53</v>
      </c>
      <c r="E20" s="30"/>
      <c r="F20" s="30"/>
      <c r="G20" s="178"/>
      <c r="H20" s="179"/>
      <c r="I20" s="180"/>
      <c r="J20" s="31"/>
    </row>
    <row r="21" spans="1:10" x14ac:dyDescent="0.2">
      <c r="A21" s="31"/>
      <c r="B21" s="42">
        <v>4</v>
      </c>
      <c r="C21" s="54"/>
      <c r="D21" s="29" t="s">
        <v>54</v>
      </c>
      <c r="E21" s="30"/>
      <c r="F21" s="30"/>
      <c r="G21" s="178"/>
      <c r="H21" s="179"/>
      <c r="I21" s="180"/>
      <c r="J21" s="31"/>
    </row>
    <row r="22" spans="1:10" x14ac:dyDescent="0.2">
      <c r="A22" s="31"/>
      <c r="B22" s="42">
        <v>5</v>
      </c>
      <c r="C22" s="54"/>
      <c r="D22" s="29" t="s">
        <v>55</v>
      </c>
      <c r="E22" s="30"/>
      <c r="F22" s="30"/>
      <c r="G22" s="178"/>
      <c r="H22" s="179"/>
      <c r="I22" s="180"/>
      <c r="J22" s="31"/>
    </row>
    <row r="23" spans="1:10" x14ac:dyDescent="0.2">
      <c r="A23" s="31"/>
      <c r="B23" s="42">
        <v>6</v>
      </c>
      <c r="C23" s="54"/>
      <c r="D23" s="29" t="s">
        <v>56</v>
      </c>
      <c r="E23" s="30"/>
      <c r="F23" s="30"/>
      <c r="G23" s="50"/>
      <c r="H23" s="51"/>
      <c r="I23" s="52"/>
      <c r="J23" s="31"/>
    </row>
    <row r="24" spans="1:10" x14ac:dyDescent="0.2">
      <c r="A24" s="31"/>
      <c r="B24" s="42">
        <v>7</v>
      </c>
      <c r="C24" s="54"/>
      <c r="D24" s="29" t="s">
        <v>57</v>
      </c>
      <c r="E24" s="50"/>
      <c r="F24" s="30"/>
      <c r="G24" s="51"/>
      <c r="H24" s="51"/>
      <c r="I24" s="52"/>
      <c r="J24" s="31"/>
    </row>
    <row r="25" spans="1:10" x14ac:dyDescent="0.2">
      <c r="A25" s="31"/>
      <c r="B25" s="42">
        <v>8</v>
      </c>
      <c r="C25" s="54"/>
      <c r="D25" s="29" t="s">
        <v>58</v>
      </c>
      <c r="E25" s="43"/>
      <c r="F25" s="123"/>
      <c r="G25" s="51"/>
      <c r="H25" s="51"/>
      <c r="I25" s="52"/>
      <c r="J25" s="31"/>
    </row>
    <row r="26" spans="1:10" x14ac:dyDescent="0.2">
      <c r="A26" s="31"/>
      <c r="B26" s="42">
        <v>9</v>
      </c>
      <c r="C26" s="54"/>
      <c r="D26" s="29" t="s">
        <v>59</v>
      </c>
      <c r="E26" s="43"/>
      <c r="F26" s="123"/>
      <c r="G26" s="44"/>
      <c r="H26" s="51"/>
      <c r="I26" s="52"/>
      <c r="J26" s="31"/>
    </row>
    <row r="27" spans="1:10" x14ac:dyDescent="0.2">
      <c r="A27" s="31"/>
      <c r="B27" s="42">
        <v>10</v>
      </c>
      <c r="C27" s="54"/>
      <c r="D27" s="29" t="s">
        <v>60</v>
      </c>
      <c r="E27" s="43"/>
      <c r="F27" s="123"/>
      <c r="G27" s="44"/>
      <c r="H27" s="44"/>
      <c r="I27" s="45"/>
      <c r="J27" s="31"/>
    </row>
    <row r="28" spans="1:10" ht="13.5" thickBot="1" x14ac:dyDescent="0.25">
      <c r="A28" s="31"/>
      <c r="B28" s="46"/>
      <c r="C28" s="58"/>
      <c r="D28" s="47" t="s">
        <v>61</v>
      </c>
      <c r="E28" s="122"/>
      <c r="F28" s="124"/>
      <c r="G28" s="48"/>
      <c r="H28" s="48"/>
      <c r="I28" s="49"/>
      <c r="J28" s="31"/>
    </row>
    <row r="29" spans="1:10" ht="13.5" customHeight="1" thickTop="1" x14ac:dyDescent="0.2">
      <c r="A29" s="31"/>
      <c r="B29" s="31"/>
      <c r="C29" s="31"/>
      <c r="D29" s="1"/>
      <c r="E29" s="1"/>
      <c r="F29" s="1"/>
      <c r="G29" s="31"/>
      <c r="H29" s="31"/>
      <c r="I29" s="31"/>
      <c r="J29" s="31"/>
    </row>
    <row r="30" spans="1:10" x14ac:dyDescent="0.2">
      <c r="A30" s="31"/>
      <c r="B30" s="31"/>
      <c r="C30" s="31"/>
      <c r="D30" s="1"/>
      <c r="E30" s="1"/>
      <c r="F30" s="1"/>
      <c r="G30" s="31"/>
      <c r="H30" s="31"/>
      <c r="I30" s="31"/>
      <c r="J30" s="31"/>
    </row>
    <row r="31" spans="1:10" x14ac:dyDescent="0.2">
      <c r="A31" s="31"/>
      <c r="B31" s="31"/>
      <c r="C31" s="31"/>
      <c r="D31" s="1"/>
      <c r="E31" s="1"/>
      <c r="F31" s="1"/>
      <c r="G31" s="31"/>
      <c r="H31" s="31"/>
      <c r="I31" s="31"/>
      <c r="J31" s="31"/>
    </row>
    <row r="32" spans="1:10" x14ac:dyDescent="0.2">
      <c r="A32" s="31"/>
      <c r="B32" s="31"/>
      <c r="C32" s="31"/>
      <c r="D32" s="1"/>
      <c r="E32" s="1"/>
      <c r="F32" s="1"/>
      <c r="G32" s="31"/>
      <c r="H32" s="31"/>
      <c r="I32" s="31"/>
      <c r="J32" s="31"/>
    </row>
    <row r="33" spans="1:10" x14ac:dyDescent="0.2">
      <c r="A33" s="31"/>
      <c r="B33" s="31"/>
      <c r="C33" s="31"/>
      <c r="D33" s="1"/>
      <c r="E33" s="1"/>
      <c r="F33" s="1"/>
      <c r="G33" s="31"/>
      <c r="H33" s="31"/>
      <c r="I33" s="31"/>
      <c r="J33" s="31"/>
    </row>
    <row r="34" spans="1:10" x14ac:dyDescent="0.2">
      <c r="A34" s="31"/>
      <c r="B34" s="31"/>
      <c r="C34" s="31"/>
      <c r="D34" s="1"/>
      <c r="E34" s="1"/>
      <c r="F34" s="1"/>
      <c r="G34" s="31"/>
      <c r="H34" s="31"/>
      <c r="I34" s="31"/>
      <c r="J34" s="31"/>
    </row>
    <row r="35" spans="1:10" x14ac:dyDescent="0.2">
      <c r="A35" s="31"/>
      <c r="B35" s="31"/>
      <c r="C35" s="31"/>
      <c r="D35" s="1"/>
      <c r="E35" s="1"/>
      <c r="F35" s="1"/>
      <c r="G35" s="31"/>
      <c r="H35" s="31"/>
      <c r="I35" s="31"/>
      <c r="J35" s="31"/>
    </row>
    <row r="36" spans="1:10" x14ac:dyDescent="0.2">
      <c r="A36" s="31"/>
      <c r="B36" s="31"/>
      <c r="C36" s="31"/>
      <c r="D36" s="1"/>
      <c r="E36" s="1"/>
      <c r="F36" s="1"/>
      <c r="G36" s="31"/>
      <c r="H36" s="31"/>
      <c r="I36" s="31"/>
      <c r="J36" s="31"/>
    </row>
    <row r="37" spans="1:10" x14ac:dyDescent="0.2">
      <c r="A37" s="31"/>
      <c r="B37" s="31"/>
      <c r="C37" s="31"/>
      <c r="D37" s="1"/>
      <c r="E37" s="1"/>
      <c r="F37" s="1"/>
      <c r="G37" s="31"/>
      <c r="H37" s="31"/>
      <c r="I37" s="31"/>
      <c r="J37" s="31"/>
    </row>
    <row r="38" spans="1:10" x14ac:dyDescent="0.2">
      <c r="A38" s="31"/>
      <c r="B38" s="31"/>
      <c r="C38" s="31"/>
      <c r="D38" s="1"/>
      <c r="E38" s="1"/>
      <c r="F38" s="1"/>
      <c r="G38" s="31"/>
      <c r="H38" s="31"/>
      <c r="I38" s="31"/>
      <c r="J38" s="31"/>
    </row>
    <row r="39" spans="1:10" x14ac:dyDescent="0.2">
      <c r="A39" s="31"/>
      <c r="B39" s="31"/>
      <c r="C39" s="31"/>
      <c r="D39" s="1"/>
      <c r="E39" s="1"/>
      <c r="F39" s="1"/>
      <c r="G39" s="31"/>
      <c r="H39" s="31"/>
      <c r="I39" s="31"/>
      <c r="J39" s="31"/>
    </row>
    <row r="40" spans="1:10" ht="13.5" customHeight="1" x14ac:dyDescent="0.2"/>
    <row r="41" spans="1:10" x14ac:dyDescent="0.2">
      <c r="A41" s="171" t="s">
        <v>65</v>
      </c>
      <c r="B41" s="171"/>
      <c r="C41" s="64"/>
      <c r="D41" s="171" t="s">
        <v>35</v>
      </c>
      <c r="E41" s="171"/>
      <c r="F41" s="64"/>
      <c r="G41" s="31"/>
      <c r="H41" s="31"/>
      <c r="I41" s="64" t="s">
        <v>62</v>
      </c>
      <c r="J41" s="31"/>
    </row>
  </sheetData>
  <mergeCells count="12">
    <mergeCell ref="I6:J6"/>
    <mergeCell ref="A1:J1"/>
    <mergeCell ref="A2:J2"/>
    <mergeCell ref="A3:J3"/>
    <mergeCell ref="A41:B41"/>
    <mergeCell ref="G17:I17"/>
    <mergeCell ref="G18:I18"/>
    <mergeCell ref="G19:I19"/>
    <mergeCell ref="G20:I20"/>
    <mergeCell ref="G21:I21"/>
    <mergeCell ref="G22:I22"/>
    <mergeCell ref="D41:E41"/>
  </mergeCells>
  <printOptions horizontalCentered="1"/>
  <pageMargins left="0.49" right="0.27" top="0.34" bottom="0.24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PKL.</vt:lpstr>
      <vt:lpstr>sum</vt:lpstr>
      <vt:lpstr>PKL.!Print_Area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Packing-CCL2</cp:lastModifiedBy>
  <cp:lastPrinted>2026-10-04T05:05:14Z</cp:lastPrinted>
  <dcterms:created xsi:type="dcterms:W3CDTF">2014-04-22T09:32:45Z</dcterms:created>
  <dcterms:modified xsi:type="dcterms:W3CDTF">2026-10-04T05:07:03Z</dcterms:modified>
</cp:coreProperties>
</file>