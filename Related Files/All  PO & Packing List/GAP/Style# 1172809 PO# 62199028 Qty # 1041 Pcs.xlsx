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UYER # GAP - PACKING LIST\ALL STYLE PACKING LIST\2026\SUM''26-NEW STYLE PACKINGLIST\D90370-1172809\HOL-26\"/>
    </mc:Choice>
  </mc:AlternateContent>
  <xr:revisionPtr revIDLastSave="0" documentId="13_ncr:1_{BFD02DE6-960E-477D-8CB7-B39401B0EE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KL." sheetId="3" r:id="rId1"/>
    <sheet name="sum" sheetId="2" r:id="rId2"/>
    <sheet name="Sheet2" sheetId="5" r:id="rId3"/>
  </sheets>
  <externalReferences>
    <externalReference r:id="rId4"/>
  </externalReferences>
  <definedNames>
    <definedName name="_xlnm.Print_Area" localSheetId="0">PKL.!$A$1:$S$67</definedName>
  </definedNames>
  <calcPr calcId="191029"/>
</workbook>
</file>

<file path=xl/calcChain.xml><?xml version="1.0" encoding="utf-8"?>
<calcChain xmlns="http://schemas.openxmlformats.org/spreadsheetml/2006/main">
  <c r="R58" i="3" l="1"/>
  <c r="R57" i="3"/>
  <c r="R56" i="3"/>
  <c r="R55" i="3"/>
  <c r="R54" i="3"/>
  <c r="R53" i="3"/>
  <c r="S58" i="3"/>
  <c r="H41" i="3"/>
  <c r="G41" i="3"/>
  <c r="I41" i="3"/>
  <c r="J41" i="3"/>
  <c r="M23" i="3" l="1"/>
  <c r="P23" i="3" s="1"/>
  <c r="Q23" i="3" s="1"/>
  <c r="M24" i="3"/>
  <c r="P24" i="3" s="1"/>
  <c r="R24" i="3" s="1"/>
  <c r="S24" i="3" s="1"/>
  <c r="P58" i="3"/>
  <c r="Q58" i="3" s="1"/>
  <c r="L60" i="3" s="1"/>
  <c r="P39" i="3"/>
  <c r="K26" i="3"/>
  <c r="P57" i="3"/>
  <c r="Q57" i="3" s="1"/>
  <c r="K60" i="3" s="1"/>
  <c r="P54" i="3"/>
  <c r="Q54" i="3" s="1"/>
  <c r="H60" i="3" s="1"/>
  <c r="P55" i="3"/>
  <c r="Q55" i="3" s="1"/>
  <c r="I60" i="3" s="1"/>
  <c r="G26" i="3"/>
  <c r="K21" i="3"/>
  <c r="K37" i="3" s="1"/>
  <c r="K52" i="3" s="1"/>
  <c r="K63" i="3" s="1"/>
  <c r="K7" i="3"/>
  <c r="P56" i="3"/>
  <c r="S56" i="3" s="1"/>
  <c r="L26" i="3"/>
  <c r="H11" i="2"/>
  <c r="Q39" i="3" l="1"/>
  <c r="R39" i="3"/>
  <c r="S39" i="3" s="1"/>
  <c r="R23" i="3"/>
  <c r="S23" i="3" s="1"/>
  <c r="Q24" i="3"/>
  <c r="S55" i="3"/>
  <c r="S54" i="3"/>
  <c r="S57" i="3"/>
  <c r="Q56" i="3"/>
  <c r="J60" i="3" s="1"/>
  <c r="D44" i="3" l="1"/>
  <c r="D29" i="3"/>
  <c r="K65" i="3" l="1"/>
  <c r="K66" i="3" s="1"/>
  <c r="K67" i="3" s="1"/>
  <c r="E38" i="3" l="1"/>
  <c r="D31" i="3"/>
  <c r="Q32" i="3" s="1"/>
  <c r="D30" i="3"/>
  <c r="D41" i="3"/>
  <c r="D35" i="3" s="1"/>
  <c r="P38" i="3"/>
  <c r="R38" i="3" s="1"/>
  <c r="S38" i="3" s="1"/>
  <c r="Q33" i="3"/>
  <c r="Q38" i="3" l="1"/>
  <c r="L7" i="3"/>
  <c r="Q41" i="3" l="1"/>
  <c r="D33" i="3" s="1"/>
  <c r="D34" i="3" s="1"/>
  <c r="E53" i="3"/>
  <c r="D46" i="3" l="1"/>
  <c r="L65" i="3" l="1"/>
  <c r="L66" i="3" l="1"/>
  <c r="L67" i="3" s="1"/>
  <c r="H21" i="3"/>
  <c r="I21" i="3"/>
  <c r="J21" i="3"/>
  <c r="L21" i="3"/>
  <c r="G21" i="3"/>
  <c r="G37" i="3" s="1"/>
  <c r="G52" i="3" s="1"/>
  <c r="J7" i="3"/>
  <c r="I7" i="3"/>
  <c r="H7" i="3"/>
  <c r="G7" i="3"/>
  <c r="H37" i="3" l="1"/>
  <c r="H52" i="3" s="1"/>
  <c r="I37" i="3"/>
  <c r="I52" i="3" s="1"/>
  <c r="L37" i="3"/>
  <c r="L52" i="3" s="1"/>
  <c r="J37" i="3"/>
  <c r="J52" i="3" s="1"/>
  <c r="H63" i="3" l="1"/>
  <c r="L63" i="3" l="1"/>
  <c r="I63" i="3"/>
  <c r="J63" i="3"/>
  <c r="P53" i="3" l="1"/>
  <c r="S53" i="3" s="1"/>
  <c r="G63" i="3" l="1"/>
  <c r="M22" i="3" l="1"/>
  <c r="D45" i="3" l="1"/>
  <c r="F53" i="3" s="1"/>
  <c r="H26" i="3" l="1"/>
  <c r="L17" i="5" l="1"/>
  <c r="B16" i="5"/>
  <c r="J17" i="5"/>
  <c r="K17" i="5"/>
  <c r="M17" i="5"/>
  <c r="E16" i="5"/>
  <c r="N16" i="5" s="1"/>
  <c r="D14" i="5"/>
  <c r="M13" i="5"/>
  <c r="K13" i="5"/>
  <c r="J13" i="5"/>
  <c r="I13" i="5"/>
  <c r="H13" i="5"/>
  <c r="G13" i="5"/>
  <c r="F13" i="5"/>
  <c r="E13" i="5"/>
  <c r="N13" i="5" l="1"/>
  <c r="F12" i="5" l="1"/>
  <c r="F14" i="5" s="1"/>
  <c r="G12" i="5"/>
  <c r="G14" i="5" s="1"/>
  <c r="H12" i="5"/>
  <c r="H14" i="5" s="1"/>
  <c r="I12" i="5"/>
  <c r="I14" i="5" s="1"/>
  <c r="J12" i="5"/>
  <c r="J14" i="5" s="1"/>
  <c r="J18" i="5" s="1"/>
  <c r="K12" i="5"/>
  <c r="K14" i="5" s="1"/>
  <c r="K18" i="5" s="1"/>
  <c r="L12" i="5"/>
  <c r="M12" i="5"/>
  <c r="M14" i="5" s="1"/>
  <c r="M18" i="5" s="1"/>
  <c r="E12" i="5"/>
  <c r="G11" i="5"/>
  <c r="H11" i="5"/>
  <c r="I11" i="5"/>
  <c r="J11" i="5"/>
  <c r="K11" i="5"/>
  <c r="L11" i="5"/>
  <c r="M11" i="5"/>
  <c r="L14" i="5" l="1"/>
  <c r="L18" i="5" s="1"/>
  <c r="E14" i="5"/>
  <c r="N12" i="5"/>
  <c r="N14" i="5" s="1"/>
  <c r="D8" i="5"/>
  <c r="D17" i="5" s="1"/>
  <c r="B7" i="5"/>
  <c r="D6" i="5"/>
  <c r="F2" i="5"/>
  <c r="F11" i="5" s="1"/>
  <c r="E2" i="5"/>
  <c r="E11" i="5" s="1"/>
  <c r="M4" i="5"/>
  <c r="L4" i="5"/>
  <c r="L5" i="5" s="1"/>
  <c r="K4" i="5"/>
  <c r="K5" i="5" s="1"/>
  <c r="J4" i="5"/>
  <c r="J5" i="5" s="1"/>
  <c r="I4" i="5"/>
  <c r="H4" i="5"/>
  <c r="G4" i="5"/>
  <c r="F4" i="5"/>
  <c r="E4" i="5"/>
  <c r="E7" i="5" s="1"/>
  <c r="A4" i="5"/>
  <c r="M7" i="5" l="1"/>
  <c r="M8" i="5" s="1"/>
  <c r="M5" i="5"/>
  <c r="I7" i="5"/>
  <c r="A7" i="5"/>
  <c r="A13" i="5"/>
  <c r="A16" i="5" s="1"/>
  <c r="D7" i="5"/>
  <c r="D16" i="5" s="1"/>
  <c r="D15" i="5"/>
  <c r="L7" i="5"/>
  <c r="L8" i="5" s="1"/>
  <c r="L9" i="5" s="1"/>
  <c r="H7" i="5"/>
  <c r="J7" i="5"/>
  <c r="J8" i="5" s="1"/>
  <c r="J9" i="5" s="1"/>
  <c r="F7" i="5"/>
  <c r="N4" i="5"/>
  <c r="K7" i="5"/>
  <c r="K8" i="5" s="1"/>
  <c r="K9" i="5" s="1"/>
  <c r="G7" i="5"/>
  <c r="M9" i="5" l="1"/>
  <c r="N7" i="5"/>
  <c r="E3" i="5"/>
  <c r="E5" i="5" s="1"/>
  <c r="D3" i="5"/>
  <c r="D12" i="5" s="1"/>
  <c r="D4" i="5" l="1"/>
  <c r="D13" i="5" s="1"/>
  <c r="D9" i="2" l="1"/>
  <c r="B12" i="5" l="1"/>
  <c r="B15" i="5" s="1"/>
  <c r="B3" i="5"/>
  <c r="B6" i="5" s="1"/>
  <c r="Q48" i="3"/>
  <c r="D60" i="3"/>
  <c r="B22" i="3"/>
  <c r="B9" i="2"/>
  <c r="J26" i="3"/>
  <c r="I26" i="3"/>
  <c r="D26" i="3"/>
  <c r="P22" i="3"/>
  <c r="R22" i="3" s="1"/>
  <c r="Q13" i="3"/>
  <c r="Q12" i="3"/>
  <c r="S22" i="3" l="1"/>
  <c r="B23" i="3"/>
  <c r="A23" i="3"/>
  <c r="B38" i="3"/>
  <c r="A38" i="3"/>
  <c r="J9" i="2"/>
  <c r="J11" i="2" s="1"/>
  <c r="D50" i="3"/>
  <c r="Q53" i="3"/>
  <c r="G60" i="3" s="1"/>
  <c r="D15" i="3"/>
  <c r="Q22" i="3"/>
  <c r="Q26" i="3" s="1"/>
  <c r="D13" i="3" s="1"/>
  <c r="A24" i="3" l="1"/>
  <c r="B24" i="3"/>
  <c r="B39" i="3"/>
  <c r="A39" i="3"/>
  <c r="J65" i="3"/>
  <c r="J66" i="3" s="1"/>
  <c r="J67" i="3" s="1"/>
  <c r="G65" i="3"/>
  <c r="H65" i="3"/>
  <c r="I65" i="3"/>
  <c r="Q60" i="3"/>
  <c r="D48" i="3" s="1"/>
  <c r="D49" i="3" s="1"/>
  <c r="G3" i="5"/>
  <c r="G5" i="5" s="1"/>
  <c r="F3" i="5"/>
  <c r="H3" i="5"/>
  <c r="H5" i="5" s="1"/>
  <c r="H15" i="5"/>
  <c r="H17" i="5" s="1"/>
  <c r="H18" i="5" s="1"/>
  <c r="Q47" i="3"/>
  <c r="A3" i="5"/>
  <c r="D14" i="3"/>
  <c r="B53" i="3" l="1"/>
  <c r="A53" i="3"/>
  <c r="H66" i="3"/>
  <c r="H67" i="3" s="1"/>
  <c r="I66" i="3"/>
  <c r="I67" i="3" s="1"/>
  <c r="F5" i="5"/>
  <c r="I15" i="5"/>
  <c r="I17" i="5" s="1"/>
  <c r="I18" i="5" s="1"/>
  <c r="G66" i="3"/>
  <c r="G67" i="3" s="1"/>
  <c r="I6" i="5"/>
  <c r="I8" i="5" s="1"/>
  <c r="H6" i="5"/>
  <c r="H8" i="5" s="1"/>
  <c r="H9" i="5" s="1"/>
  <c r="E6" i="5"/>
  <c r="E8" i="5" s="1"/>
  <c r="E9" i="5" s="1"/>
  <c r="E15" i="5"/>
  <c r="A12" i="5"/>
  <c r="A15" i="5" s="1"/>
  <c r="A6" i="5"/>
  <c r="B54" i="3" l="1"/>
  <c r="A54" i="3"/>
  <c r="I3" i="5"/>
  <c r="Q64" i="3"/>
  <c r="E9" i="2" s="1"/>
  <c r="E11" i="2" s="1"/>
  <c r="G15" i="5"/>
  <c r="G17" i="5" s="1"/>
  <c r="G18" i="5" s="1"/>
  <c r="F6" i="5"/>
  <c r="F8" i="5" s="1"/>
  <c r="F9" i="5" s="1"/>
  <c r="F15" i="5"/>
  <c r="F17" i="5" s="1"/>
  <c r="F18" i="5" s="1"/>
  <c r="E17" i="5"/>
  <c r="E18" i="5" s="1"/>
  <c r="G6" i="5"/>
  <c r="Q65" i="3"/>
  <c r="F9" i="2" s="1"/>
  <c r="F11" i="2" s="1"/>
  <c r="I5" i="5" l="1"/>
  <c r="I9" i="5" s="1"/>
  <c r="N3" i="5"/>
  <c r="N5" i="5" s="1"/>
  <c r="N18" i="5"/>
  <c r="N15" i="5"/>
  <c r="N17" i="5" s="1"/>
  <c r="Q66" i="3"/>
  <c r="Q67" i="3" s="1"/>
  <c r="G8" i="5"/>
  <c r="G9" i="5" s="1"/>
  <c r="N6" i="5"/>
  <c r="N8" i="5" s="1"/>
  <c r="N9" i="5" l="1"/>
  <c r="G9" i="2"/>
  <c r="G11" i="2" s="1"/>
  <c r="I11" i="2" s="1"/>
  <c r="I9" i="2" l="1"/>
  <c r="A55" i="3" l="1"/>
  <c r="B55" i="3"/>
  <c r="A56" i="3" l="1"/>
  <c r="B56" i="3"/>
  <c r="A57" i="3" l="1"/>
  <c r="B57" i="3"/>
  <c r="A58" i="3" l="1"/>
  <c r="B58" i="3"/>
</calcChain>
</file>

<file path=xl/sharedStrings.xml><?xml version="1.0" encoding="utf-8"?>
<sst xmlns="http://schemas.openxmlformats.org/spreadsheetml/2006/main" count="202" uniqueCount="116">
  <si>
    <t xml:space="preserve">PACKING LIST </t>
  </si>
  <si>
    <t>SINGLE PACK</t>
  </si>
  <si>
    <t xml:space="preserve">BUYER             : </t>
  </si>
  <si>
    <t>STYLE             :</t>
  </si>
  <si>
    <t>P. O. #             :</t>
  </si>
  <si>
    <t>O/QTY              :</t>
  </si>
  <si>
    <t>PCS</t>
  </si>
  <si>
    <r>
      <t xml:space="preserve">PO </t>
    </r>
    <r>
      <rPr>
        <b/>
        <i/>
        <sz val="10"/>
        <rFont val="Arial"/>
        <family val="2"/>
      </rPr>
      <t xml:space="preserve"># </t>
    </r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</si>
  <si>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</si>
  <si>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</si>
  <si>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</si>
  <si>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</si>
  <si>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</si>
  <si>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</si>
  <si>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</si>
  <si>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</si>
  <si>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</si>
  <si>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</si>
  <si>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</si>
  <si>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</si>
  <si>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</si>
  <si>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</si>
  <si>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</si>
  <si>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</si>
  <si>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</si>
  <si>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</si>
  <si>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</si>
  <si>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SUMMARY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</si>
  <si>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</si>
  <si>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</si>
  <si>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</si>
  <si>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</si>
  <si>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</si>
  <si>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</si>
  <si>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</si>
  <si>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</si>
  <si>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</si>
  <si>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</si>
  <si>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</si>
  <si>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 xml:space="preserve">Unit / Prepack     </t>
  </si>
  <si>
    <t xml:space="preserve">    CREATIVE COLLECTIONS LTD-2.</t>
  </si>
  <si>
    <t>CREATIVE COLLECTIONS LIMITED (UNIT= 02)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</si>
  <si>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</si>
  <si>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</si>
  <si>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</si>
  <si>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</si>
  <si>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</si>
  <si>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</si>
  <si>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</si>
  <si>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</si>
  <si>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</si>
  <si>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</si>
  <si>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</si>
  <si>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</si>
  <si>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</si>
  <si>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</si>
  <si>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</si>
  <si>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</si>
  <si>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</si>
  <si>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</si>
  <si>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</si>
  <si>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</si>
  <si>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</si>
  <si>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</si>
  <si>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</si>
  <si>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FINISHING MANAGER</t>
  </si>
  <si>
    <t>MES:</t>
  </si>
  <si>
    <t>M</t>
  </si>
  <si>
    <t>L</t>
  </si>
  <si>
    <t>XL</t>
  </si>
  <si>
    <t>SEASON</t>
  </si>
  <si>
    <t>BULK PACK</t>
  </si>
  <si>
    <t xml:space="preserve">Unit / Prepack      </t>
  </si>
  <si>
    <t>48/6</t>
  </si>
  <si>
    <t xml:space="preserve"> PER BLST</t>
  </si>
  <si>
    <t>X</t>
  </si>
  <si>
    <t xml:space="preserve"> </t>
  </si>
  <si>
    <t>DARK GREY-00-2</t>
  </si>
  <si>
    <t>ORANGE TEAL PLAID -02-2</t>
  </si>
  <si>
    <t>XXL</t>
  </si>
  <si>
    <t>LH</t>
  </si>
  <si>
    <t>XL H</t>
  </si>
  <si>
    <t>XXLH</t>
  </si>
  <si>
    <t>FA AUDITOR</t>
  </si>
  <si>
    <t>N.W</t>
  </si>
  <si>
    <t>N.N.W</t>
  </si>
  <si>
    <t>EMPTY CTN WET</t>
  </si>
  <si>
    <t>1/0.75/0.45</t>
  </si>
  <si>
    <t>MULTY PACK ( N )</t>
  </si>
  <si>
    <t xml:space="preserve">DC CODE : </t>
  </si>
  <si>
    <t>58.67 X 38.48 X 29.72 CM.G81</t>
  </si>
  <si>
    <t>58.67 X 38.48 X 14.86 CM.G82</t>
  </si>
  <si>
    <t>38.48 X 29.34 X 14.86 CM.G84</t>
  </si>
  <si>
    <t>29.34 X 19.25 X 14.86 CM.G8XS</t>
  </si>
  <si>
    <t>G81</t>
  </si>
  <si>
    <t>G82</t>
  </si>
  <si>
    <t>BULK</t>
  </si>
  <si>
    <t>Hol'26</t>
  </si>
  <si>
    <t>GAP</t>
  </si>
  <si>
    <t>TDC</t>
  </si>
  <si>
    <t>G85</t>
  </si>
  <si>
    <t>GAP OUT</t>
  </si>
  <si>
    <t>D97808</t>
  </si>
  <si>
    <t>7/31/2026</t>
  </si>
  <si>
    <t>XS REG</t>
  </si>
  <si>
    <t>S REG</t>
  </si>
  <si>
    <t>M REG</t>
  </si>
  <si>
    <t>L REG</t>
  </si>
  <si>
    <t>XL REG</t>
  </si>
  <si>
    <t>XXL REG</t>
  </si>
  <si>
    <t>1172809-13-1</t>
  </si>
  <si>
    <t>WALDEN GREEN-13-1</t>
  </si>
  <si>
    <t>MIXED</t>
  </si>
  <si>
    <t>01 of 15</t>
  </si>
  <si>
    <t>04 of 15</t>
  </si>
  <si>
    <t xml:space="preserve"> 06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</si>
</sst>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Cambri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6"/>
      <color rgb="FF000000"/>
      <name val="Helvetica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</cellStyleXfs>
  <cellXfs count="272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/>
    </xf>
    <xf numFmtId="2" fontId="3" fillId="2" borderId="19" xfId="0" applyNumberFormat="1" applyFont="1" applyFill="1" applyBorder="1" applyAlignment="1">
      <alignment horizontal="center" vertical="center" wrapText="1"/>
    </xf>
    <xf numFmtId="2" fontId="3" fillId="2" borderId="27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2" borderId="22" xfId="0" applyFont="1" applyFill="1" applyBorder="1"/>
    <xf numFmtId="0" fontId="2" fillId="2" borderId="23" xfId="0" applyFont="1" applyFill="1" applyBorder="1" applyAlignment="1">
      <alignment horizontal="center"/>
    </xf>
    <xf numFmtId="0" fontId="3" fillId="2" borderId="0" xfId="0" applyFont="1" applyFill="1"/>
    <xf numFmtId="0" fontId="9" fillId="2" borderId="2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2" fillId="2" borderId="31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0" fontId="17" fillId="0" borderId="37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10" fontId="12" fillId="0" borderId="51" xfId="0" applyNumberFormat="1" applyFont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/>
    </xf>
    <xf numFmtId="0" fontId="3" fillId="2" borderId="68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 wrapText="1"/>
    </xf>
    <xf numFmtId="2" fontId="0" fillId="2" borderId="15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/>
    </xf>
    <xf numFmtId="49" fontId="3" fillId="2" borderId="19" xfId="0" applyNumberFormat="1" applyFont="1" applyFill="1" applyBorder="1" applyAlignment="1">
      <alignment horizontal="center"/>
    </xf>
    <xf numFmtId="49" fontId="3" fillId="2" borderId="9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0" fillId="0" borderId="0" xfId="0" applyNumberFormat="1"/>
    <xf numFmtId="49" fontId="3" fillId="0" borderId="0" xfId="0" applyNumberFormat="1" applyFont="1"/>
    <xf numFmtId="0" fontId="4" fillId="0" borderId="0" xfId="0" applyFont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/>
    </xf>
    <xf numFmtId="0" fontId="2" fillId="0" borderId="0" xfId="0" applyFont="1"/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10" fontId="17" fillId="0" borderId="15" xfId="0" applyNumberFormat="1" applyFont="1" applyBorder="1" applyAlignment="1">
      <alignment horizontal="center" vertical="center"/>
    </xf>
    <xf numFmtId="0" fontId="19" fillId="0" borderId="0" xfId="0" applyFont="1"/>
    <xf numFmtId="0" fontId="2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64" fontId="21" fillId="2" borderId="15" xfId="0" applyNumberFormat="1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vertical="center"/>
    </xf>
    <xf numFmtId="0" fontId="10" fillId="2" borderId="71" xfId="0" applyFont="1" applyFill="1" applyBorder="1" applyAlignment="1">
      <alignment vertical="center"/>
    </xf>
    <xf numFmtId="0" fontId="10" fillId="2" borderId="72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7" fillId="0" borderId="55" xfId="0" applyFont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vertical="center"/>
    </xf>
    <xf numFmtId="0" fontId="12" fillId="3" borderId="46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vertical="center"/>
    </xf>
    <xf numFmtId="0" fontId="2" fillId="3" borderId="50" xfId="0" applyFont="1" applyFill="1" applyBorder="1" applyAlignment="1">
      <alignment vertical="center"/>
    </xf>
    <xf numFmtId="0" fontId="12" fillId="3" borderId="5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2" fontId="2" fillId="2" borderId="15" xfId="0" applyNumberFormat="1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0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2" fontId="2" fillId="2" borderId="17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3" borderId="75" xfId="0" applyFont="1" applyFill="1" applyBorder="1" applyAlignment="1">
      <alignment horizontal="center" vertical="center"/>
    </xf>
    <xf numFmtId="0" fontId="12" fillId="2" borderId="0" xfId="0" applyFont="1" applyFill="1"/>
    <xf numFmtId="49" fontId="3" fillId="2" borderId="4" xfId="0" applyNumberFormat="1" applyFont="1" applyFill="1" applyBorder="1" applyAlignment="1">
      <alignment horizontal="center"/>
    </xf>
    <xf numFmtId="2" fontId="2" fillId="2" borderId="76" xfId="0" applyNumberFormat="1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3" fillId="0" borderId="5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4" fillId="2" borderId="0" xfId="0" applyFont="1" applyFill="1" applyAlignment="1">
      <alignment horizontal="left"/>
    </xf>
    <xf numFmtId="0" fontId="2" fillId="0" borderId="19" xfId="0" applyFont="1" applyBorder="1" applyAlignment="1">
      <alignment horizontal="left" vertical="center"/>
    </xf>
    <xf numFmtId="0" fontId="2" fillId="2" borderId="77" xfId="0" applyFont="1" applyFill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2" fillId="4" borderId="20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29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164" fontId="21" fillId="4" borderId="15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10" fillId="2" borderId="39" xfId="0" applyFont="1" applyFill="1" applyBorder="1" applyAlignment="1">
      <alignment vertical="center"/>
    </xf>
    <xf numFmtId="0" fontId="10" fillId="2" borderId="40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</cellXfs>
  <cellStyles count="8">
    <cellStyle name="Normal" xfId="0" builtinId="0"/>
    <cellStyle name="Normal 2" xfId="2" xr:uid="{E7D18DE4-8E3A-4C1D-A208-65B50768CDF3}"/>
    <cellStyle name="Normal 2 2" xfId="5" xr:uid="{04E6028F-2073-4DCA-9B05-D52C9BF95D78}"/>
    <cellStyle name="Normal 3" xfId="3" xr:uid="{CA3D6F33-5FF2-41EF-A105-A0CB98004229}"/>
    <cellStyle name="Normal 4" xfId="6" xr:uid="{61C91631-27C2-482C-A019-1056BDBF37F6}"/>
    <cellStyle name="Normal 5" xfId="7" xr:uid="{BEFE1971-DB1C-4548-8EC6-AD0642B18818}"/>
    <cellStyle name="Normal 6" xfId="1" xr:uid="{C041EE6B-80A3-4AA2-AEA8-852594627EC3}"/>
    <cellStyle name="Percent 2" xfId="4" xr:uid="{67AF6321-7E8E-4EFE-9037-020F6DAC40B5}"/>
  </cellStyles>
  <dxfs count="7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YER%20%23%20GAP%20-%20PACKING%20LIST\ALL%20STYLE%20PACKING%20LIST\style%23%20737542%20packinglist%20fa%2021\Style%23%20737542%20PO%23%20C7EO7MA%20Qty%23%206018%20P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L."/>
      <sheetName val="sum"/>
    </sheetNames>
    <sheetDataSet>
      <sheetData sheetId="0">
        <row r="8">
          <cell r="D8" t="str">
            <v>C7EO7MA</v>
          </cell>
        </row>
        <row r="40">
          <cell r="G40" t="str">
            <v>XS</v>
          </cell>
          <cell r="H40" t="str">
            <v>S</v>
          </cell>
        </row>
        <row r="42">
          <cell r="G42">
            <v>208</v>
          </cell>
          <cell r="H42">
            <v>553</v>
          </cell>
          <cell r="I42">
            <v>556</v>
          </cell>
          <cell r="J42">
            <v>561</v>
          </cell>
          <cell r="K42">
            <v>373</v>
          </cell>
          <cell r="L42">
            <v>85</v>
          </cell>
          <cell r="M42">
            <v>29</v>
          </cell>
          <cell r="N42">
            <v>44</v>
          </cell>
          <cell r="O42">
            <v>37</v>
          </cell>
        </row>
        <row r="109">
          <cell r="G109">
            <v>303</v>
          </cell>
          <cell r="H109">
            <v>808</v>
          </cell>
          <cell r="I109">
            <v>812</v>
          </cell>
          <cell r="J109">
            <v>819</v>
          </cell>
          <cell r="K109">
            <v>545</v>
          </cell>
          <cell r="L109">
            <v>124</v>
          </cell>
          <cell r="M109">
            <v>42</v>
          </cell>
          <cell r="O109">
            <v>54</v>
          </cell>
        </row>
        <row r="110">
          <cell r="G110">
            <v>303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view="pageBreakPreview" zoomScaleSheetLayoutView="100" workbookViewId="0">
      <selection activeCell="G10" sqref="G10"/>
    </sheetView>
  </sheetViews>
  <sheetFormatPr defaultRowHeight="12.75" x14ac:dyDescent="0.2"/>
  <cols>
    <col min="1" max="1" width="6.28515625" style="4" customWidth="1"/>
    <col min="2" max="2" width="7.5703125" style="4" customWidth="1"/>
    <col min="3" max="4" width="6.85546875" style="4" customWidth="1"/>
    <col min="5" max="5" width="12.5703125" style="4" customWidth="1"/>
    <col min="6" max="6" width="13.28515625" style="4" customWidth="1"/>
    <col min="7" max="12" width="9.140625" style="4" customWidth="1"/>
    <col min="13" max="13" width="3.28515625" style="4" customWidth="1"/>
    <col min="14" max="14" width="1.7109375" style="4" customWidth="1"/>
    <col min="15" max="15" width="3.140625" style="4" customWidth="1"/>
    <col min="16" max="16" width="5.5703125" style="4" customWidth="1"/>
    <col min="17" max="17" width="7.140625" style="4" customWidth="1"/>
    <col min="18" max="18" width="6.7109375" style="4" customWidth="1"/>
    <col min="19" max="19" width="7.140625" style="4" customWidth="1"/>
    <col min="20" max="16384" width="9.140625" style="4"/>
  </cols>
  <sheetData>
    <row r="1" spans="1:19" ht="19.5" customHeight="1" x14ac:dyDescent="0.35">
      <c r="A1" s="224" t="s">
        <v>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</row>
    <row r="2" spans="1:19" ht="16.7" customHeight="1" x14ac:dyDescent="0.25">
      <c r="A2" s="225" t="s">
        <v>32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</row>
    <row r="3" spans="1:19" ht="16.7" customHeight="1" x14ac:dyDescent="0.2">
      <c r="A3" s="209" t="s">
        <v>0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16.7" customHeight="1" x14ac:dyDescent="0.2">
      <c r="A4" s="209" t="s">
        <v>88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</row>
    <row r="5" spans="1:19" ht="16.7" customHeight="1" x14ac:dyDescent="0.2">
      <c r="A5" s="85"/>
      <c r="B5" s="85"/>
      <c r="C5" s="85"/>
      <c r="D5" s="85"/>
      <c r="E5" s="201" t="s">
        <v>20</v>
      </c>
      <c r="F5" s="201"/>
      <c r="G5" s="118" t="s">
        <v>104</v>
      </c>
      <c r="H5" s="118" t="s">
        <v>105</v>
      </c>
      <c r="I5" s="118" t="s">
        <v>106</v>
      </c>
      <c r="J5" s="119" t="s">
        <v>107</v>
      </c>
      <c r="K5" s="119" t="s">
        <v>108</v>
      </c>
      <c r="L5" s="119" t="s">
        <v>109</v>
      </c>
      <c r="M5" s="85"/>
      <c r="N5" s="85"/>
      <c r="O5" s="85"/>
      <c r="P5" s="85"/>
      <c r="Q5" s="85"/>
      <c r="R5" s="85"/>
      <c r="S5" s="85"/>
    </row>
    <row r="6" spans="1:19" ht="16.7" customHeight="1" x14ac:dyDescent="0.2">
      <c r="A6" s="85"/>
      <c r="B6" s="85"/>
      <c r="C6" s="85"/>
      <c r="D6" s="85"/>
      <c r="E6" s="201" t="s">
        <v>84</v>
      </c>
      <c r="F6" s="201"/>
      <c r="G6" s="264">
        <v>0.11</v>
      </c>
      <c r="H6" s="264">
        <v>0.12</v>
      </c>
      <c r="I6" s="264">
        <v>0.13</v>
      </c>
      <c r="J6" s="264">
        <v>0.14000000000000001</v>
      </c>
      <c r="K6" s="264">
        <v>0.14000000000000001</v>
      </c>
      <c r="L6" s="264">
        <v>0.18</v>
      </c>
      <c r="M6" s="85"/>
      <c r="N6" s="85"/>
      <c r="O6" s="85"/>
      <c r="P6" s="85"/>
      <c r="Q6" s="85"/>
      <c r="R6" s="85"/>
      <c r="S6" s="85"/>
    </row>
    <row r="7" spans="1:19" ht="16.7" customHeight="1" x14ac:dyDescent="0.2">
      <c r="A7" s="85"/>
      <c r="B7" s="85"/>
      <c r="C7" s="85"/>
      <c r="D7" s="85"/>
      <c r="E7" s="201" t="s">
        <v>85</v>
      </c>
      <c r="F7" s="201"/>
      <c r="G7" s="120">
        <f>G6-0.01</f>
        <v>0.1</v>
      </c>
      <c r="H7" s="120">
        <f t="shared" ref="H7:L7" si="0">H6-0.01</f>
        <v>0.11</v>
      </c>
      <c r="I7" s="120">
        <f t="shared" si="0"/>
        <v>0.12000000000000001</v>
      </c>
      <c r="J7" s="120">
        <f t="shared" si="0"/>
        <v>0.13</v>
      </c>
      <c r="K7" s="120">
        <f t="shared" si="0"/>
        <v>0.13</v>
      </c>
      <c r="L7" s="120">
        <f t="shared" si="0"/>
        <v>0.16999999999999998</v>
      </c>
      <c r="M7" s="85"/>
      <c r="N7" s="85"/>
      <c r="O7" s="85"/>
      <c r="P7" s="85"/>
      <c r="Q7" s="85"/>
      <c r="R7" s="85"/>
      <c r="S7" s="85"/>
    </row>
    <row r="8" spans="1:19" ht="16.7" customHeight="1" x14ac:dyDescent="0.2">
      <c r="A8" s="85"/>
      <c r="B8" s="85"/>
      <c r="C8" s="85"/>
      <c r="D8" s="85"/>
      <c r="E8" s="236" t="s">
        <v>86</v>
      </c>
      <c r="F8" s="237"/>
      <c r="G8" s="202" t="s">
        <v>87</v>
      </c>
      <c r="H8" s="203"/>
      <c r="I8" s="203"/>
      <c r="J8" s="203"/>
      <c r="K8" s="203"/>
      <c r="L8" s="204"/>
      <c r="M8" s="85"/>
      <c r="N8" s="85"/>
      <c r="O8" s="85"/>
      <c r="P8" s="85"/>
      <c r="Q8" s="85"/>
      <c r="R8" s="85"/>
      <c r="S8" s="85"/>
    </row>
    <row r="9" spans="1:19" ht="16.7" customHeight="1" x14ac:dyDescent="0.2">
      <c r="A9" s="5" t="s">
        <v>2</v>
      </c>
      <c r="B9" s="5"/>
      <c r="C9" s="5"/>
      <c r="D9" s="5" t="s">
        <v>98</v>
      </c>
      <c r="E9" s="172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</row>
    <row r="10" spans="1:19" ht="16.7" customHeight="1" thickBot="1" x14ac:dyDescent="0.25">
      <c r="A10" s="5" t="s">
        <v>3</v>
      </c>
      <c r="B10" s="5"/>
      <c r="C10" s="5"/>
      <c r="D10" s="5" t="s">
        <v>110</v>
      </c>
      <c r="E10" s="5"/>
      <c r="F10" s="6"/>
      <c r="G10" s="6"/>
      <c r="H10" s="7"/>
      <c r="I10" s="8"/>
      <c r="J10" s="8"/>
      <c r="K10" s="8"/>
      <c r="L10" s="9"/>
      <c r="M10" s="9"/>
      <c r="N10" s="9"/>
      <c r="O10" s="9"/>
      <c r="P10" s="9"/>
      <c r="Q10" s="9"/>
      <c r="R10" s="9"/>
      <c r="S10" s="8"/>
    </row>
    <row r="11" spans="1:19" ht="16.7" customHeight="1" thickBot="1" x14ac:dyDescent="0.3">
      <c r="A11" s="5" t="s">
        <v>4</v>
      </c>
      <c r="B11" s="5"/>
      <c r="C11" s="5"/>
      <c r="D11" s="238">
        <v>62199028</v>
      </c>
      <c r="E11" s="238"/>
      <c r="F11" s="6"/>
      <c r="G11" s="6"/>
      <c r="H11" s="10"/>
      <c r="I11" s="10"/>
      <c r="J11" s="10"/>
      <c r="K11" s="10"/>
      <c r="L11" s="164" t="s">
        <v>89</v>
      </c>
      <c r="M11" s="164"/>
      <c r="N11" s="164"/>
      <c r="O11" s="164"/>
      <c r="P11" s="164"/>
      <c r="Q11" s="239" t="s">
        <v>99</v>
      </c>
      <c r="R11" s="240"/>
      <c r="S11" s="10"/>
    </row>
    <row r="12" spans="1:19" ht="16.7" customHeight="1" thickBot="1" x14ac:dyDescent="0.25">
      <c r="A12" s="5" t="s">
        <v>5</v>
      </c>
      <c r="B12" s="5"/>
      <c r="C12" s="5"/>
      <c r="D12" s="5">
        <v>153</v>
      </c>
      <c r="E12" s="5" t="s">
        <v>6</v>
      </c>
      <c r="F12" s="6"/>
      <c r="G12" s="6"/>
      <c r="H12" s="10"/>
      <c r="I12" s="10"/>
      <c r="J12" s="10"/>
      <c r="K12" s="10"/>
      <c r="L12" s="6" t="s">
        <v>7</v>
      </c>
      <c r="M12" s="6"/>
      <c r="N12" s="6"/>
      <c r="O12" s="6"/>
      <c r="P12" s="6"/>
      <c r="Q12" s="221">
        <f>D11</f>
        <v>62199028</v>
      </c>
      <c r="R12" s="221"/>
      <c r="S12" s="10"/>
    </row>
    <row r="13" spans="1:19" ht="16.7" customHeight="1" thickBot="1" x14ac:dyDescent="0.25">
      <c r="A13" s="5" t="s">
        <v>8</v>
      </c>
      <c r="B13" s="5"/>
      <c r="C13" s="5"/>
      <c r="D13" s="5">
        <f>Q26</f>
        <v>153</v>
      </c>
      <c r="E13" s="5" t="s">
        <v>6</v>
      </c>
      <c r="F13" s="6"/>
      <c r="G13" s="6"/>
      <c r="H13" s="10"/>
      <c r="I13" s="10"/>
      <c r="J13" s="10"/>
      <c r="K13" s="10"/>
      <c r="L13" s="6" t="s">
        <v>9</v>
      </c>
      <c r="M13" s="6"/>
      <c r="N13" s="6"/>
      <c r="O13" s="6"/>
      <c r="P13" s="6"/>
      <c r="Q13" s="212">
        <f>F22</f>
        <v>7021483</v>
      </c>
      <c r="R13" s="212"/>
      <c r="S13" s="11"/>
    </row>
    <row r="14" spans="1:19" ht="16.7" customHeight="1" thickBot="1" x14ac:dyDescent="0.25">
      <c r="A14" s="5" t="s">
        <v>10</v>
      </c>
      <c r="B14" s="5"/>
      <c r="C14" s="5"/>
      <c r="D14" s="5">
        <f>D13-D12</f>
        <v>0</v>
      </c>
      <c r="E14" s="5" t="s">
        <v>6</v>
      </c>
      <c r="F14" s="6"/>
      <c r="G14" s="6"/>
      <c r="H14" s="10"/>
      <c r="I14" s="10"/>
      <c r="J14" s="10"/>
      <c r="K14" s="10"/>
      <c r="L14" s="6" t="s">
        <v>72</v>
      </c>
      <c r="M14" s="6"/>
      <c r="N14" s="6"/>
      <c r="O14" s="6"/>
      <c r="P14" s="6"/>
      <c r="Q14" s="212" t="s">
        <v>73</v>
      </c>
      <c r="R14" s="212"/>
      <c r="S14" s="11"/>
    </row>
    <row r="15" spans="1:19" ht="16.5" customHeight="1" thickBot="1" x14ac:dyDescent="0.25">
      <c r="A15" s="5" t="s">
        <v>12</v>
      </c>
      <c r="B15" s="5"/>
      <c r="C15" s="5"/>
      <c r="D15" s="5">
        <f>D26</f>
        <v>3</v>
      </c>
      <c r="E15" s="5" t="s">
        <v>13</v>
      </c>
      <c r="F15" s="6"/>
      <c r="G15" s="6"/>
      <c r="H15" s="10"/>
      <c r="I15" s="10"/>
      <c r="J15" s="10"/>
      <c r="K15" s="10"/>
      <c r="L15" s="6" t="s">
        <v>14</v>
      </c>
      <c r="M15" s="6"/>
      <c r="N15" s="6"/>
      <c r="O15" s="6"/>
      <c r="P15" s="6"/>
      <c r="Q15" s="212" t="s">
        <v>113</v>
      </c>
      <c r="R15" s="212"/>
      <c r="S15" s="10"/>
    </row>
    <row r="16" spans="1:19" ht="15" customHeight="1" x14ac:dyDescent="0.2">
      <c r="A16" s="5" t="s">
        <v>15</v>
      </c>
      <c r="B16" s="5"/>
      <c r="C16" s="5"/>
      <c r="D16" s="111" t="s">
        <v>90</v>
      </c>
      <c r="E16" s="111"/>
      <c r="F16" s="111"/>
      <c r="G16" s="6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9" ht="15" customHeight="1" x14ac:dyDescent="0.2">
      <c r="A17" s="5" t="s">
        <v>15</v>
      </c>
      <c r="B17" s="5"/>
      <c r="C17" s="5"/>
      <c r="D17" s="111" t="s">
        <v>91</v>
      </c>
      <c r="E17" s="111"/>
      <c r="F17" s="111"/>
      <c r="G17" s="6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9" ht="15" customHeight="1" x14ac:dyDescent="0.2">
      <c r="A18" s="5" t="s">
        <v>15</v>
      </c>
      <c r="B18" s="5"/>
      <c r="C18" s="5"/>
      <c r="D18" s="111" t="s">
        <v>92</v>
      </c>
      <c r="E18" s="111"/>
      <c r="F18" s="111"/>
      <c r="G18" s="6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9" ht="15" customHeight="1" thickBot="1" x14ac:dyDescent="0.25">
      <c r="A19" s="5" t="s">
        <v>15</v>
      </c>
      <c r="B19" s="5"/>
      <c r="C19" s="5"/>
      <c r="D19" s="111" t="s">
        <v>93</v>
      </c>
      <c r="E19" s="111"/>
      <c r="F19" s="111"/>
      <c r="G19" s="6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9" ht="16.7" customHeight="1" x14ac:dyDescent="0.2">
      <c r="A20" s="12" t="s">
        <v>16</v>
      </c>
      <c r="B20" s="71"/>
      <c r="C20" s="13" t="s">
        <v>16</v>
      </c>
      <c r="D20" s="217" t="s">
        <v>17</v>
      </c>
      <c r="E20" s="217" t="s">
        <v>18</v>
      </c>
      <c r="F20" s="192" t="s">
        <v>19</v>
      </c>
      <c r="G20" s="194" t="s">
        <v>20</v>
      </c>
      <c r="H20" s="195"/>
      <c r="I20" s="195"/>
      <c r="J20" s="195"/>
      <c r="K20" s="195"/>
      <c r="L20" s="196"/>
      <c r="M20" s="228" t="s">
        <v>74</v>
      </c>
      <c r="N20" s="229"/>
      <c r="O20" s="230"/>
      <c r="P20" s="217" t="s">
        <v>21</v>
      </c>
      <c r="Q20" s="192" t="s">
        <v>22</v>
      </c>
      <c r="R20" s="215" t="s">
        <v>23</v>
      </c>
      <c r="S20" s="222" t="s">
        <v>24</v>
      </c>
    </row>
    <row r="21" spans="1:19" ht="16.7" customHeight="1" thickBot="1" x14ac:dyDescent="0.25">
      <c r="A21" s="14" t="s">
        <v>25</v>
      </c>
      <c r="B21" s="72"/>
      <c r="C21" s="15" t="s">
        <v>66</v>
      </c>
      <c r="D21" s="226"/>
      <c r="E21" s="226"/>
      <c r="F21" s="227"/>
      <c r="G21" s="82" t="str">
        <f>+G5</f>
        <v>XS REG</v>
      </c>
      <c r="H21" s="82" t="str">
        <f t="shared" ref="H21:L21" si="1">+H5</f>
        <v>S REG</v>
      </c>
      <c r="I21" s="82" t="str">
        <f t="shared" si="1"/>
        <v>M REG</v>
      </c>
      <c r="J21" s="82" t="str">
        <f t="shared" si="1"/>
        <v>L REG</v>
      </c>
      <c r="K21" s="82" t="str">
        <f t="shared" si="1"/>
        <v>XL REG</v>
      </c>
      <c r="L21" s="82" t="str">
        <f t="shared" si="1"/>
        <v>XXL REG</v>
      </c>
      <c r="M21" s="231"/>
      <c r="N21" s="232"/>
      <c r="O21" s="233"/>
      <c r="P21" s="226"/>
      <c r="Q21" s="227"/>
      <c r="R21" s="234"/>
      <c r="S21" s="235"/>
    </row>
    <row r="22" spans="1:19" ht="16.7" customHeight="1" x14ac:dyDescent="0.2">
      <c r="A22" s="98">
        <v>1</v>
      </c>
      <c r="B22" s="103">
        <f>+D22</f>
        <v>1</v>
      </c>
      <c r="C22" s="165" t="s">
        <v>94</v>
      </c>
      <c r="D22" s="86">
        <v>1</v>
      </c>
      <c r="E22" s="192" t="s">
        <v>111</v>
      </c>
      <c r="F22" s="87">
        <v>7021483</v>
      </c>
      <c r="G22" s="84">
        <v>1</v>
      </c>
      <c r="H22" s="84">
        <v>2</v>
      </c>
      <c r="I22" s="84">
        <v>2</v>
      </c>
      <c r="J22" s="84">
        <v>2</v>
      </c>
      <c r="K22" s="84">
        <v>1</v>
      </c>
      <c r="L22" s="88">
        <v>1</v>
      </c>
      <c r="M22" s="76">
        <f>SUM(G22:L22)</f>
        <v>9</v>
      </c>
      <c r="N22" s="77" t="s">
        <v>75</v>
      </c>
      <c r="O22" s="78">
        <v>11</v>
      </c>
      <c r="P22" s="89">
        <f>+O22*M22</f>
        <v>99</v>
      </c>
      <c r="Q22" s="84">
        <f>P22*D22</f>
        <v>99</v>
      </c>
      <c r="R22" s="17">
        <f>+J6*P22+1</f>
        <v>14.860000000000001</v>
      </c>
      <c r="S22" s="18">
        <f>R22-1</f>
        <v>13.860000000000001</v>
      </c>
    </row>
    <row r="23" spans="1:19" ht="16.7" customHeight="1" x14ac:dyDescent="0.2">
      <c r="A23" s="91">
        <f>+B22+1</f>
        <v>2</v>
      </c>
      <c r="B23" s="92">
        <f>+B22+D23</f>
        <v>2</v>
      </c>
      <c r="C23" s="99" t="s">
        <v>95</v>
      </c>
      <c r="D23" s="90">
        <v>1</v>
      </c>
      <c r="E23" s="193"/>
      <c r="F23" s="87">
        <v>7021483</v>
      </c>
      <c r="G23" s="84">
        <v>1</v>
      </c>
      <c r="H23" s="84">
        <v>2</v>
      </c>
      <c r="I23" s="84">
        <v>2</v>
      </c>
      <c r="J23" s="84">
        <v>2</v>
      </c>
      <c r="K23" s="84">
        <v>1</v>
      </c>
      <c r="L23" s="88">
        <v>1</v>
      </c>
      <c r="M23" s="76">
        <f t="shared" ref="M23:M24" si="2">SUM(G23:L23)</f>
        <v>9</v>
      </c>
      <c r="N23" s="77" t="s">
        <v>75</v>
      </c>
      <c r="O23" s="78">
        <v>5</v>
      </c>
      <c r="P23" s="89">
        <f t="shared" ref="P23:P24" si="3">+O23*M23</f>
        <v>45</v>
      </c>
      <c r="Q23" s="84">
        <f t="shared" ref="Q23:Q24" si="4">P23*D23</f>
        <v>45</v>
      </c>
      <c r="R23" s="17">
        <f>+J6*P23+0.75</f>
        <v>7.0500000000000007</v>
      </c>
      <c r="S23" s="18">
        <f>R23-0.75</f>
        <v>6.3000000000000007</v>
      </c>
    </row>
    <row r="24" spans="1:19" ht="16.7" customHeight="1" x14ac:dyDescent="0.2">
      <c r="A24" s="91">
        <f>+B23+1</f>
        <v>3</v>
      </c>
      <c r="B24" s="92">
        <f>+B23+D24</f>
        <v>3</v>
      </c>
      <c r="C24" s="100" t="s">
        <v>100</v>
      </c>
      <c r="D24" s="90">
        <v>1</v>
      </c>
      <c r="E24" s="205"/>
      <c r="F24" s="87">
        <v>7021483</v>
      </c>
      <c r="G24" s="84">
        <v>1</v>
      </c>
      <c r="H24" s="84">
        <v>2</v>
      </c>
      <c r="I24" s="84">
        <v>2</v>
      </c>
      <c r="J24" s="84">
        <v>2</v>
      </c>
      <c r="K24" s="84">
        <v>1</v>
      </c>
      <c r="L24" s="88">
        <v>1</v>
      </c>
      <c r="M24" s="76">
        <f t="shared" si="2"/>
        <v>9</v>
      </c>
      <c r="N24" s="77" t="s">
        <v>75</v>
      </c>
      <c r="O24" s="78">
        <v>1</v>
      </c>
      <c r="P24" s="89">
        <f t="shared" si="3"/>
        <v>9</v>
      </c>
      <c r="Q24" s="84">
        <f t="shared" si="4"/>
        <v>9</v>
      </c>
      <c r="R24" s="17">
        <f>+J6*P24+0.25</f>
        <v>1.5100000000000002</v>
      </c>
      <c r="S24" s="18">
        <f>R24-0.25</f>
        <v>1.2600000000000002</v>
      </c>
    </row>
    <row r="25" spans="1:19" ht="16.7" customHeight="1" thickBot="1" x14ac:dyDescent="0.25">
      <c r="A25" s="91"/>
      <c r="B25" s="92"/>
      <c r="C25" s="101"/>
      <c r="D25" s="19"/>
      <c r="E25" s="93"/>
      <c r="F25" s="65"/>
      <c r="G25" s="20"/>
      <c r="H25" s="20"/>
      <c r="I25" s="20"/>
      <c r="J25" s="20"/>
      <c r="K25" s="20"/>
      <c r="L25" s="65"/>
      <c r="M25" s="79"/>
      <c r="N25" s="80"/>
      <c r="O25" s="81"/>
      <c r="P25" s="65"/>
      <c r="Q25" s="83"/>
      <c r="R25" s="94"/>
      <c r="S25" s="21"/>
    </row>
    <row r="26" spans="1:19" ht="16.7" customHeight="1" thickBot="1" x14ac:dyDescent="0.25">
      <c r="A26" s="206" t="s">
        <v>26</v>
      </c>
      <c r="B26" s="207"/>
      <c r="C26" s="208"/>
      <c r="D26" s="95">
        <f>SUM(D22:D25)</f>
        <v>3</v>
      </c>
      <c r="E26" s="22" t="s">
        <v>13</v>
      </c>
      <c r="F26" s="96"/>
      <c r="G26" s="97">
        <f>+D22*G22*O22+O23*G23*D23+G24*D24*O24</f>
        <v>17</v>
      </c>
      <c r="H26" s="97">
        <f>+D22*H22*O22+O23*H23*D23+H24*D24*O24</f>
        <v>34</v>
      </c>
      <c r="I26" s="97">
        <f>+D22*I22*O22+O23*I23*D23+I24*D24*O24</f>
        <v>34</v>
      </c>
      <c r="J26" s="97">
        <f>+D22*J22*O22+O23*J23*D23+J24*D24*O24</f>
        <v>34</v>
      </c>
      <c r="K26" s="97">
        <f>D22*K22*O22+D23*K23*O23+D24*K24*O24</f>
        <v>17</v>
      </c>
      <c r="L26" s="97">
        <f>D22*L22*O22+D23*L23*O23+D24*L24*O24</f>
        <v>17</v>
      </c>
      <c r="M26" s="210"/>
      <c r="N26" s="207"/>
      <c r="O26" s="208"/>
      <c r="P26" s="97"/>
      <c r="Q26" s="97">
        <f>SUM(Q22:Q25)</f>
        <v>153</v>
      </c>
      <c r="R26" s="97" t="s">
        <v>6</v>
      </c>
      <c r="S26" s="22"/>
    </row>
    <row r="27" spans="1:19" ht="16.7" customHeight="1" x14ac:dyDescent="0.2">
      <c r="A27" s="265"/>
      <c r="B27" s="265"/>
      <c r="C27" s="265"/>
      <c r="D27" s="265"/>
      <c r="E27" s="265"/>
      <c r="F27" s="266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</row>
    <row r="28" spans="1:19" ht="16.7" customHeight="1" x14ac:dyDescent="0.2">
      <c r="A28" s="209" t="s">
        <v>1</v>
      </c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</row>
    <row r="29" spans="1:19" ht="16.7" customHeight="1" x14ac:dyDescent="0.2">
      <c r="A29" s="5" t="s">
        <v>2</v>
      </c>
      <c r="B29" s="5"/>
      <c r="C29" s="5"/>
      <c r="D29" s="5" t="str">
        <f>+D9</f>
        <v>GAP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</row>
    <row r="30" spans="1:19" ht="16.7" customHeight="1" x14ac:dyDescent="0.2">
      <c r="A30" s="5" t="s">
        <v>3</v>
      </c>
      <c r="B30" s="5"/>
      <c r="C30" s="5"/>
      <c r="D30" s="5" t="str">
        <f>+D10</f>
        <v>1172809-13-1</v>
      </c>
      <c r="E30" s="6"/>
      <c r="F30" s="6"/>
      <c r="G30" s="6"/>
      <c r="H30" s="7"/>
      <c r="I30" s="8"/>
      <c r="J30" s="8"/>
      <c r="K30" s="8"/>
      <c r="L30" s="9"/>
      <c r="M30" s="9"/>
      <c r="N30" s="9"/>
      <c r="O30" s="9"/>
      <c r="P30" s="9"/>
      <c r="Q30" s="9"/>
      <c r="R30" s="9"/>
      <c r="S30" s="8"/>
    </row>
    <row r="31" spans="1:19" ht="16.7" customHeight="1" x14ac:dyDescent="0.2">
      <c r="A31" s="5" t="s">
        <v>4</v>
      </c>
      <c r="B31" s="5"/>
      <c r="C31" s="5"/>
      <c r="D31" s="241">
        <f>+D11</f>
        <v>62199028</v>
      </c>
      <c r="E31" s="241"/>
      <c r="F31" s="6"/>
      <c r="G31" s="6"/>
      <c r="H31" s="10"/>
      <c r="I31" s="10"/>
      <c r="J31" s="10"/>
      <c r="K31" s="10"/>
      <c r="L31" s="8"/>
      <c r="M31" s="8"/>
      <c r="N31" s="8"/>
      <c r="O31" s="8"/>
      <c r="P31" s="8"/>
      <c r="Q31" s="8"/>
      <c r="R31" s="8"/>
      <c r="S31" s="10"/>
    </row>
    <row r="32" spans="1:19" ht="16.7" customHeight="1" thickBot="1" x14ac:dyDescent="0.25">
      <c r="A32" s="5" t="s">
        <v>5</v>
      </c>
      <c r="B32" s="5"/>
      <c r="C32" s="5"/>
      <c r="D32" s="9">
        <v>14</v>
      </c>
      <c r="E32" s="6" t="s">
        <v>6</v>
      </c>
      <c r="F32" s="6"/>
      <c r="G32" s="6"/>
      <c r="H32" s="10"/>
      <c r="I32" s="10"/>
      <c r="J32" s="10"/>
      <c r="K32" s="10"/>
      <c r="L32" s="6" t="s">
        <v>7</v>
      </c>
      <c r="M32" s="6"/>
      <c r="N32" s="6"/>
      <c r="O32" s="6"/>
      <c r="Q32" s="221">
        <f>D31</f>
        <v>62199028</v>
      </c>
      <c r="R32" s="221"/>
      <c r="S32" s="10"/>
    </row>
    <row r="33" spans="1:19" ht="16.7" customHeight="1" thickBot="1" x14ac:dyDescent="0.25">
      <c r="A33" s="5" t="s">
        <v>8</v>
      </c>
      <c r="B33" s="5"/>
      <c r="C33" s="5"/>
      <c r="D33" s="9">
        <f>Q41</f>
        <v>14</v>
      </c>
      <c r="E33" s="6" t="s">
        <v>6</v>
      </c>
      <c r="F33" s="6"/>
      <c r="G33" s="6"/>
      <c r="H33" s="10"/>
      <c r="I33" s="10"/>
      <c r="J33" s="10"/>
      <c r="K33" s="10"/>
      <c r="L33" s="6" t="s">
        <v>9</v>
      </c>
      <c r="M33" s="6"/>
      <c r="N33" s="6"/>
      <c r="O33" s="6"/>
      <c r="Q33" s="212" t="str">
        <f>F38</f>
        <v>MIXED</v>
      </c>
      <c r="R33" s="212"/>
      <c r="S33" s="11"/>
    </row>
    <row r="34" spans="1:19" ht="16.7" customHeight="1" thickBot="1" x14ac:dyDescent="0.25">
      <c r="A34" s="5" t="s">
        <v>10</v>
      </c>
      <c r="B34" s="5"/>
      <c r="C34" s="5"/>
      <c r="D34" s="9">
        <f>D33-D32</f>
        <v>0</v>
      </c>
      <c r="E34" s="6" t="s">
        <v>6</v>
      </c>
      <c r="F34" s="28"/>
      <c r="G34" s="6"/>
      <c r="H34" s="10"/>
      <c r="I34" s="10"/>
      <c r="J34" s="10"/>
      <c r="K34" s="10"/>
      <c r="L34" s="6" t="s">
        <v>39</v>
      </c>
      <c r="M34" s="6"/>
      <c r="N34" s="6"/>
      <c r="O34" s="6"/>
      <c r="Q34" s="212" t="s">
        <v>11</v>
      </c>
      <c r="R34" s="212"/>
      <c r="S34" s="11"/>
    </row>
    <row r="35" spans="1:19" ht="16.7" customHeight="1" thickBot="1" x14ac:dyDescent="0.25">
      <c r="A35" s="5" t="s">
        <v>12</v>
      </c>
      <c r="B35" s="5"/>
      <c r="C35" s="5"/>
      <c r="D35" s="9">
        <f>D41</f>
        <v>2</v>
      </c>
      <c r="E35" s="6" t="s">
        <v>13</v>
      </c>
      <c r="F35" s="6"/>
      <c r="G35" s="6"/>
      <c r="H35" s="10"/>
      <c r="I35" s="10"/>
      <c r="J35" s="10"/>
      <c r="K35" s="10"/>
      <c r="L35" s="6" t="s">
        <v>14</v>
      </c>
      <c r="M35" s="6"/>
      <c r="N35" s="6"/>
      <c r="O35" s="6"/>
      <c r="Q35" s="212" t="s">
        <v>114</v>
      </c>
      <c r="R35" s="212"/>
      <c r="S35" s="10"/>
    </row>
    <row r="36" spans="1:19" ht="16.7" customHeight="1" x14ac:dyDescent="0.2">
      <c r="A36" s="12" t="s">
        <v>16</v>
      </c>
      <c r="B36" s="71"/>
      <c r="C36" s="13" t="s">
        <v>16</v>
      </c>
      <c r="D36" s="217" t="s">
        <v>17</v>
      </c>
      <c r="E36" s="217" t="s">
        <v>18</v>
      </c>
      <c r="F36" s="192" t="s">
        <v>19</v>
      </c>
      <c r="G36" s="194" t="s">
        <v>20</v>
      </c>
      <c r="H36" s="195"/>
      <c r="I36" s="195"/>
      <c r="J36" s="195"/>
      <c r="K36" s="195"/>
      <c r="L36" s="195"/>
      <c r="M36" s="195"/>
      <c r="N36" s="195"/>
      <c r="O36" s="196"/>
      <c r="P36" s="217" t="s">
        <v>21</v>
      </c>
      <c r="Q36" s="192" t="s">
        <v>22</v>
      </c>
      <c r="R36" s="215" t="s">
        <v>23</v>
      </c>
      <c r="S36" s="222" t="s">
        <v>24</v>
      </c>
    </row>
    <row r="37" spans="1:19" ht="16.7" customHeight="1" x14ac:dyDescent="0.2">
      <c r="A37" s="148" t="s">
        <v>25</v>
      </c>
      <c r="B37" s="23"/>
      <c r="C37" s="116" t="s">
        <v>66</v>
      </c>
      <c r="D37" s="218"/>
      <c r="E37" s="218"/>
      <c r="F37" s="193"/>
      <c r="G37" s="131" t="str">
        <f>+G21</f>
        <v>XS REG</v>
      </c>
      <c r="H37" s="131" t="str">
        <f>+H21</f>
        <v>S REG</v>
      </c>
      <c r="I37" s="131" t="str">
        <f>+I21</f>
        <v>M REG</v>
      </c>
      <c r="J37" s="131" t="str">
        <f>+J21</f>
        <v>L REG</v>
      </c>
      <c r="K37" s="131" t="str">
        <f>+K21</f>
        <v>XL REG</v>
      </c>
      <c r="L37" s="131" t="str">
        <f>+L21</f>
        <v>XXL REG</v>
      </c>
      <c r="M37" s="245"/>
      <c r="N37" s="246"/>
      <c r="O37" s="247"/>
      <c r="P37" s="218"/>
      <c r="Q37" s="193"/>
      <c r="R37" s="216"/>
      <c r="S37" s="223"/>
    </row>
    <row r="38" spans="1:19" ht="16.7" customHeight="1" x14ac:dyDescent="0.2">
      <c r="A38" s="174">
        <f>+D26+1</f>
        <v>4</v>
      </c>
      <c r="B38" s="142">
        <f>+D26+D38</f>
        <v>4</v>
      </c>
      <c r="C38" s="145" t="s">
        <v>100</v>
      </c>
      <c r="D38" s="146">
        <v>1</v>
      </c>
      <c r="E38" s="243" t="str">
        <f>+E22</f>
        <v>WALDEN GREEN-13-1</v>
      </c>
      <c r="F38" s="124" t="s">
        <v>112</v>
      </c>
      <c r="G38" s="167">
        <v>2</v>
      </c>
      <c r="H38" s="167">
        <v>3</v>
      </c>
      <c r="I38" s="167"/>
      <c r="J38" s="167"/>
      <c r="K38" s="167"/>
      <c r="L38" s="167"/>
      <c r="M38" s="200"/>
      <c r="N38" s="200"/>
      <c r="O38" s="200"/>
      <c r="P38" s="143">
        <f>SUM(G38:L38)*2</f>
        <v>10</v>
      </c>
      <c r="Q38" s="143">
        <f>P38*D38</f>
        <v>10</v>
      </c>
      <c r="R38" s="144">
        <f>+H6*P38+0.25</f>
        <v>1.45</v>
      </c>
      <c r="S38" s="166">
        <f>R38-0.25</f>
        <v>1.2</v>
      </c>
    </row>
    <row r="39" spans="1:19" ht="16.7" customHeight="1" x14ac:dyDescent="0.2">
      <c r="A39" s="174">
        <f>+B38+1</f>
        <v>5</v>
      </c>
      <c r="B39" s="142">
        <f>+B38+D39</f>
        <v>5</v>
      </c>
      <c r="C39" s="145" t="s">
        <v>100</v>
      </c>
      <c r="D39" s="146">
        <v>1</v>
      </c>
      <c r="E39" s="218"/>
      <c r="F39" s="124" t="s">
        <v>112</v>
      </c>
      <c r="G39" s="167"/>
      <c r="H39" s="167"/>
      <c r="I39" s="167">
        <v>1</v>
      </c>
      <c r="J39" s="167">
        <v>1</v>
      </c>
      <c r="K39" s="167"/>
      <c r="L39" s="167"/>
      <c r="M39" s="200"/>
      <c r="N39" s="200"/>
      <c r="O39" s="200"/>
      <c r="P39" s="143">
        <f>SUM(G39:L39)*2</f>
        <v>4</v>
      </c>
      <c r="Q39" s="143">
        <f>P39*D39</f>
        <v>4</v>
      </c>
      <c r="R39" s="144">
        <f>+J6*P39+0.25</f>
        <v>0.81</v>
      </c>
      <c r="S39" s="166">
        <f>R39-0.25</f>
        <v>0.56000000000000005</v>
      </c>
    </row>
    <row r="40" spans="1:19" ht="16.7" customHeight="1" x14ac:dyDescent="0.2">
      <c r="A40" s="175"/>
      <c r="B40" s="33"/>
      <c r="C40" s="99"/>
      <c r="D40" s="132"/>
      <c r="E40" s="244"/>
      <c r="F40" s="124"/>
      <c r="G40" s="65"/>
      <c r="H40" s="65"/>
      <c r="I40" s="65"/>
      <c r="J40" s="65"/>
      <c r="K40" s="65"/>
      <c r="L40" s="65"/>
      <c r="M40" s="200"/>
      <c r="N40" s="200"/>
      <c r="O40" s="200"/>
      <c r="P40" s="65"/>
      <c r="Q40" s="65"/>
      <c r="R40" s="64"/>
      <c r="S40" s="21"/>
    </row>
    <row r="41" spans="1:19" ht="16.7" customHeight="1" thickBot="1" x14ac:dyDescent="0.25">
      <c r="A41" s="242" t="s">
        <v>26</v>
      </c>
      <c r="B41" s="198"/>
      <c r="C41" s="199"/>
      <c r="D41" s="149">
        <f>SUM(D38:D40)</f>
        <v>2</v>
      </c>
      <c r="E41" s="150" t="s">
        <v>13</v>
      </c>
      <c r="F41" s="151"/>
      <c r="G41" s="149">
        <f>+G38*2</f>
        <v>4</v>
      </c>
      <c r="H41" s="152">
        <f>+H38*2</f>
        <v>6</v>
      </c>
      <c r="I41" s="152">
        <f>+I39*2</f>
        <v>2</v>
      </c>
      <c r="J41" s="152">
        <f>+J39*2</f>
        <v>2</v>
      </c>
      <c r="K41" s="152">
        <v>0</v>
      </c>
      <c r="L41" s="152">
        <v>0</v>
      </c>
      <c r="M41" s="197"/>
      <c r="N41" s="198"/>
      <c r="O41" s="199"/>
      <c r="P41" s="152"/>
      <c r="Q41" s="152">
        <f>SUM(Q38:Q40)</f>
        <v>14</v>
      </c>
      <c r="R41" s="152" t="s">
        <v>6</v>
      </c>
      <c r="S41" s="153"/>
    </row>
    <row r="42" spans="1:19" ht="16.7" customHeight="1" x14ac:dyDescent="0.2">
      <c r="A42" s="9"/>
      <c r="B42" s="9"/>
      <c r="C42" s="9"/>
      <c r="D42" s="9"/>
      <c r="E42" s="9"/>
      <c r="F42" s="2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16.7" customHeight="1" x14ac:dyDescent="0.2">
      <c r="A43" s="209" t="s">
        <v>71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</row>
    <row r="44" spans="1:19" ht="16.7" customHeight="1" x14ac:dyDescent="0.2">
      <c r="A44" s="5" t="s">
        <v>2</v>
      </c>
      <c r="B44" s="5"/>
      <c r="C44" s="5"/>
      <c r="D44" s="5" t="str">
        <f>+D9</f>
        <v>GAP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</row>
    <row r="45" spans="1:19" ht="16.7" customHeight="1" x14ac:dyDescent="0.2">
      <c r="A45" s="5" t="s">
        <v>3</v>
      </c>
      <c r="B45" s="5"/>
      <c r="C45" s="5"/>
      <c r="D45" s="5" t="str">
        <f>+D10</f>
        <v>1172809-13-1</v>
      </c>
      <c r="E45" s="6"/>
      <c r="F45" s="6"/>
      <c r="G45" s="6"/>
      <c r="H45" s="7"/>
      <c r="I45" s="8"/>
      <c r="J45" s="8"/>
      <c r="K45" s="8"/>
      <c r="L45" s="9"/>
      <c r="M45" s="9"/>
      <c r="N45" s="9"/>
      <c r="O45" s="9"/>
      <c r="P45" s="9"/>
      <c r="Q45" s="9"/>
      <c r="R45" s="9"/>
      <c r="S45" s="8"/>
    </row>
    <row r="46" spans="1:19" ht="16.7" customHeight="1" x14ac:dyDescent="0.2">
      <c r="A46" s="5" t="s">
        <v>4</v>
      </c>
      <c r="B46" s="5"/>
      <c r="C46" s="5"/>
      <c r="D46" s="241">
        <f>+D11</f>
        <v>62199028</v>
      </c>
      <c r="E46" s="241"/>
      <c r="F46" s="6"/>
      <c r="G46" s="6"/>
      <c r="H46" s="10"/>
      <c r="I46" s="10"/>
      <c r="J46" s="10"/>
      <c r="K46" s="10"/>
      <c r="L46" s="8"/>
      <c r="M46" s="8"/>
      <c r="N46" s="8"/>
      <c r="O46" s="8"/>
      <c r="P46" s="8"/>
      <c r="Q46" s="8"/>
      <c r="R46" s="8"/>
      <c r="S46" s="10"/>
    </row>
    <row r="47" spans="1:19" ht="16.7" customHeight="1" thickBot="1" x14ac:dyDescent="0.25">
      <c r="A47" s="5" t="s">
        <v>5</v>
      </c>
      <c r="B47" s="5"/>
      <c r="C47" s="5"/>
      <c r="D47" s="9">
        <v>874</v>
      </c>
      <c r="E47" s="6" t="s">
        <v>6</v>
      </c>
      <c r="F47" s="6"/>
      <c r="G47" s="6"/>
      <c r="H47" s="10"/>
      <c r="I47" s="10"/>
      <c r="J47" s="10"/>
      <c r="K47" s="10"/>
      <c r="L47" s="6" t="s">
        <v>7</v>
      </c>
      <c r="M47" s="6"/>
      <c r="N47" s="6"/>
      <c r="O47" s="6"/>
      <c r="Q47" s="221">
        <f>D46</f>
        <v>62199028</v>
      </c>
      <c r="R47" s="221"/>
      <c r="S47" s="10"/>
    </row>
    <row r="48" spans="1:19" ht="16.7" customHeight="1" thickBot="1" x14ac:dyDescent="0.25">
      <c r="A48" s="5" t="s">
        <v>8</v>
      </c>
      <c r="B48" s="5"/>
      <c r="C48" s="5"/>
      <c r="D48" s="9">
        <f>Q60</f>
        <v>892</v>
      </c>
      <c r="E48" s="6" t="s">
        <v>6</v>
      </c>
      <c r="F48" s="6"/>
      <c r="G48" s="6"/>
      <c r="H48" s="10"/>
      <c r="I48" s="10"/>
      <c r="J48" s="10"/>
      <c r="K48" s="10"/>
      <c r="L48" s="6" t="s">
        <v>9</v>
      </c>
      <c r="M48" s="6"/>
      <c r="N48" s="6"/>
      <c r="O48" s="6"/>
      <c r="Q48" s="212" t="str">
        <f>+F53</f>
        <v>1172809-13-1</v>
      </c>
      <c r="R48" s="212"/>
      <c r="S48" s="11"/>
    </row>
    <row r="49" spans="1:19" ht="16.7" customHeight="1" thickBot="1" x14ac:dyDescent="0.25">
      <c r="A49" s="5" t="s">
        <v>10</v>
      </c>
      <c r="B49" s="5"/>
      <c r="C49" s="5"/>
      <c r="D49" s="9">
        <f>D48-D47</f>
        <v>18</v>
      </c>
      <c r="E49" s="6" t="s">
        <v>6</v>
      </c>
      <c r="F49" s="6"/>
      <c r="G49" s="6"/>
      <c r="H49" s="10"/>
      <c r="I49" s="10"/>
      <c r="J49" s="10"/>
      <c r="K49" s="10"/>
      <c r="L49" s="6" t="s">
        <v>39</v>
      </c>
      <c r="M49" s="6"/>
      <c r="N49" s="6"/>
      <c r="O49" s="6"/>
      <c r="Q49" s="212" t="s">
        <v>11</v>
      </c>
      <c r="R49" s="212"/>
      <c r="S49" s="11"/>
    </row>
    <row r="50" spans="1:19" ht="16.7" customHeight="1" thickBot="1" x14ac:dyDescent="0.25">
      <c r="A50" s="5" t="s">
        <v>12</v>
      </c>
      <c r="B50" s="5"/>
      <c r="C50" s="5"/>
      <c r="D50" s="9">
        <f>D60</f>
        <v>10</v>
      </c>
      <c r="E50" s="6" t="s">
        <v>13</v>
      </c>
      <c r="F50" s="6"/>
      <c r="G50" s="6"/>
      <c r="H50" s="10"/>
      <c r="I50" s="10"/>
      <c r="J50" s="10"/>
      <c r="K50" s="10"/>
      <c r="L50" s="6" t="s">
        <v>14</v>
      </c>
      <c r="M50" s="6"/>
      <c r="N50" s="6"/>
      <c r="O50" s="6"/>
      <c r="Q50" s="212" t="s">
        <v>115</v>
      </c>
      <c r="R50" s="212"/>
      <c r="S50" s="10"/>
    </row>
    <row r="51" spans="1:19" ht="16.7" customHeight="1" x14ac:dyDescent="0.2">
      <c r="A51" s="12" t="s">
        <v>16</v>
      </c>
      <c r="B51" s="71"/>
      <c r="C51" s="13" t="s">
        <v>16</v>
      </c>
      <c r="D51" s="217" t="s">
        <v>17</v>
      </c>
      <c r="E51" s="217" t="s">
        <v>18</v>
      </c>
      <c r="F51" s="219" t="s">
        <v>96</v>
      </c>
      <c r="G51" s="194" t="s">
        <v>20</v>
      </c>
      <c r="H51" s="195"/>
      <c r="I51" s="195"/>
      <c r="J51" s="195"/>
      <c r="K51" s="195"/>
      <c r="L51" s="195"/>
      <c r="M51" s="195"/>
      <c r="N51" s="195"/>
      <c r="O51" s="196"/>
      <c r="P51" s="217" t="s">
        <v>21</v>
      </c>
      <c r="Q51" s="192" t="s">
        <v>22</v>
      </c>
      <c r="R51" s="215" t="s">
        <v>23</v>
      </c>
      <c r="S51" s="222" t="s">
        <v>24</v>
      </c>
    </row>
    <row r="52" spans="1:19" ht="16.7" customHeight="1" x14ac:dyDescent="0.2">
      <c r="A52" s="148" t="s">
        <v>25</v>
      </c>
      <c r="B52" s="23"/>
      <c r="C52" s="116" t="s">
        <v>66</v>
      </c>
      <c r="D52" s="218"/>
      <c r="E52" s="218"/>
      <c r="F52" s="220"/>
      <c r="G52" s="131" t="str">
        <f>+G37</f>
        <v>XS REG</v>
      </c>
      <c r="H52" s="131" t="str">
        <f>+H37</f>
        <v>S REG</v>
      </c>
      <c r="I52" s="131" t="str">
        <f>+I37</f>
        <v>M REG</v>
      </c>
      <c r="J52" s="131" t="str">
        <f>+J37</f>
        <v>L REG</v>
      </c>
      <c r="K52" s="131" t="str">
        <f>+K37</f>
        <v>XL REG</v>
      </c>
      <c r="L52" s="131" t="str">
        <f>+L37</f>
        <v>XXL REG</v>
      </c>
      <c r="M52" s="245"/>
      <c r="N52" s="246"/>
      <c r="O52" s="247"/>
      <c r="P52" s="218"/>
      <c r="Q52" s="193"/>
      <c r="R52" s="216"/>
      <c r="S52" s="223"/>
    </row>
    <row r="53" spans="1:19" ht="16.7" customHeight="1" x14ac:dyDescent="0.2">
      <c r="A53" s="159">
        <f>+B39+1</f>
        <v>6</v>
      </c>
      <c r="B53" s="160">
        <f>+B39+D53</f>
        <v>6</v>
      </c>
      <c r="C53" s="145" t="s">
        <v>94</v>
      </c>
      <c r="D53" s="154">
        <v>1</v>
      </c>
      <c r="E53" s="243" t="str">
        <f>+E22</f>
        <v>WALDEN GREEN-13-1</v>
      </c>
      <c r="F53" s="157" t="str">
        <f>+D45</f>
        <v>1172809-13-1</v>
      </c>
      <c r="G53" s="158">
        <v>104</v>
      </c>
      <c r="H53" s="158"/>
      <c r="I53" s="158"/>
      <c r="J53" s="158"/>
      <c r="K53" s="158"/>
      <c r="L53" s="158"/>
      <c r="M53" s="121"/>
      <c r="N53" s="122"/>
      <c r="O53" s="123"/>
      <c r="P53" s="142">
        <f>SUM(G53:L53)</f>
        <v>104</v>
      </c>
      <c r="Q53" s="142">
        <f>P53*D53</f>
        <v>104</v>
      </c>
      <c r="R53" s="147">
        <f>+G6*P53+1</f>
        <v>12.44</v>
      </c>
      <c r="S53" s="155">
        <f>R53-1</f>
        <v>11.44</v>
      </c>
    </row>
    <row r="54" spans="1:19" ht="16.7" customHeight="1" x14ac:dyDescent="0.2">
      <c r="A54" s="159">
        <f>+B53+1</f>
        <v>7</v>
      </c>
      <c r="B54" s="160">
        <f>+B53+D54</f>
        <v>8</v>
      </c>
      <c r="C54" s="145" t="s">
        <v>94</v>
      </c>
      <c r="D54" s="156">
        <v>2</v>
      </c>
      <c r="E54" s="218"/>
      <c r="F54" s="157"/>
      <c r="G54" s="158"/>
      <c r="H54" s="158">
        <v>102</v>
      </c>
      <c r="I54" s="158"/>
      <c r="J54" s="158"/>
      <c r="K54" s="158"/>
      <c r="L54" s="158"/>
      <c r="M54" s="121"/>
      <c r="N54" s="122"/>
      <c r="O54" s="123"/>
      <c r="P54" s="142">
        <f>SUM(G54:L54)</f>
        <v>102</v>
      </c>
      <c r="Q54" s="142">
        <f>P54*D54</f>
        <v>204</v>
      </c>
      <c r="R54" s="147">
        <f>+H6*P54+1</f>
        <v>13.24</v>
      </c>
      <c r="S54" s="155">
        <f>R54-1</f>
        <v>12.24</v>
      </c>
    </row>
    <row r="55" spans="1:19" ht="16.7" customHeight="1" x14ac:dyDescent="0.2">
      <c r="A55" s="159">
        <f t="shared" ref="A55" si="5">+B54+1</f>
        <v>9</v>
      </c>
      <c r="B55" s="160">
        <f t="shared" ref="B55" si="6">+B54+D55</f>
        <v>10</v>
      </c>
      <c r="C55" s="145" t="s">
        <v>94</v>
      </c>
      <c r="D55" s="156">
        <v>2</v>
      </c>
      <c r="E55" s="218"/>
      <c r="F55" s="157"/>
      <c r="G55" s="158"/>
      <c r="H55" s="158"/>
      <c r="I55" s="158">
        <v>94</v>
      </c>
      <c r="J55" s="158"/>
      <c r="K55" s="158"/>
      <c r="L55" s="158"/>
      <c r="M55" s="121"/>
      <c r="N55" s="122"/>
      <c r="O55" s="123"/>
      <c r="P55" s="142">
        <f>SUM(G55:L55)</f>
        <v>94</v>
      </c>
      <c r="Q55" s="142">
        <f>P55*D55</f>
        <v>188</v>
      </c>
      <c r="R55" s="147">
        <f>+I6*P55+1</f>
        <v>13.22</v>
      </c>
      <c r="S55" s="155">
        <f>R55-1</f>
        <v>12.22</v>
      </c>
    </row>
    <row r="56" spans="1:19" ht="16.7" customHeight="1" x14ac:dyDescent="0.2">
      <c r="A56" s="159">
        <f t="shared" ref="A56:A58" si="7">+B55+1</f>
        <v>11</v>
      </c>
      <c r="B56" s="160">
        <f t="shared" ref="B56:B58" si="8">+B55+D56</f>
        <v>12</v>
      </c>
      <c r="C56" s="145" t="s">
        <v>94</v>
      </c>
      <c r="D56" s="156">
        <v>2</v>
      </c>
      <c r="E56" s="218"/>
      <c r="F56" s="157"/>
      <c r="G56" s="158"/>
      <c r="H56" s="158"/>
      <c r="I56" s="158"/>
      <c r="J56" s="158">
        <v>86</v>
      </c>
      <c r="K56" s="158"/>
      <c r="L56" s="158"/>
      <c r="M56" s="121"/>
      <c r="N56" s="122"/>
      <c r="O56" s="123"/>
      <c r="P56" s="142">
        <f>SUM(G56:L56)</f>
        <v>86</v>
      </c>
      <c r="Q56" s="142">
        <f>P56*D56</f>
        <v>172</v>
      </c>
      <c r="R56" s="147">
        <f>+J6*P56+1</f>
        <v>13.040000000000001</v>
      </c>
      <c r="S56" s="155">
        <f>R56-1</f>
        <v>12.040000000000001</v>
      </c>
    </row>
    <row r="57" spans="1:19" ht="16.7" customHeight="1" x14ac:dyDescent="0.2">
      <c r="A57" s="159">
        <f t="shared" si="7"/>
        <v>13</v>
      </c>
      <c r="B57" s="160">
        <f t="shared" si="8"/>
        <v>14</v>
      </c>
      <c r="C57" s="145" t="s">
        <v>94</v>
      </c>
      <c r="D57" s="156">
        <v>2</v>
      </c>
      <c r="E57" s="218"/>
      <c r="F57" s="157"/>
      <c r="G57" s="158"/>
      <c r="H57" s="158"/>
      <c r="I57" s="158"/>
      <c r="J57" s="158"/>
      <c r="K57" s="158">
        <v>72</v>
      </c>
      <c r="L57" s="158"/>
      <c r="M57" s="121"/>
      <c r="N57" s="122"/>
      <c r="O57" s="123"/>
      <c r="P57" s="142">
        <f>SUM(G57:L57)</f>
        <v>72</v>
      </c>
      <c r="Q57" s="142">
        <f>P57*D57</f>
        <v>144</v>
      </c>
      <c r="R57" s="147">
        <f>+K6*P57+1</f>
        <v>11.080000000000002</v>
      </c>
      <c r="S57" s="155">
        <f>R57-1</f>
        <v>10.080000000000002</v>
      </c>
    </row>
    <row r="58" spans="1:19" ht="16.7" customHeight="1" x14ac:dyDescent="0.2">
      <c r="A58" s="159">
        <f t="shared" si="7"/>
        <v>15</v>
      </c>
      <c r="B58" s="160">
        <f t="shared" si="8"/>
        <v>15</v>
      </c>
      <c r="C58" s="145" t="s">
        <v>94</v>
      </c>
      <c r="D58" s="156">
        <v>1</v>
      </c>
      <c r="E58" s="218"/>
      <c r="F58" s="124"/>
      <c r="G58" s="126"/>
      <c r="H58" s="125"/>
      <c r="I58" s="125"/>
      <c r="J58" s="125"/>
      <c r="K58" s="125"/>
      <c r="L58" s="125">
        <v>80</v>
      </c>
      <c r="M58" s="269"/>
      <c r="N58" s="270"/>
      <c r="O58" s="271"/>
      <c r="P58" s="142">
        <f>SUM(G58:L58)</f>
        <v>80</v>
      </c>
      <c r="Q58" s="142">
        <f>P58*D58</f>
        <v>80</v>
      </c>
      <c r="R58" s="147">
        <f>+L6*P58+1</f>
        <v>15.399999999999999</v>
      </c>
      <c r="S58" s="155">
        <f>R58-1</f>
        <v>14.399999999999999</v>
      </c>
    </row>
    <row r="59" spans="1:19" ht="16.7" customHeight="1" thickBot="1" x14ac:dyDescent="0.25">
      <c r="A59" s="73"/>
      <c r="B59" s="74"/>
      <c r="C59" s="16"/>
      <c r="D59" s="19"/>
      <c r="E59" s="84"/>
      <c r="F59" s="63" t="s">
        <v>76</v>
      </c>
      <c r="G59" s="117"/>
      <c r="H59" s="117"/>
      <c r="I59" s="117"/>
      <c r="J59" s="117"/>
      <c r="K59" s="117"/>
      <c r="L59" s="117"/>
      <c r="M59" s="76"/>
      <c r="N59" s="77"/>
      <c r="O59" s="78"/>
      <c r="P59" s="65"/>
      <c r="Q59" s="65"/>
      <c r="R59" s="64"/>
      <c r="S59" s="21"/>
    </row>
    <row r="60" spans="1:19" ht="16.7" customHeight="1" thickBot="1" x14ac:dyDescent="0.25">
      <c r="A60" s="211" t="s">
        <v>26</v>
      </c>
      <c r="B60" s="212"/>
      <c r="C60" s="213"/>
      <c r="D60" s="24">
        <f>SUM(D53:D59)</f>
        <v>10</v>
      </c>
      <c r="E60" s="25" t="s">
        <v>13</v>
      </c>
      <c r="F60" s="26"/>
      <c r="G60" s="24">
        <f>+Q53</f>
        <v>104</v>
      </c>
      <c r="H60" s="27">
        <f>+Q54</f>
        <v>204</v>
      </c>
      <c r="I60" s="27">
        <f>+Q55</f>
        <v>188</v>
      </c>
      <c r="J60" s="27">
        <f>+Q56</f>
        <v>172</v>
      </c>
      <c r="K60" s="27">
        <f>+Q57</f>
        <v>144</v>
      </c>
      <c r="L60" s="110">
        <f>+Q58</f>
        <v>80</v>
      </c>
      <c r="M60" s="214"/>
      <c r="N60" s="212"/>
      <c r="O60" s="213"/>
      <c r="P60" s="127"/>
      <c r="Q60" s="127">
        <f>SUM(Q53:Q59)</f>
        <v>892</v>
      </c>
      <c r="R60" s="127" t="s">
        <v>6</v>
      </c>
      <c r="S60" s="128"/>
    </row>
    <row r="61" spans="1:19" ht="16.7" customHeight="1" thickBot="1" x14ac:dyDescent="0.25">
      <c r="A61" s="267"/>
      <c r="B61" s="267"/>
      <c r="C61" s="267"/>
      <c r="D61" s="267"/>
      <c r="E61" s="267"/>
      <c r="F61" s="268"/>
      <c r="G61" s="267"/>
      <c r="H61" s="9"/>
      <c r="I61" s="9"/>
      <c r="J61" s="9"/>
      <c r="K61" s="9"/>
      <c r="L61" s="9"/>
      <c r="M61" s="267"/>
      <c r="N61" s="267"/>
      <c r="O61" s="267"/>
      <c r="P61" s="267"/>
      <c r="Q61" s="267"/>
      <c r="R61" s="267"/>
      <c r="S61" s="267"/>
    </row>
    <row r="62" spans="1:19" ht="16.7" customHeight="1" thickBot="1" x14ac:dyDescent="0.25">
      <c r="A62" s="9"/>
      <c r="B62" s="9"/>
      <c r="C62" s="115"/>
      <c r="D62" s="9"/>
      <c r="E62" s="253" t="s">
        <v>27</v>
      </c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5"/>
      <c r="R62" s="9"/>
      <c r="S62" s="9"/>
    </row>
    <row r="63" spans="1:19" ht="16.7" customHeight="1" thickBot="1" x14ac:dyDescent="0.25">
      <c r="A63" s="9"/>
      <c r="B63" s="9"/>
      <c r="C63" s="115"/>
      <c r="D63" s="9"/>
      <c r="E63" s="206" t="s">
        <v>20</v>
      </c>
      <c r="F63" s="208"/>
      <c r="G63" s="82" t="str">
        <f>+G52</f>
        <v>XS REG</v>
      </c>
      <c r="H63" s="82" t="str">
        <f>+H52</f>
        <v>S REG</v>
      </c>
      <c r="I63" s="82" t="str">
        <f>+I52</f>
        <v>M REG</v>
      </c>
      <c r="J63" s="82" t="str">
        <f>+J52</f>
        <v>L REG</v>
      </c>
      <c r="K63" s="82" t="str">
        <f>+K52</f>
        <v>XL REG</v>
      </c>
      <c r="L63" s="82" t="str">
        <f>+L52</f>
        <v>XXL REG</v>
      </c>
      <c r="M63" s="256"/>
      <c r="N63" s="257"/>
      <c r="O63" s="258"/>
      <c r="P63" s="29"/>
      <c r="Q63" s="22" t="s">
        <v>26</v>
      </c>
      <c r="R63" s="9"/>
      <c r="S63" s="9"/>
    </row>
    <row r="64" spans="1:19" ht="16.7" customHeight="1" x14ac:dyDescent="0.2">
      <c r="A64" s="9"/>
      <c r="B64" s="9"/>
      <c r="C64" s="115"/>
      <c r="D64" s="9"/>
      <c r="E64" s="251" t="s">
        <v>28</v>
      </c>
      <c r="F64" s="252"/>
      <c r="G64" s="37">
        <v>125</v>
      </c>
      <c r="H64" s="37">
        <v>240</v>
      </c>
      <c r="I64" s="37">
        <v>221</v>
      </c>
      <c r="J64" s="37">
        <v>203</v>
      </c>
      <c r="K64" s="37">
        <v>157</v>
      </c>
      <c r="L64" s="37">
        <v>95</v>
      </c>
      <c r="M64" s="248"/>
      <c r="N64" s="249"/>
      <c r="O64" s="250"/>
      <c r="P64" s="102"/>
      <c r="Q64" s="30">
        <f>SUM(G64:P64)</f>
        <v>1041</v>
      </c>
      <c r="R64" s="9"/>
      <c r="S64" s="9"/>
    </row>
    <row r="65" spans="1:19" ht="16.7" customHeight="1" x14ac:dyDescent="0.2">
      <c r="A65" s="9"/>
      <c r="B65" s="9"/>
      <c r="C65" s="9"/>
      <c r="D65" s="9"/>
      <c r="E65" s="251" t="s">
        <v>29</v>
      </c>
      <c r="F65" s="252"/>
      <c r="G65" s="31">
        <f>+G60+G26+G41</f>
        <v>125</v>
      </c>
      <c r="H65" s="31">
        <f>+H60+H26+H41</f>
        <v>244</v>
      </c>
      <c r="I65" s="31">
        <f>+I60+I26+I41</f>
        <v>224</v>
      </c>
      <c r="J65" s="31">
        <f>+J60+J26+J41</f>
        <v>208</v>
      </c>
      <c r="K65" s="31">
        <f>+K60+K26+K41</f>
        <v>161</v>
      </c>
      <c r="L65" s="31">
        <f>+L60+L26+L41</f>
        <v>97</v>
      </c>
      <c r="M65" s="248"/>
      <c r="N65" s="249"/>
      <c r="O65" s="250"/>
      <c r="P65" s="65"/>
      <c r="Q65" s="32">
        <f>SUM(G65:P65)</f>
        <v>1059</v>
      </c>
      <c r="R65" s="9"/>
      <c r="S65" s="9"/>
    </row>
    <row r="66" spans="1:19" ht="16.7" customHeight="1" x14ac:dyDescent="0.2">
      <c r="A66" s="9"/>
      <c r="B66" s="9"/>
      <c r="C66" s="9"/>
      <c r="D66" s="9"/>
      <c r="E66" s="251" t="s">
        <v>30</v>
      </c>
      <c r="F66" s="252"/>
      <c r="G66" s="33">
        <f t="shared" ref="G66:L66" si="9">G65-G64</f>
        <v>0</v>
      </c>
      <c r="H66" s="33">
        <f t="shared" si="9"/>
        <v>4</v>
      </c>
      <c r="I66" s="33">
        <f t="shared" si="9"/>
        <v>3</v>
      </c>
      <c r="J66" s="33">
        <f t="shared" si="9"/>
        <v>5</v>
      </c>
      <c r="K66" s="33">
        <f t="shared" si="9"/>
        <v>4</v>
      </c>
      <c r="L66" s="33">
        <f t="shared" si="9"/>
        <v>2</v>
      </c>
      <c r="M66" s="248"/>
      <c r="N66" s="249"/>
      <c r="O66" s="250"/>
      <c r="P66" s="65"/>
      <c r="Q66" s="32">
        <f>SUM(G66:P66)</f>
        <v>18</v>
      </c>
      <c r="R66" s="9"/>
      <c r="S66" s="9"/>
    </row>
    <row r="67" spans="1:19" ht="16.7" customHeight="1" thickBot="1" x14ac:dyDescent="0.25">
      <c r="A67" s="9"/>
      <c r="B67" s="9"/>
      <c r="C67" s="9"/>
      <c r="D67" s="9"/>
      <c r="E67" s="259" t="s">
        <v>31</v>
      </c>
      <c r="F67" s="260"/>
      <c r="G67" s="34">
        <f t="shared" ref="G67:L67" si="10">G66/G64*100</f>
        <v>0</v>
      </c>
      <c r="H67" s="34">
        <f t="shared" si="10"/>
        <v>1.6666666666666667</v>
      </c>
      <c r="I67" s="34">
        <f t="shared" si="10"/>
        <v>1.3574660633484164</v>
      </c>
      <c r="J67" s="34">
        <f t="shared" si="10"/>
        <v>2.4630541871921183</v>
      </c>
      <c r="K67" s="34">
        <f t="shared" si="10"/>
        <v>2.547770700636943</v>
      </c>
      <c r="L67" s="34">
        <f t="shared" si="10"/>
        <v>2.1052631578947367</v>
      </c>
      <c r="M67" s="261"/>
      <c r="N67" s="262"/>
      <c r="O67" s="263"/>
      <c r="P67" s="20"/>
      <c r="Q67" s="35">
        <f>Q66/Q64*100</f>
        <v>1.7291066282420751</v>
      </c>
      <c r="R67" s="9"/>
      <c r="S67" s="9"/>
    </row>
  </sheetData>
  <mergeCells count="77">
    <mergeCell ref="P36:P37"/>
    <mergeCell ref="Q36:Q37"/>
    <mergeCell ref="R36:R37"/>
    <mergeCell ref="M37:O37"/>
    <mergeCell ref="M38:O38"/>
    <mergeCell ref="E67:F67"/>
    <mergeCell ref="M67:O67"/>
    <mergeCell ref="E64:F64"/>
    <mergeCell ref="M64:O64"/>
    <mergeCell ref="E65:F65"/>
    <mergeCell ref="D51:D52"/>
    <mergeCell ref="M52:O52"/>
    <mergeCell ref="M65:O65"/>
    <mergeCell ref="E66:F66"/>
    <mergeCell ref="M66:O66"/>
    <mergeCell ref="E62:Q62"/>
    <mergeCell ref="E63:F63"/>
    <mergeCell ref="M63:O63"/>
    <mergeCell ref="E53:E58"/>
    <mergeCell ref="Q20:Q21"/>
    <mergeCell ref="E8:F8"/>
    <mergeCell ref="D11:E11"/>
    <mergeCell ref="Q11:R11"/>
    <mergeCell ref="D46:E46"/>
    <mergeCell ref="A43:S43"/>
    <mergeCell ref="D36:D37"/>
    <mergeCell ref="S36:S37"/>
    <mergeCell ref="A41:C41"/>
    <mergeCell ref="E38:E40"/>
    <mergeCell ref="D31:E31"/>
    <mergeCell ref="Q32:R32"/>
    <mergeCell ref="Q33:R33"/>
    <mergeCell ref="Q34:R34"/>
    <mergeCell ref="Q35:R35"/>
    <mergeCell ref="E36:E37"/>
    <mergeCell ref="A1:S1"/>
    <mergeCell ref="A2:S2"/>
    <mergeCell ref="D20:D21"/>
    <mergeCell ref="E20:E21"/>
    <mergeCell ref="F20:F21"/>
    <mergeCell ref="G20:L20"/>
    <mergeCell ref="M20:O21"/>
    <mergeCell ref="P20:P21"/>
    <mergeCell ref="R20:R21"/>
    <mergeCell ref="S20:S21"/>
    <mergeCell ref="A3:S3"/>
    <mergeCell ref="Q12:R12"/>
    <mergeCell ref="A4:S4"/>
    <mergeCell ref="Q13:R13"/>
    <mergeCell ref="Q14:R14"/>
    <mergeCell ref="Q15:R15"/>
    <mergeCell ref="A26:C26"/>
    <mergeCell ref="A28:S28"/>
    <mergeCell ref="M26:O26"/>
    <mergeCell ref="A60:C60"/>
    <mergeCell ref="M60:O60"/>
    <mergeCell ref="R51:R52"/>
    <mergeCell ref="E51:E52"/>
    <mergeCell ref="F51:F52"/>
    <mergeCell ref="G51:O51"/>
    <mergeCell ref="P51:P52"/>
    <mergeCell ref="Q51:Q52"/>
    <mergeCell ref="Q47:R47"/>
    <mergeCell ref="Q50:R50"/>
    <mergeCell ref="Q48:R48"/>
    <mergeCell ref="Q49:R49"/>
    <mergeCell ref="S51:S52"/>
    <mergeCell ref="E5:F5"/>
    <mergeCell ref="E6:F6"/>
    <mergeCell ref="E7:F7"/>
    <mergeCell ref="G8:L8"/>
    <mergeCell ref="E22:E24"/>
    <mergeCell ref="F36:F37"/>
    <mergeCell ref="G36:O36"/>
    <mergeCell ref="M41:O41"/>
    <mergeCell ref="M40:O40"/>
    <mergeCell ref="M39:O39"/>
  </mergeCells>
  <conditionalFormatting sqref="G64:L64">
    <cfRule type="expression" dxfId="6" priority="148">
      <formula>$Q64="CANCEL"</formula>
    </cfRule>
    <cfRule type="expression" dxfId="5" priority="149">
      <formula>$V64="Closed"</formula>
    </cfRule>
    <cfRule type="expression" dxfId="4" priority="150">
      <formula>$V64="Delayed"</formula>
    </cfRule>
    <cfRule type="expression" dxfId="3" priority="151">
      <formula>IF(ISNUMBER(#REF!),$W64&gt;$U64,0)</formula>
    </cfRule>
    <cfRule type="expression" dxfId="2" priority="152">
      <formula>$V64="Cut-off"</formula>
    </cfRule>
    <cfRule type="expression" dxfId="1" priority="153">
      <formula>$V64="In Week"</formula>
    </cfRule>
    <cfRule type="expression" dxfId="0" priority="154">
      <formula>$V64="Missed"</formula>
    </cfRule>
  </conditionalFormatting>
  <printOptions horizontalCentered="1"/>
  <pageMargins left="0" right="0" top="0" bottom="0" header="0" footer="0"/>
  <pageSetup scale="60" fitToHeight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view="pageBreakPreview" zoomScaleNormal="100" zoomScaleSheetLayoutView="100" workbookViewId="0">
      <selection activeCell="D14" sqref="D14"/>
    </sheetView>
  </sheetViews>
  <sheetFormatPr defaultRowHeight="12.75" x14ac:dyDescent="0.2"/>
  <cols>
    <col min="1" max="1" width="10" style="2" customWidth="1"/>
    <col min="2" max="2" width="13.85546875" style="2" customWidth="1"/>
    <col min="3" max="3" width="10" style="2" customWidth="1"/>
    <col min="4" max="4" width="29.28515625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1" spans="1:10" ht="26.25" x14ac:dyDescent="0.2">
      <c r="A1" s="179" t="s">
        <v>41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0" x14ac:dyDescent="0.2">
      <c r="A2" s="180" t="s">
        <v>42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0" ht="15.75" x14ac:dyDescent="0.2">
      <c r="A3" s="181" t="s">
        <v>33</v>
      </c>
      <c r="B3" s="181"/>
      <c r="C3" s="181"/>
      <c r="D3" s="181"/>
      <c r="E3" s="181"/>
      <c r="F3" s="181"/>
      <c r="G3" s="181"/>
      <c r="H3" s="181"/>
      <c r="I3" s="181"/>
      <c r="J3" s="181"/>
    </row>
    <row r="4" spans="1:10" ht="16.5" thickBot="1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</row>
    <row r="5" spans="1:10" ht="18.75" thickBot="1" x14ac:dyDescent="0.25">
      <c r="A5" s="40" t="s">
        <v>43</v>
      </c>
      <c r="B5" s="41" t="s">
        <v>101</v>
      </c>
      <c r="C5" s="67"/>
      <c r="D5" s="43"/>
      <c r="E5" s="43"/>
      <c r="F5" s="43"/>
      <c r="G5" s="43"/>
      <c r="H5" s="43"/>
      <c r="I5" s="43"/>
      <c r="J5" s="43"/>
    </row>
    <row r="6" spans="1:10" ht="18.75" thickBot="1" x14ac:dyDescent="0.25">
      <c r="A6" s="42" t="s">
        <v>44</v>
      </c>
      <c r="B6" s="168">
        <v>1184607</v>
      </c>
      <c r="C6" s="176" t="s">
        <v>102</v>
      </c>
      <c r="D6" s="43"/>
      <c r="E6" s="43"/>
      <c r="F6" s="43"/>
      <c r="G6" s="43"/>
      <c r="H6" s="44" t="s">
        <v>45</v>
      </c>
      <c r="I6" s="177" t="s">
        <v>103</v>
      </c>
      <c r="J6" s="178"/>
    </row>
    <row r="7" spans="1:10" ht="16.5" thickBot="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</row>
    <row r="8" spans="1:10" ht="16.5" thickTop="1" thickBot="1" x14ac:dyDescent="0.25">
      <c r="A8" s="133" t="s">
        <v>46</v>
      </c>
      <c r="B8" s="134" t="s">
        <v>47</v>
      </c>
      <c r="C8" s="134" t="s">
        <v>70</v>
      </c>
      <c r="D8" s="134" t="s">
        <v>48</v>
      </c>
      <c r="E8" s="135" t="s">
        <v>49</v>
      </c>
      <c r="F8" s="136" t="s">
        <v>50</v>
      </c>
      <c r="G8" s="136" t="s">
        <v>51</v>
      </c>
      <c r="H8" s="136" t="s">
        <v>34</v>
      </c>
      <c r="I8" s="137" t="s">
        <v>52</v>
      </c>
      <c r="J8" s="138" t="s">
        <v>13</v>
      </c>
    </row>
    <row r="9" spans="1:10" ht="15.75" thickTop="1" x14ac:dyDescent="0.2">
      <c r="A9" s="162" t="s">
        <v>99</v>
      </c>
      <c r="B9" s="161">
        <f>+PKL.!D11</f>
        <v>62199028</v>
      </c>
      <c r="C9" s="161" t="s">
        <v>97</v>
      </c>
      <c r="D9" s="173" t="str">
        <f>+PKL.!E22</f>
        <v>WALDEN GREEN-13-1</v>
      </c>
      <c r="E9" s="45">
        <f>+PKL.!Q64</f>
        <v>1041</v>
      </c>
      <c r="F9" s="45">
        <f>+PKL.!Q65</f>
        <v>1059</v>
      </c>
      <c r="G9" s="45">
        <f>F9-E9</f>
        <v>18</v>
      </c>
      <c r="H9" s="45">
        <v>0</v>
      </c>
      <c r="I9" s="46">
        <f>+G9/E9</f>
        <v>1.7291066282420751E-2</v>
      </c>
      <c r="J9" s="47">
        <f>+PKL.!D26+PKL.!D41+PKL.!D60</f>
        <v>15</v>
      </c>
    </row>
    <row r="10" spans="1:10" ht="15" thickBot="1" x14ac:dyDescent="0.25">
      <c r="A10" s="129"/>
      <c r="B10" s="112"/>
      <c r="C10" s="112"/>
      <c r="D10" s="37"/>
      <c r="E10" s="113"/>
      <c r="F10" s="113"/>
      <c r="G10" s="113"/>
      <c r="H10" s="113"/>
      <c r="I10" s="114"/>
      <c r="J10" s="130"/>
    </row>
    <row r="11" spans="1:10" ht="15.75" thickBot="1" x14ac:dyDescent="0.25">
      <c r="A11" s="139"/>
      <c r="B11" s="140"/>
      <c r="C11" s="140"/>
      <c r="D11" s="141" t="s">
        <v>26</v>
      </c>
      <c r="E11" s="141">
        <f>SUM(E9:E10)</f>
        <v>1041</v>
      </c>
      <c r="F11" s="141">
        <f>SUM(F9:F10)</f>
        <v>1059</v>
      </c>
      <c r="G11" s="141">
        <f>SUM(G9:G10)</f>
        <v>18</v>
      </c>
      <c r="H11" s="141">
        <f>SUM(H9:H10)</f>
        <v>0</v>
      </c>
      <c r="I11" s="75">
        <f>+G11/E11</f>
        <v>1.7291066282420751E-2</v>
      </c>
      <c r="J11" s="163">
        <f>SUM(J9:J10)</f>
        <v>15</v>
      </c>
    </row>
    <row r="12" spans="1:10" ht="13.5" thickTop="1" x14ac:dyDescent="0.2">
      <c r="A12" s="39"/>
      <c r="B12" s="39"/>
      <c r="C12" s="39"/>
      <c r="D12" s="39"/>
      <c r="E12" s="39"/>
      <c r="F12" s="39"/>
      <c r="G12" s="39"/>
      <c r="H12" s="39"/>
      <c r="I12" s="3"/>
      <c r="J12" s="39"/>
    </row>
    <row r="13" spans="1:10" x14ac:dyDescent="0.2">
      <c r="A13" s="39"/>
      <c r="B13" s="39"/>
      <c r="C13" s="39"/>
      <c r="D13" s="39"/>
      <c r="E13" s="39"/>
      <c r="F13" s="39"/>
      <c r="G13" s="39"/>
      <c r="H13" s="39"/>
      <c r="I13" s="3"/>
      <c r="J13" s="39"/>
    </row>
    <row r="14" spans="1:10" x14ac:dyDescent="0.2">
      <c r="A14" s="39"/>
      <c r="B14" s="39"/>
      <c r="C14" s="39"/>
      <c r="D14" s="39"/>
      <c r="E14" s="39"/>
      <c r="F14" s="39"/>
      <c r="G14" s="39"/>
      <c r="H14" s="39"/>
      <c r="I14" s="3"/>
      <c r="J14" s="39"/>
    </row>
    <row r="15" spans="1:10" x14ac:dyDescent="0.2">
      <c r="A15" s="39"/>
      <c r="B15" s="39"/>
      <c r="C15" s="39"/>
      <c r="D15" s="39"/>
      <c r="E15" s="39"/>
      <c r="F15" s="39"/>
      <c r="G15" s="39"/>
      <c r="H15" s="39"/>
      <c r="I15" s="3"/>
      <c r="J15" s="39"/>
    </row>
    <row r="16" spans="1:10" ht="13.5" thickBot="1" x14ac:dyDescent="0.25">
      <c r="A16" s="39"/>
      <c r="B16" s="39"/>
      <c r="C16" s="39"/>
      <c r="D16" s="39"/>
      <c r="E16" s="39"/>
      <c r="F16" s="39"/>
      <c r="G16" s="39"/>
      <c r="H16" s="39"/>
      <c r="I16" s="3"/>
      <c r="J16" s="39"/>
    </row>
    <row r="17" spans="1:10" ht="14.25" thickTop="1" thickBot="1" x14ac:dyDescent="0.25">
      <c r="A17" s="39"/>
      <c r="B17" s="48" t="s">
        <v>53</v>
      </c>
      <c r="C17" s="68"/>
      <c r="D17" s="49" t="s">
        <v>35</v>
      </c>
      <c r="E17" s="49" t="s">
        <v>36</v>
      </c>
      <c r="F17" s="49" t="s">
        <v>25</v>
      </c>
      <c r="G17" s="183" t="s">
        <v>37</v>
      </c>
      <c r="H17" s="184"/>
      <c r="I17" s="185"/>
      <c r="J17" s="39"/>
    </row>
    <row r="18" spans="1:10" ht="13.5" thickTop="1" x14ac:dyDescent="0.2">
      <c r="A18" s="1"/>
      <c r="B18" s="50">
        <v>1</v>
      </c>
      <c r="C18" s="69"/>
      <c r="D18" s="36" t="s">
        <v>54</v>
      </c>
      <c r="E18" s="51"/>
      <c r="F18" s="51"/>
      <c r="G18" s="186"/>
      <c r="H18" s="187"/>
      <c r="I18" s="188"/>
      <c r="J18" s="39"/>
    </row>
    <row r="19" spans="1:10" x14ac:dyDescent="0.2">
      <c r="A19" s="1"/>
      <c r="B19" s="52">
        <v>2</v>
      </c>
      <c r="C19" s="66"/>
      <c r="D19" s="37" t="s">
        <v>55</v>
      </c>
      <c r="E19" s="38"/>
      <c r="F19" s="38"/>
      <c r="G19" s="189"/>
      <c r="H19" s="190"/>
      <c r="I19" s="191"/>
      <c r="J19" s="39"/>
    </row>
    <row r="20" spans="1:10" x14ac:dyDescent="0.2">
      <c r="A20" s="39"/>
      <c r="B20" s="52">
        <v>3</v>
      </c>
      <c r="C20" s="66"/>
      <c r="D20" s="37" t="s">
        <v>56</v>
      </c>
      <c r="E20" s="38"/>
      <c r="F20" s="38"/>
      <c r="G20" s="189"/>
      <c r="H20" s="190"/>
      <c r="I20" s="191"/>
      <c r="J20" s="39"/>
    </row>
    <row r="21" spans="1:10" x14ac:dyDescent="0.2">
      <c r="A21" s="39"/>
      <c r="B21" s="52">
        <v>4</v>
      </c>
      <c r="C21" s="66"/>
      <c r="D21" s="37" t="s">
        <v>57</v>
      </c>
      <c r="E21" s="38"/>
      <c r="F21" s="38"/>
      <c r="G21" s="189"/>
      <c r="H21" s="190"/>
      <c r="I21" s="191"/>
      <c r="J21" s="39"/>
    </row>
    <row r="22" spans="1:10" x14ac:dyDescent="0.2">
      <c r="A22" s="39"/>
      <c r="B22" s="52">
        <v>5</v>
      </c>
      <c r="C22" s="66"/>
      <c r="D22" s="37" t="s">
        <v>58</v>
      </c>
      <c r="E22" s="38"/>
      <c r="F22" s="38"/>
      <c r="G22" s="189"/>
      <c r="H22" s="190"/>
      <c r="I22" s="191"/>
      <c r="J22" s="39"/>
    </row>
    <row r="23" spans="1:10" x14ac:dyDescent="0.2">
      <c r="A23" s="39"/>
      <c r="B23" s="52">
        <v>6</v>
      </c>
      <c r="C23" s="66"/>
      <c r="D23" s="37" t="s">
        <v>59</v>
      </c>
      <c r="E23" s="60"/>
      <c r="F23" s="38"/>
      <c r="G23" s="61"/>
      <c r="H23" s="61"/>
      <c r="I23" s="62"/>
      <c r="J23" s="39"/>
    </row>
    <row r="24" spans="1:10" x14ac:dyDescent="0.2">
      <c r="A24" s="39"/>
      <c r="B24" s="52">
        <v>7</v>
      </c>
      <c r="C24" s="66"/>
      <c r="D24" s="37" t="s">
        <v>60</v>
      </c>
      <c r="E24" s="60"/>
      <c r="F24" s="38"/>
      <c r="G24" s="61"/>
      <c r="H24" s="61"/>
      <c r="I24" s="62"/>
      <c r="J24" s="39"/>
    </row>
    <row r="25" spans="1:10" x14ac:dyDescent="0.2">
      <c r="A25" s="39"/>
      <c r="B25" s="52">
        <v>8</v>
      </c>
      <c r="C25" s="66"/>
      <c r="D25" s="37" t="s">
        <v>61</v>
      </c>
      <c r="E25" s="53"/>
      <c r="F25" s="170"/>
      <c r="G25" s="61"/>
      <c r="H25" s="61"/>
      <c r="I25" s="62"/>
      <c r="J25" s="39"/>
    </row>
    <row r="26" spans="1:10" x14ac:dyDescent="0.2">
      <c r="A26" s="39"/>
      <c r="B26" s="52">
        <v>9</v>
      </c>
      <c r="C26" s="66"/>
      <c r="D26" s="37" t="s">
        <v>62</v>
      </c>
      <c r="E26" s="53"/>
      <c r="F26" s="170"/>
      <c r="G26" s="54"/>
      <c r="H26" s="61"/>
      <c r="I26" s="62"/>
      <c r="J26" s="39"/>
    </row>
    <row r="27" spans="1:10" x14ac:dyDescent="0.2">
      <c r="A27" s="39"/>
      <c r="B27" s="52">
        <v>10</v>
      </c>
      <c r="C27" s="66"/>
      <c r="D27" s="37" t="s">
        <v>63</v>
      </c>
      <c r="E27" s="53"/>
      <c r="F27" s="170"/>
      <c r="G27" s="54"/>
      <c r="H27" s="54"/>
      <c r="I27" s="55"/>
      <c r="J27" s="39"/>
    </row>
    <row r="28" spans="1:10" ht="13.5" thickBot="1" x14ac:dyDescent="0.25">
      <c r="A28" s="39"/>
      <c r="B28" s="56"/>
      <c r="C28" s="70"/>
      <c r="D28" s="57" t="s">
        <v>64</v>
      </c>
      <c r="E28" s="169"/>
      <c r="F28" s="171"/>
      <c r="G28" s="58"/>
      <c r="H28" s="58"/>
      <c r="I28" s="59"/>
      <c r="J28" s="39"/>
    </row>
    <row r="29" spans="1:10" ht="13.5" customHeight="1" thickTop="1" x14ac:dyDescent="0.2">
      <c r="A29" s="39"/>
      <c r="B29" s="39"/>
      <c r="C29" s="39"/>
      <c r="D29" s="1"/>
      <c r="E29" s="1"/>
      <c r="F29" s="1"/>
      <c r="G29" s="39"/>
      <c r="H29" s="39"/>
      <c r="I29" s="39"/>
      <c r="J29" s="39"/>
    </row>
    <row r="30" spans="1:10" x14ac:dyDescent="0.2">
      <c r="A30" s="39"/>
      <c r="B30" s="39"/>
      <c r="C30" s="39"/>
      <c r="D30" s="1"/>
      <c r="E30" s="1"/>
      <c r="F30" s="1"/>
      <c r="G30" s="39"/>
      <c r="H30" s="39"/>
      <c r="I30" s="39"/>
      <c r="J30" s="39"/>
    </row>
    <row r="31" spans="1:10" x14ac:dyDescent="0.2">
      <c r="A31" s="39"/>
      <c r="B31" s="39"/>
      <c r="C31" s="39"/>
      <c r="D31" s="1"/>
      <c r="E31" s="1"/>
      <c r="F31" s="1"/>
      <c r="G31" s="39"/>
      <c r="H31" s="39"/>
      <c r="I31" s="39"/>
      <c r="J31" s="39"/>
    </row>
    <row r="32" spans="1:10" x14ac:dyDescent="0.2">
      <c r="A32" s="39"/>
      <c r="B32" s="39"/>
      <c r="C32" s="39"/>
      <c r="D32" s="1"/>
      <c r="E32" s="1"/>
      <c r="F32" s="1"/>
      <c r="G32" s="39"/>
      <c r="H32" s="39"/>
      <c r="I32" s="39"/>
      <c r="J32" s="39"/>
    </row>
    <row r="33" spans="1:10" x14ac:dyDescent="0.2">
      <c r="A33" s="39"/>
      <c r="B33" s="39"/>
      <c r="C33" s="39"/>
      <c r="D33" s="1"/>
      <c r="E33" s="1"/>
      <c r="F33" s="1"/>
      <c r="G33" s="39"/>
      <c r="H33" s="39"/>
      <c r="I33" s="39"/>
      <c r="J33" s="39"/>
    </row>
    <row r="34" spans="1:10" x14ac:dyDescent="0.2">
      <c r="A34" s="39"/>
      <c r="B34" s="39"/>
      <c r="C34" s="39"/>
      <c r="D34" s="1"/>
      <c r="E34" s="1"/>
      <c r="F34" s="1"/>
      <c r="G34" s="39"/>
      <c r="H34" s="39"/>
      <c r="I34" s="39"/>
      <c r="J34" s="39"/>
    </row>
    <row r="35" spans="1:10" x14ac:dyDescent="0.2">
      <c r="A35" s="39"/>
      <c r="B35" s="39"/>
      <c r="C35" s="39"/>
      <c r="D35" s="1"/>
      <c r="E35" s="1"/>
      <c r="F35" s="1"/>
      <c r="G35" s="39"/>
      <c r="H35" s="39"/>
      <c r="I35" s="39"/>
      <c r="J35" s="39"/>
    </row>
    <row r="36" spans="1:10" x14ac:dyDescent="0.2">
      <c r="A36" s="39"/>
      <c r="B36" s="39"/>
      <c r="C36" s="39"/>
      <c r="D36" s="1"/>
      <c r="E36" s="1"/>
      <c r="F36" s="1"/>
      <c r="G36" s="39"/>
      <c r="H36" s="39"/>
      <c r="I36" s="39"/>
      <c r="J36" s="39"/>
    </row>
    <row r="37" spans="1:10" x14ac:dyDescent="0.2">
      <c r="A37" s="39"/>
      <c r="B37" s="39"/>
      <c r="C37" s="39"/>
      <c r="D37" s="1"/>
      <c r="E37" s="1"/>
      <c r="F37" s="1"/>
      <c r="G37" s="39"/>
      <c r="H37" s="39"/>
      <c r="I37" s="39"/>
      <c r="J37" s="39"/>
    </row>
    <row r="38" spans="1:10" x14ac:dyDescent="0.2">
      <c r="A38" s="39"/>
      <c r="B38" s="39"/>
      <c r="C38" s="39"/>
      <c r="D38" s="1"/>
      <c r="E38" s="1"/>
      <c r="F38" s="1"/>
      <c r="G38" s="39"/>
      <c r="H38" s="39"/>
      <c r="I38" s="39"/>
      <c r="J38" s="39"/>
    </row>
    <row r="39" spans="1:10" x14ac:dyDescent="0.2">
      <c r="A39" s="39"/>
      <c r="B39" s="39"/>
      <c r="C39" s="39"/>
      <c r="D39" s="1"/>
      <c r="E39" s="1"/>
      <c r="F39" s="1"/>
      <c r="G39" s="39"/>
      <c r="H39" s="39"/>
      <c r="I39" s="39"/>
      <c r="J39" s="39"/>
    </row>
    <row r="41" spans="1:10" x14ac:dyDescent="0.2">
      <c r="A41" s="182" t="s">
        <v>83</v>
      </c>
      <c r="B41" s="182"/>
      <c r="C41" s="109"/>
      <c r="D41" s="182" t="s">
        <v>38</v>
      </c>
      <c r="E41" s="182"/>
      <c r="F41" s="109"/>
      <c r="G41" s="39"/>
      <c r="H41" s="39"/>
      <c r="I41" s="109" t="s">
        <v>65</v>
      </c>
      <c r="J41" s="39"/>
    </row>
  </sheetData>
  <mergeCells count="12">
    <mergeCell ref="I6:J6"/>
    <mergeCell ref="A1:J1"/>
    <mergeCell ref="A2:J2"/>
    <mergeCell ref="A3:J3"/>
    <mergeCell ref="A41:B41"/>
    <mergeCell ref="G17:I17"/>
    <mergeCell ref="G18:I18"/>
    <mergeCell ref="G19:I19"/>
    <mergeCell ref="G20:I20"/>
    <mergeCell ref="G21:I21"/>
    <mergeCell ref="G22:I22"/>
    <mergeCell ref="D41:E41"/>
  </mergeCells>
  <pageMargins left="0.49" right="0.27" top="0.34" bottom="0.24" header="0.3" footer="0.3"/>
  <pageSetup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8"/>
  <sheetViews>
    <sheetView workbookViewId="0">
      <selection activeCell="D21" sqref="D21"/>
    </sheetView>
  </sheetViews>
  <sheetFormatPr defaultRowHeight="12.75" x14ac:dyDescent="0.2"/>
  <cols>
    <col min="1" max="1" width="10.5703125" customWidth="1"/>
    <col min="2" max="2" width="25.140625" bestFit="1" customWidth="1"/>
    <col min="4" max="4" width="14.5703125" customWidth="1"/>
  </cols>
  <sheetData>
    <row r="2" spans="1:14" x14ac:dyDescent="0.2">
      <c r="E2" s="104" t="str">
        <f>+[1]PKL.!$G$40</f>
        <v>XS</v>
      </c>
      <c r="F2" s="104" t="str">
        <f>+[1]PKL.!$H$40</f>
        <v>S</v>
      </c>
      <c r="G2" s="106" t="s">
        <v>67</v>
      </c>
      <c r="H2" s="106" t="s">
        <v>68</v>
      </c>
      <c r="I2" s="106" t="s">
        <v>69</v>
      </c>
      <c r="J2" s="106" t="s">
        <v>79</v>
      </c>
      <c r="K2" s="106" t="s">
        <v>80</v>
      </c>
      <c r="L2" s="106" t="s">
        <v>81</v>
      </c>
      <c r="M2" s="106" t="s">
        <v>82</v>
      </c>
    </row>
    <row r="3" spans="1:14" x14ac:dyDescent="0.2">
      <c r="A3">
        <f>+PKL.!D46</f>
        <v>62199028</v>
      </c>
      <c r="B3" t="str">
        <f>+PKL.!E53</f>
        <v>WALDEN GREEN-13-1</v>
      </c>
      <c r="D3" t="str">
        <f>+PKL.!E64</f>
        <v>ORDER  QTY</v>
      </c>
      <c r="E3" s="104">
        <f>+PKL.!G64</f>
        <v>125</v>
      </c>
      <c r="F3" s="104">
        <f>+PKL.!H64</f>
        <v>240</v>
      </c>
      <c r="G3" s="104">
        <f>+PKL.!I64</f>
        <v>221</v>
      </c>
      <c r="H3" s="104">
        <f>+PKL.!J64</f>
        <v>203</v>
      </c>
      <c r="I3" s="104" t="e">
        <f>+PKL.!#REF!</f>
        <v>#REF!</v>
      </c>
      <c r="J3" s="104"/>
      <c r="K3" s="104"/>
      <c r="L3" s="104"/>
      <c r="M3" s="104"/>
      <c r="N3" s="104" t="e">
        <f>SUM(E3:I3)</f>
        <v>#REF!</v>
      </c>
    </row>
    <row r="4" spans="1:14" x14ac:dyDescent="0.2">
      <c r="A4" t="str">
        <f>+[1]PKL.!$D$8</f>
        <v>C7EO7MA</v>
      </c>
      <c r="B4" s="105" t="s">
        <v>77</v>
      </c>
      <c r="D4" t="str">
        <f>+D3</f>
        <v>ORDER  QTY</v>
      </c>
      <c r="E4" s="104">
        <f>+[1]PKL.!$G$42</f>
        <v>208</v>
      </c>
      <c r="F4" s="104">
        <f>+[1]PKL.!$H$42</f>
        <v>553</v>
      </c>
      <c r="G4" s="104">
        <f>+[1]PKL.!$I$42</f>
        <v>556</v>
      </c>
      <c r="H4" s="104">
        <f>+[1]PKL.!$J$42</f>
        <v>561</v>
      </c>
      <c r="I4" s="104">
        <f>+[1]PKL.!$K$42</f>
        <v>373</v>
      </c>
      <c r="J4" s="104">
        <f>+[1]PKL.!$L$42</f>
        <v>85</v>
      </c>
      <c r="K4" s="104">
        <f>+[1]PKL.!$M$42</f>
        <v>29</v>
      </c>
      <c r="L4" s="104">
        <f>+[1]PKL.!$N$42</f>
        <v>44</v>
      </c>
      <c r="M4" s="104">
        <f>+[1]PKL.!$O$42</f>
        <v>37</v>
      </c>
      <c r="N4" s="104">
        <f>SUM(E4:M4)</f>
        <v>2446</v>
      </c>
    </row>
    <row r="5" spans="1:14" x14ac:dyDescent="0.2">
      <c r="B5" s="105"/>
      <c r="D5" s="105" t="s">
        <v>26</v>
      </c>
      <c r="E5" s="104">
        <f>+E4+E3</f>
        <v>333</v>
      </c>
      <c r="F5" s="104">
        <f t="shared" ref="F5:M5" si="0">+F4+F3</f>
        <v>793</v>
      </c>
      <c r="G5" s="104">
        <f t="shared" si="0"/>
        <v>777</v>
      </c>
      <c r="H5" s="104">
        <f t="shared" si="0"/>
        <v>764</v>
      </c>
      <c r="I5" s="104" t="e">
        <f t="shared" si="0"/>
        <v>#REF!</v>
      </c>
      <c r="J5" s="104">
        <f t="shared" si="0"/>
        <v>85</v>
      </c>
      <c r="K5" s="104">
        <f t="shared" si="0"/>
        <v>29</v>
      </c>
      <c r="L5" s="104">
        <f t="shared" si="0"/>
        <v>44</v>
      </c>
      <c r="M5" s="104">
        <f t="shared" si="0"/>
        <v>37</v>
      </c>
      <c r="N5" s="104" t="e">
        <f>+N4+N3</f>
        <v>#REF!</v>
      </c>
    </row>
    <row r="6" spans="1:14" x14ac:dyDescent="0.2">
      <c r="A6">
        <f>+A3</f>
        <v>62199028</v>
      </c>
      <c r="B6" t="str">
        <f>+B3</f>
        <v>WALDEN GREEN-13-1</v>
      </c>
      <c r="D6" t="str">
        <f>+PKL.!E65</f>
        <v>SHIP  QTY</v>
      </c>
      <c r="E6" s="104">
        <f>+PKL.!G65</f>
        <v>125</v>
      </c>
      <c r="F6" s="104">
        <f>+PKL.!H65</f>
        <v>244</v>
      </c>
      <c r="G6" s="104">
        <f>+PKL.!I65</f>
        <v>224</v>
      </c>
      <c r="H6" s="104">
        <f>+PKL.!J65</f>
        <v>208</v>
      </c>
      <c r="I6" s="104" t="e">
        <f>+PKL.!#REF!</f>
        <v>#REF!</v>
      </c>
      <c r="J6" s="104"/>
      <c r="K6" s="104"/>
      <c r="L6" s="104"/>
      <c r="M6" s="104"/>
      <c r="N6" s="104" t="e">
        <f>SUM(E6:I6)</f>
        <v>#REF!</v>
      </c>
    </row>
    <row r="7" spans="1:14" x14ac:dyDescent="0.2">
      <c r="A7" t="str">
        <f>+A4</f>
        <v>C7EO7MA</v>
      </c>
      <c r="B7" t="str">
        <f>+B4</f>
        <v>DARK GREY-00-2</v>
      </c>
      <c r="D7" t="str">
        <f>+D6</f>
        <v>SHIP  QTY</v>
      </c>
      <c r="E7" s="104">
        <f>+E4</f>
        <v>208</v>
      </c>
      <c r="F7" s="104">
        <f t="shared" ref="F7:N7" si="1">+F4</f>
        <v>553</v>
      </c>
      <c r="G7" s="104">
        <f t="shared" si="1"/>
        <v>556</v>
      </c>
      <c r="H7" s="104">
        <f t="shared" si="1"/>
        <v>561</v>
      </c>
      <c r="I7" s="104">
        <f t="shared" si="1"/>
        <v>373</v>
      </c>
      <c r="J7" s="104">
        <f t="shared" si="1"/>
        <v>85</v>
      </c>
      <c r="K7" s="104">
        <f t="shared" si="1"/>
        <v>29</v>
      </c>
      <c r="L7" s="104">
        <f t="shared" si="1"/>
        <v>44</v>
      </c>
      <c r="M7" s="104">
        <f t="shared" si="1"/>
        <v>37</v>
      </c>
      <c r="N7" s="104">
        <f t="shared" si="1"/>
        <v>2446</v>
      </c>
    </row>
    <row r="8" spans="1:14" x14ac:dyDescent="0.2">
      <c r="D8" t="str">
        <f>+D5</f>
        <v>TOTAL</v>
      </c>
      <c r="E8" s="104">
        <f>+E7+E6</f>
        <v>333</v>
      </c>
      <c r="F8" s="104">
        <f t="shared" ref="F8:M8" si="2">+F7+F6</f>
        <v>797</v>
      </c>
      <c r="G8" s="104">
        <f t="shared" si="2"/>
        <v>780</v>
      </c>
      <c r="H8" s="104">
        <f t="shared" si="2"/>
        <v>769</v>
      </c>
      <c r="I8" s="104" t="e">
        <f t="shared" si="2"/>
        <v>#REF!</v>
      </c>
      <c r="J8" s="104">
        <f t="shared" si="2"/>
        <v>85</v>
      </c>
      <c r="K8" s="104">
        <f t="shared" si="2"/>
        <v>29</v>
      </c>
      <c r="L8" s="104">
        <f t="shared" si="2"/>
        <v>44</v>
      </c>
      <c r="M8" s="104">
        <f t="shared" si="2"/>
        <v>37</v>
      </c>
      <c r="N8" s="104" t="e">
        <f>+N7+N6</f>
        <v>#REF!</v>
      </c>
    </row>
    <row r="9" spans="1:14" x14ac:dyDescent="0.2">
      <c r="E9">
        <f t="shared" ref="E9:N9" si="3">+E8-E5</f>
        <v>0</v>
      </c>
      <c r="F9">
        <f t="shared" si="3"/>
        <v>4</v>
      </c>
      <c r="G9">
        <f t="shared" si="3"/>
        <v>3</v>
      </c>
      <c r="H9">
        <f t="shared" si="3"/>
        <v>5</v>
      </c>
      <c r="I9" t="e">
        <f t="shared" si="3"/>
        <v>#REF!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0</v>
      </c>
      <c r="N9" t="e">
        <f t="shared" si="3"/>
        <v>#REF!</v>
      </c>
    </row>
    <row r="11" spans="1:14" ht="12.75" customHeight="1" x14ac:dyDescent="0.2">
      <c r="E11" s="104" t="str">
        <f>+E2</f>
        <v>XS</v>
      </c>
      <c r="F11" s="104" t="str">
        <f t="shared" ref="F11:M11" si="4">+F2</f>
        <v>S</v>
      </c>
      <c r="G11" s="104" t="str">
        <f t="shared" si="4"/>
        <v>M</v>
      </c>
      <c r="H11" s="104" t="str">
        <f t="shared" si="4"/>
        <v>L</v>
      </c>
      <c r="I11" s="104" t="str">
        <f t="shared" si="4"/>
        <v>XL</v>
      </c>
      <c r="J11" s="104" t="str">
        <f t="shared" si="4"/>
        <v>XXL</v>
      </c>
      <c r="K11" s="104" t="str">
        <f t="shared" si="4"/>
        <v>LH</v>
      </c>
      <c r="L11" s="104" t="str">
        <f t="shared" si="4"/>
        <v>XL H</v>
      </c>
      <c r="M11" s="104" t="str">
        <f t="shared" si="4"/>
        <v>XXLH</v>
      </c>
      <c r="N11" s="104"/>
    </row>
    <row r="12" spans="1:14" x14ac:dyDescent="0.2">
      <c r="A12">
        <f>+A3</f>
        <v>62199028</v>
      </c>
      <c r="B12" t="e">
        <f>+PKL.!#REF!</f>
        <v>#REF!</v>
      </c>
      <c r="D12" t="str">
        <f t="shared" ref="D12:D17" si="5">+D3</f>
        <v>ORDER  QTY</v>
      </c>
      <c r="E12" s="104" t="e">
        <f>+PKL.!#REF!</f>
        <v>#REF!</v>
      </c>
      <c r="F12" s="104" t="e">
        <f>+PKL.!#REF!</f>
        <v>#REF!</v>
      </c>
      <c r="G12" s="104" t="e">
        <f>+PKL.!#REF!</f>
        <v>#REF!</v>
      </c>
      <c r="H12" s="104" t="e">
        <f>+PKL.!#REF!</f>
        <v>#REF!</v>
      </c>
      <c r="I12" s="104" t="e">
        <f>+PKL.!#REF!</f>
        <v>#REF!</v>
      </c>
      <c r="J12" s="104" t="e">
        <f>+PKL.!#REF!</f>
        <v>#REF!</v>
      </c>
      <c r="K12" s="104" t="e">
        <f>+PKL.!#REF!</f>
        <v>#REF!</v>
      </c>
      <c r="L12" s="104" t="e">
        <f>+PKL.!#REF!</f>
        <v>#REF!</v>
      </c>
      <c r="M12" s="104" t="e">
        <f>+PKL.!#REF!</f>
        <v>#REF!</v>
      </c>
      <c r="N12" s="106" t="e">
        <f>SUM(E12:M12)</f>
        <v>#REF!</v>
      </c>
    </row>
    <row r="13" spans="1:14" x14ac:dyDescent="0.2">
      <c r="A13" t="str">
        <f>+A4</f>
        <v>C7EO7MA</v>
      </c>
      <c r="B13" s="108" t="s">
        <v>78</v>
      </c>
      <c r="D13" t="str">
        <f t="shared" si="5"/>
        <v>ORDER  QTY</v>
      </c>
      <c r="E13" s="104">
        <f>+[1]PKL.!$G$109</f>
        <v>303</v>
      </c>
      <c r="F13" s="104">
        <f>+[1]PKL.!$H$109</f>
        <v>808</v>
      </c>
      <c r="G13" s="104">
        <f>+[1]PKL.!$I$109</f>
        <v>812</v>
      </c>
      <c r="H13" s="104">
        <f>+[1]PKL.!$J$109</f>
        <v>819</v>
      </c>
      <c r="I13" s="104">
        <f>+[1]PKL.!$K$109</f>
        <v>545</v>
      </c>
      <c r="J13" s="104">
        <f>+[1]PKL.!$L$109</f>
        <v>124</v>
      </c>
      <c r="K13" s="104">
        <f>+[1]PKL.!$M$109</f>
        <v>42</v>
      </c>
      <c r="L13" s="104">
        <v>65</v>
      </c>
      <c r="M13" s="104">
        <f>+[1]PKL.!$O$109</f>
        <v>54</v>
      </c>
      <c r="N13" s="104">
        <f>SUM(E13:M13)</f>
        <v>3572</v>
      </c>
    </row>
    <row r="14" spans="1:14" x14ac:dyDescent="0.2">
      <c r="D14" t="str">
        <f t="shared" si="5"/>
        <v>TOTAL</v>
      </c>
      <c r="E14" s="104" t="e">
        <f>SUM(E12:E13)</f>
        <v>#REF!</v>
      </c>
      <c r="F14" s="104" t="e">
        <f t="shared" ref="F14:M14" si="6">SUM(F12:F13)</f>
        <v>#REF!</v>
      </c>
      <c r="G14" s="104" t="e">
        <f t="shared" si="6"/>
        <v>#REF!</v>
      </c>
      <c r="H14" s="104" t="e">
        <f t="shared" si="6"/>
        <v>#REF!</v>
      </c>
      <c r="I14" s="104" t="e">
        <f t="shared" si="6"/>
        <v>#REF!</v>
      </c>
      <c r="J14" s="104" t="e">
        <f t="shared" si="6"/>
        <v>#REF!</v>
      </c>
      <c r="K14" s="104" t="e">
        <f t="shared" si="6"/>
        <v>#REF!</v>
      </c>
      <c r="L14" s="104" t="e">
        <f>SUM(L12:L13)</f>
        <v>#REF!</v>
      </c>
      <c r="M14" s="104" t="e">
        <f t="shared" si="6"/>
        <v>#REF!</v>
      </c>
      <c r="N14" s="104" t="e">
        <f>SUM(N12:N13)</f>
        <v>#REF!</v>
      </c>
    </row>
    <row r="15" spans="1:14" x14ac:dyDescent="0.2">
      <c r="A15">
        <f>+A12</f>
        <v>62199028</v>
      </c>
      <c r="B15" t="e">
        <f>+B12</f>
        <v>#REF!</v>
      </c>
      <c r="D15" t="str">
        <f t="shared" si="5"/>
        <v>SHIP  QTY</v>
      </c>
      <c r="E15" t="e">
        <f>+PKL.!#REF!</f>
        <v>#REF!</v>
      </c>
      <c r="F15" t="e">
        <f>+PKL.!#REF!</f>
        <v>#REF!</v>
      </c>
      <c r="G15" t="e">
        <f>+PKL.!#REF!</f>
        <v>#REF!</v>
      </c>
      <c r="H15" t="e">
        <f>+PKL.!#REF!</f>
        <v>#REF!</v>
      </c>
      <c r="I15" t="e">
        <f>+PKL.!#REF!</f>
        <v>#REF!</v>
      </c>
      <c r="N15" t="e">
        <f>SUM(E15:M15)</f>
        <v>#REF!</v>
      </c>
    </row>
    <row r="16" spans="1:14" x14ac:dyDescent="0.2">
      <c r="A16" t="str">
        <f>+A13</f>
        <v>C7EO7MA</v>
      </c>
      <c r="B16" s="107" t="str">
        <f>+B13</f>
        <v>ORANGE TEAL PLAID -02-2</v>
      </c>
      <c r="D16" t="str">
        <f t="shared" si="5"/>
        <v>SHIP  QTY</v>
      </c>
      <c r="E16">
        <f>+[1]PKL.!$G$110</f>
        <v>303</v>
      </c>
      <c r="F16">
        <v>808</v>
      </c>
      <c r="G16">
        <v>812</v>
      </c>
      <c r="H16">
        <v>819</v>
      </c>
      <c r="I16">
        <v>545</v>
      </c>
      <c r="J16">
        <v>124</v>
      </c>
      <c r="K16">
        <v>42</v>
      </c>
      <c r="L16">
        <v>65</v>
      </c>
      <c r="M16">
        <v>54</v>
      </c>
      <c r="N16">
        <f>SUM(E16:M16)</f>
        <v>3572</v>
      </c>
    </row>
    <row r="17" spans="4:14" x14ac:dyDescent="0.2">
      <c r="D17" t="str">
        <f t="shared" si="5"/>
        <v>TOTAL</v>
      </c>
      <c r="E17" t="e">
        <f>SUM(E15:E16)</f>
        <v>#REF!</v>
      </c>
      <c r="F17" t="e">
        <f t="shared" ref="F17:M17" si="7">SUM(F15:F16)</f>
        <v>#REF!</v>
      </c>
      <c r="G17" t="e">
        <f t="shared" si="7"/>
        <v>#REF!</v>
      </c>
      <c r="H17" t="e">
        <f t="shared" si="7"/>
        <v>#REF!</v>
      </c>
      <c r="I17" t="e">
        <f t="shared" si="7"/>
        <v>#REF!</v>
      </c>
      <c r="J17">
        <f t="shared" si="7"/>
        <v>124</v>
      </c>
      <c r="K17">
        <f t="shared" si="7"/>
        <v>42</v>
      </c>
      <c r="L17">
        <f>SUM(L15:L16)</f>
        <v>65</v>
      </c>
      <c r="M17">
        <f t="shared" si="7"/>
        <v>54</v>
      </c>
      <c r="N17" t="e">
        <f>SUM(N15:N16)</f>
        <v>#REF!</v>
      </c>
    </row>
    <row r="18" spans="4:14" x14ac:dyDescent="0.2">
      <c r="E18" t="e">
        <f>+E17-E14</f>
        <v>#REF!</v>
      </c>
      <c r="F18" t="e">
        <f t="shared" ref="F18:K18" si="8">+F17-F14</f>
        <v>#REF!</v>
      </c>
      <c r="G18" t="e">
        <f t="shared" si="8"/>
        <v>#REF!</v>
      </c>
      <c r="H18" t="e">
        <f t="shared" si="8"/>
        <v>#REF!</v>
      </c>
      <c r="I18" t="e">
        <f t="shared" si="8"/>
        <v>#REF!</v>
      </c>
      <c r="J18" t="e">
        <f t="shared" si="8"/>
        <v>#REF!</v>
      </c>
      <c r="K18" t="e">
        <f t="shared" si="8"/>
        <v>#REF!</v>
      </c>
      <c r="L18" t="e">
        <f>+L17-L14</f>
        <v>#REF!</v>
      </c>
      <c r="M18" t="e">
        <f>+M17-M14</f>
        <v>#REF!</v>
      </c>
      <c r="N18" t="e">
        <f>SUM(E18:M18)</f>
        <v>#REF!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PKL.</vt:lpstr>
      <vt:lpstr>sum</vt:lpstr>
      <vt:lpstr>Sheet2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Packing-CCL2</cp:lastModifiedBy>
  <cp:lastPrinted>2026-07-30T12:37:02Z</cp:lastPrinted>
  <dcterms:created xsi:type="dcterms:W3CDTF">2014-04-22T09:32:45Z</dcterms:created>
  <dcterms:modified xsi:type="dcterms:W3CDTF">2026-10-04T10:26:39Z</dcterms:modified>
</cp:coreProperties>
</file>