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.GAP\.Packing List\.2026\.1183764\"/>
    </mc:Choice>
  </mc:AlternateContent>
  <xr:revisionPtr revIDLastSave="0" documentId="13_ncr:1_{962A9BDA-8BE5-45D0-9F32-E4FDD60713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KL." sheetId="3" r:id="rId1"/>
    <sheet name="sum" sheetId="2" r:id="rId2"/>
  </sheets>
  <definedNames>
    <definedName name="_xlnm.Print_Area" localSheetId="0">PKL.!$A$1:$AC$47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3" l="1"/>
  <c r="B26" i="3"/>
  <c r="A27" i="3" s="1"/>
  <c r="Z31" i="3"/>
  <c r="Z29" i="3"/>
  <c r="AB29" i="3" s="1"/>
  <c r="J40" i="3"/>
  <c r="K40" i="3"/>
  <c r="M40" i="3"/>
  <c r="O40" i="3"/>
  <c r="R40" i="3"/>
  <c r="T40" i="3"/>
  <c r="Z37" i="3"/>
  <c r="AA37" i="3" s="1"/>
  <c r="Z35" i="3"/>
  <c r="AB35" i="3" s="1"/>
  <c r="Z26" i="3"/>
  <c r="Z25" i="3"/>
  <c r="Z36" i="3"/>
  <c r="AB36" i="3" s="1"/>
  <c r="AC36" i="3" s="1"/>
  <c r="Z32" i="3"/>
  <c r="B27" i="3" l="1"/>
  <c r="AC35" i="3"/>
  <c r="AA35" i="3"/>
  <c r="AA26" i="3"/>
  <c r="I40" i="3" s="1"/>
  <c r="AA25" i="3"/>
  <c r="H40" i="3" s="1"/>
  <c r="AC29" i="3"/>
  <c r="AA36" i="3"/>
  <c r="S40" i="3" s="1"/>
  <c r="AA29" i="3"/>
  <c r="L40" i="3" s="1"/>
  <c r="Z39" i="3"/>
  <c r="AB39" i="3" s="1"/>
  <c r="Z33" i="3"/>
  <c r="AB33" i="3" s="1"/>
  <c r="Z34" i="3"/>
  <c r="Z38" i="3"/>
  <c r="AB32" i="3"/>
  <c r="AA44" i="3"/>
  <c r="A28" i="3" l="1"/>
  <c r="B28" i="3"/>
  <c r="AC39" i="3"/>
  <c r="AC33" i="3"/>
  <c r="AC32" i="3"/>
  <c r="AA39" i="3"/>
  <c r="V40" i="3" s="1"/>
  <c r="AA34" i="3"/>
  <c r="Q40" i="3" s="1"/>
  <c r="AA33" i="3"/>
  <c r="P40" i="3" s="1"/>
  <c r="AA32" i="3"/>
  <c r="A29" i="3" l="1"/>
  <c r="B29" i="3"/>
  <c r="U43" i="3"/>
  <c r="U23" i="3"/>
  <c r="U6" i="3"/>
  <c r="T43" i="3"/>
  <c r="T23" i="3"/>
  <c r="T6" i="3"/>
  <c r="AB38" i="3" s="1"/>
  <c r="S43" i="3"/>
  <c r="S23" i="3"/>
  <c r="S6" i="3"/>
  <c r="R43" i="3"/>
  <c r="R23" i="3"/>
  <c r="R6" i="3"/>
  <c r="AB37" i="3" s="1"/>
  <c r="AC37" i="3" s="1"/>
  <c r="O43" i="3"/>
  <c r="N43" i="3"/>
  <c r="M43" i="3"/>
  <c r="O23" i="3"/>
  <c r="N23" i="3"/>
  <c r="M23" i="3"/>
  <c r="O6" i="3"/>
  <c r="N6" i="3"/>
  <c r="M6" i="3"/>
  <c r="I12" i="2"/>
  <c r="D11" i="2"/>
  <c r="AA38" i="3"/>
  <c r="U40" i="3" s="1"/>
  <c r="AB31" i="3"/>
  <c r="Z27" i="3"/>
  <c r="AB27" i="3" s="1"/>
  <c r="D40" i="3"/>
  <c r="J11" i="2" s="1"/>
  <c r="B11" i="2"/>
  <c r="A30" i="3" l="1"/>
  <c r="B30" i="3"/>
  <c r="AC38" i="3"/>
  <c r="AC31" i="3"/>
  <c r="AC27" i="3"/>
  <c r="AA31" i="3"/>
  <c r="N40" i="3" s="1"/>
  <c r="AA27" i="3"/>
  <c r="B24" i="3"/>
  <c r="U45" i="3"/>
  <c r="U46" i="3" s="1"/>
  <c r="U47" i="3" s="1"/>
  <c r="A31" i="3" l="1"/>
  <c r="B31" i="3"/>
  <c r="B25" i="3"/>
  <c r="A25" i="3"/>
  <c r="R45" i="3"/>
  <c r="R46" i="3" s="1"/>
  <c r="R47" i="3" s="1"/>
  <c r="T45" i="3"/>
  <c r="T46" i="3" s="1"/>
  <c r="T47" i="3" s="1"/>
  <c r="S45" i="3"/>
  <c r="S46" i="3" s="1"/>
  <c r="S47" i="3" s="1"/>
  <c r="Q43" i="3"/>
  <c r="Q23" i="3"/>
  <c r="Q6" i="3"/>
  <c r="Z30" i="3"/>
  <c r="Z28" i="3"/>
  <c r="AB28" i="3" s="1"/>
  <c r="H43" i="3"/>
  <c r="H23" i="3"/>
  <c r="H6" i="3"/>
  <c r="AB26" i="3" s="1"/>
  <c r="AC26" i="3" s="1"/>
  <c r="F12" i="2"/>
  <c r="E12" i="2"/>
  <c r="J12" i="2"/>
  <c r="A32" i="3" l="1"/>
  <c r="B32" i="3"/>
  <c r="N45" i="3"/>
  <c r="N46" i="3" s="1"/>
  <c r="N47" i="3" s="1"/>
  <c r="O45" i="3"/>
  <c r="O46" i="3" s="1"/>
  <c r="O47" i="3" s="1"/>
  <c r="V45" i="3"/>
  <c r="Q45" i="3"/>
  <c r="Q46" i="3" s="1"/>
  <c r="Q47" i="3" s="1"/>
  <c r="AA28" i="3"/>
  <c r="AC28" i="3"/>
  <c r="AA30" i="3"/>
  <c r="AB30" i="3"/>
  <c r="AC30" i="3" s="1"/>
  <c r="H45" i="3"/>
  <c r="A33" i="3" l="1"/>
  <c r="B33" i="3"/>
  <c r="M45" i="3"/>
  <c r="L45" i="3"/>
  <c r="I45" i="3"/>
  <c r="K45" i="3"/>
  <c r="P45" i="3"/>
  <c r="J45" i="3"/>
  <c r="H46" i="3"/>
  <c r="H47" i="3" s="1"/>
  <c r="Z24" i="3"/>
  <c r="A34" i="3" l="1"/>
  <c r="B34" i="3"/>
  <c r="M46" i="3"/>
  <c r="M47" i="3" s="1"/>
  <c r="AA24" i="3"/>
  <c r="G40" i="3" s="1"/>
  <c r="AB24" i="3"/>
  <c r="I6" i="3"/>
  <c r="J6" i="3"/>
  <c r="K6" i="3"/>
  <c r="L6" i="3"/>
  <c r="P6" i="3"/>
  <c r="V6" i="3"/>
  <c r="A35" i="3" l="1"/>
  <c r="B35" i="3"/>
  <c r="G45" i="3"/>
  <c r="AA45" i="3" s="1"/>
  <c r="AA40" i="3"/>
  <c r="AB34" i="3"/>
  <c r="AC34" i="3" s="1"/>
  <c r="D17" i="3"/>
  <c r="I23" i="3"/>
  <c r="J23" i="3"/>
  <c r="K23" i="3"/>
  <c r="L23" i="3"/>
  <c r="P23" i="3"/>
  <c r="V23" i="3"/>
  <c r="G23" i="3"/>
  <c r="A36" i="3" l="1"/>
  <c r="B36" i="3"/>
  <c r="AC24" i="3"/>
  <c r="A37" i="3" l="1"/>
  <c r="B37" i="3"/>
  <c r="D15" i="3"/>
  <c r="D16" i="3" s="1"/>
  <c r="A38" i="3" l="1"/>
  <c r="B38" i="3"/>
  <c r="H12" i="2"/>
  <c r="A39" i="3" l="1"/>
  <c r="B39" i="3"/>
  <c r="V43" i="3"/>
  <c r="V46" i="3" l="1"/>
  <c r="V47" i="3" s="1"/>
  <c r="I43" i="3" l="1"/>
  <c r="J43" i="3"/>
  <c r="K43" i="3"/>
  <c r="L43" i="3"/>
  <c r="P43" i="3"/>
  <c r="G43" i="3"/>
  <c r="P46" i="3" l="1"/>
  <c r="P47" i="3" s="1"/>
  <c r="L46" i="3" l="1"/>
  <c r="L47" i="3" s="1"/>
  <c r="I46" i="3" l="1"/>
  <c r="I47" i="3" s="1"/>
  <c r="K46" i="3" l="1"/>
  <c r="K47" i="3" s="1"/>
  <c r="J46" i="3"/>
  <c r="J47" i="3" s="1"/>
  <c r="G6" i="3" l="1"/>
  <c r="AB25" i="3" s="1"/>
  <c r="AC25" i="3" s="1"/>
  <c r="AA15" i="3" l="1"/>
  <c r="AA14" i="3" l="1"/>
  <c r="G46" i="3"/>
  <c r="G47" i="3" s="1"/>
  <c r="AA46" i="3" l="1"/>
  <c r="G11" i="2" l="1"/>
  <c r="G12" i="2" s="1"/>
  <c r="AA47" i="3"/>
  <c r="I11" i="2" l="1"/>
</calcChain>
</file>

<file path=xl/sharedStrings.xml><?xml version="1.0" encoding="utf-8"?>
<sst xmlns="http://schemas.openxmlformats.org/spreadsheetml/2006/main" count="123" uniqueCount="95">
  <si>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</si>
  <si>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</si>
  <si>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</si>
  <si>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</si>
  <si>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</si>
  <si>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</si>
  <si>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</si>
  <si>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</si>
  <si>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</si>
  <si>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</si>
  <si>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</si>
  <si>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</si>
  <si>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</si>
  <si>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</si>
  <si>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</si>
  <si>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</si>
  <si>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</si>
  <si>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</si>
  <si>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</si>
  <si>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</si>
  <si>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</si>
  <si>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</si>
  <si>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</si>
  <si>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</si>
  <si>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</si>
  <si>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</si>
  <si>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</si>
  <si>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</si>
  <si>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</si>
  <si>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</si>
  <si>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</si>
  <si>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</si>
  <si>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</si>
  <si>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</si>
  <si>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</si>
  <si>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</si>
  <si>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</si>
  <si>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</si>
  <si>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</si>
  <si>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</si>
  <si>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</si>
  <si>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</si>
  <si>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</si>
  <si>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</si>
  <si>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</si>
  <si>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</si>
  <si>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</si>
  <si>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</si>
  <si>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</si>
  <si>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</si>
  <si>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</si>
  <si>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</si>
  <si>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</si>
  <si>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</si>
  <si>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</si>
  <si>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</si>
  <si>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</si>
  <si>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</si>
  <si>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</si>
  <si>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</si>
  <si>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 xml:space="preserve">Unit / Prepack      </t>
  </si>
  <si>
    <t>FA AUDITOR</t>
  </si>
  <si>
    <t>N.W</t>
  </si>
  <si>
    <t>N.N.W</t>
  </si>
  <si>
    <t>EMPTY CTN WET</t>
  </si>
  <si>
    <t xml:space="preserve">    CREATIVE COLLECTIONS LTD-1A.</t>
  </si>
  <si>
    <t>CREATIVE COLLECTIONS LIMITED (UNIT-1A)</t>
  </si>
  <si>
    <t>N.WT</t>
  </si>
  <si>
    <t>N.N. WT</t>
  </si>
  <si>
    <t>FM</t>
  </si>
  <si>
    <r>
      <t xml:space="preserve">PO </t>
    </r>
    <r>
      <rPr>
        <b/>
        <i/>
        <sz val="12"/>
        <rFont val="Arial"/>
        <family val="2"/>
      </rPr>
      <t xml:space="preserve"># </t>
    </r>
  </si>
  <si>
    <t xml:space="preserve">BULK PACK </t>
  </si>
  <si>
    <t>SUMMERY</t>
  </si>
  <si>
    <t>G84</t>
  </si>
  <si>
    <t>G81</t>
  </si>
  <si>
    <t>OLD NAVY</t>
  </si>
  <si>
    <t>G82</t>
  </si>
  <si>
    <t>06/05/2026</t>
  </si>
  <si>
    <t>Fall'26</t>
  </si>
  <si>
    <t>CANADA</t>
  </si>
  <si>
    <t>1183764-00-2</t>
  </si>
  <si>
    <t>WASHED BLACK</t>
  </si>
  <si>
    <t>8H</t>
  </si>
  <si>
    <t>10H</t>
  </si>
  <si>
    <t>12H</t>
  </si>
  <si>
    <t>14H</t>
  </si>
  <si>
    <t>16H</t>
  </si>
  <si>
    <t>18H</t>
  </si>
  <si>
    <t>20H</t>
  </si>
  <si>
    <t>1 of 16</t>
  </si>
  <si>
    <t>58.67 X 38.48 X 29.71 CM.G81</t>
  </si>
  <si>
    <t>58.67 X 38.48 X 14.86 CM.G82</t>
  </si>
  <si>
    <t>38.48 X 29.33 X 14.86 CM.G84</t>
  </si>
  <si>
    <t>29.33 X 19.25 X 14.86 CM.G85</t>
  </si>
  <si>
    <t>G85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</si>
</sst>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Vrinda"/>
      <family val="1"/>
      <scheme val="major"/>
    </font>
    <font>
      <b/>
      <sz val="12"/>
      <name val="Vrinda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i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Helvetica"/>
    </font>
    <font>
      <b/>
      <sz val="11"/>
      <color rgb="FF000000"/>
      <name val="Helvetica"/>
    </font>
    <font>
      <b/>
      <sz val="6"/>
      <color rgb="FF000000"/>
      <name val="Helvetic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0" fontId="13" fillId="0" borderId="31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vertical="center"/>
    </xf>
    <xf numFmtId="0" fontId="8" fillId="3" borderId="40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vertical="center"/>
    </xf>
    <xf numFmtId="0" fontId="1" fillId="4" borderId="57" xfId="0" applyFont="1" applyFill="1" applyBorder="1" applyAlignment="1">
      <alignment vertical="center"/>
    </xf>
    <xf numFmtId="0" fontId="8" fillId="4" borderId="5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0" fontId="8" fillId="4" borderId="58" xfId="1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6" fillId="2" borderId="32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1" fillId="2" borderId="26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9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2" fontId="6" fillId="2" borderId="26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2" borderId="0" xfId="0" applyFont="1" applyFill="1"/>
    <xf numFmtId="2" fontId="1" fillId="2" borderId="1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right"/>
    </xf>
    <xf numFmtId="0" fontId="8" fillId="2" borderId="59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2" fontId="8" fillId="2" borderId="17" xfId="0" applyNumberFormat="1" applyFont="1" applyFill="1" applyBorder="1" applyAlignment="1">
      <alignment horizontal="center" vertical="center" wrapText="1"/>
    </xf>
    <xf numFmtId="2" fontId="8" fillId="2" borderId="22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/>
    <xf numFmtId="0" fontId="1" fillId="2" borderId="0" xfId="0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2" fontId="6" fillId="2" borderId="1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" fontId="13" fillId="0" borderId="17" xfId="0" applyNumberFormat="1" applyFont="1" applyBorder="1" applyAlignment="1">
      <alignment horizontal="center" vertical="center" wrapText="1"/>
    </xf>
    <xf numFmtId="164" fontId="15" fillId="0" borderId="15" xfId="0" applyNumberFormat="1" applyFont="1" applyBorder="1" applyAlignment="1">
      <alignment horizontal="center" vertical="center"/>
    </xf>
    <xf numFmtId="164" fontId="15" fillId="2" borderId="15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2" borderId="1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center" vertical="center"/>
    </xf>
    <xf numFmtId="49" fontId="6" fillId="5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6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571500</xdr:colOff>
      <xdr:row>31</xdr:row>
      <xdr:rowOff>272143</xdr:rowOff>
    </xdr:from>
    <xdr:to>
      <xdr:col>38</xdr:col>
      <xdr:colOff>529537</xdr:colOff>
      <xdr:row>55</xdr:row>
      <xdr:rowOff>68036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1C9996-0CC2-49D5-86CE-9F83BE4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00071" y="10586357"/>
          <a:ext cx="4244287" cy="6136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"/>
  <sheetViews>
    <sheetView tabSelected="1" view="pageBreakPreview" zoomScale="70" zoomScaleSheetLayoutView="70" workbookViewId="0">
      <pane ySplit="5" topLeftCell="A6" activePane="bottomLeft" state="frozen"/>
      <selection pane="bottomLeft" activeCell="H37" sqref="H37"/>
    </sheetView>
  </sheetViews>
  <sheetFormatPr defaultRowHeight="12.75" x14ac:dyDescent="0.2"/>
  <cols>
    <col min="1" max="1" width="6.28515625" style="94" customWidth="1"/>
    <col min="2" max="2" width="7.5703125" style="94" customWidth="1"/>
    <col min="3" max="3" width="7.85546875" style="94" customWidth="1"/>
    <col min="4" max="4" width="7.5703125" style="94" customWidth="1"/>
    <col min="5" max="5" width="12.5703125" style="94" customWidth="1"/>
    <col min="6" max="6" width="17" style="94" customWidth="1"/>
    <col min="7" max="7" width="8.140625" style="94" customWidth="1"/>
    <col min="8" max="9" width="8.42578125" style="94" customWidth="1"/>
    <col min="10" max="10" width="7.7109375" style="94" customWidth="1"/>
    <col min="11" max="11" width="7" style="94" customWidth="1"/>
    <col min="12" max="12" width="7.5703125" style="94" customWidth="1"/>
    <col min="13" max="13" width="6.85546875" style="94" customWidth="1"/>
    <col min="14" max="15" width="7.5703125" style="94" customWidth="1"/>
    <col min="16" max="16" width="6.85546875" style="94" customWidth="1"/>
    <col min="17" max="22" width="7.5703125" style="94" customWidth="1"/>
    <col min="23" max="23" width="7" style="94" bestFit="1" customWidth="1"/>
    <col min="24" max="24" width="2.85546875" style="94" customWidth="1"/>
    <col min="25" max="25" width="4.85546875" style="94" customWidth="1"/>
    <col min="26" max="26" width="6.42578125" style="94" customWidth="1"/>
    <col min="27" max="27" width="9.42578125" style="94" customWidth="1"/>
    <col min="28" max="29" width="7.7109375" style="94" customWidth="1"/>
    <col min="30" max="16384" width="9.140625" style="94"/>
  </cols>
  <sheetData>
    <row r="1" spans="1:29" ht="23.25" x14ac:dyDescent="0.35">
      <c r="A1" s="126" t="s">
        <v>65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</row>
    <row r="2" spans="1:29" ht="16.7" customHeight="1" x14ac:dyDescent="0.25">
      <c r="A2" s="127" t="s">
        <v>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</row>
    <row r="3" spans="1:29" ht="16.7" customHeight="1" x14ac:dyDescent="0.2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 spans="1:29" ht="16.7" customHeight="1" x14ac:dyDescent="0.2">
      <c r="A4" s="82"/>
      <c r="B4" s="82"/>
      <c r="C4" s="82"/>
      <c r="D4" s="92" t="s">
        <v>17</v>
      </c>
      <c r="E4" s="92"/>
      <c r="F4" s="73" t="s">
        <v>17</v>
      </c>
      <c r="G4" s="89">
        <v>5</v>
      </c>
      <c r="H4" s="89">
        <v>6</v>
      </c>
      <c r="I4" s="89">
        <v>7</v>
      </c>
      <c r="J4" s="89">
        <v>8</v>
      </c>
      <c r="K4" s="89">
        <v>10</v>
      </c>
      <c r="L4" s="90">
        <v>12</v>
      </c>
      <c r="M4" s="90">
        <v>14</v>
      </c>
      <c r="N4" s="90">
        <v>16</v>
      </c>
      <c r="O4" s="90">
        <v>18</v>
      </c>
      <c r="P4" s="90" t="s">
        <v>82</v>
      </c>
      <c r="Q4" s="90" t="s">
        <v>83</v>
      </c>
      <c r="R4" s="90" t="s">
        <v>84</v>
      </c>
      <c r="S4" s="90" t="s">
        <v>85</v>
      </c>
      <c r="T4" s="90" t="s">
        <v>86</v>
      </c>
      <c r="U4" s="90" t="s">
        <v>87</v>
      </c>
      <c r="V4" s="90" t="s">
        <v>88</v>
      </c>
      <c r="W4" s="75"/>
      <c r="X4" s="75"/>
      <c r="Y4" s="75"/>
      <c r="Z4" s="82"/>
      <c r="AA4" s="82"/>
      <c r="AB4" s="82"/>
      <c r="AC4" s="82"/>
    </row>
    <row r="5" spans="1:29" ht="16.7" customHeight="1" x14ac:dyDescent="0.2">
      <c r="A5" s="82"/>
      <c r="B5" s="82"/>
      <c r="C5" s="82"/>
      <c r="D5" s="92" t="s">
        <v>62</v>
      </c>
      <c r="E5" s="92"/>
      <c r="F5" s="73" t="s">
        <v>67</v>
      </c>
      <c r="G5" s="122">
        <v>0.37</v>
      </c>
      <c r="H5" s="122">
        <v>0.4</v>
      </c>
      <c r="I5" s="122">
        <v>0.42</v>
      </c>
      <c r="J5" s="122">
        <v>0.45</v>
      </c>
      <c r="K5" s="122">
        <v>0.48</v>
      </c>
      <c r="L5" s="122">
        <v>0.52</v>
      </c>
      <c r="M5" s="122">
        <v>0.57999999999999996</v>
      </c>
      <c r="N5" s="122">
        <v>0.6</v>
      </c>
      <c r="O5" s="122">
        <v>0.63</v>
      </c>
      <c r="P5" s="123">
        <v>0.47</v>
      </c>
      <c r="Q5" s="123">
        <v>0.51</v>
      </c>
      <c r="R5" s="123">
        <v>0.54</v>
      </c>
      <c r="S5" s="123">
        <v>0.6</v>
      </c>
      <c r="T5" s="123">
        <v>0.62</v>
      </c>
      <c r="U5" s="123">
        <v>0.65</v>
      </c>
      <c r="V5" s="123">
        <v>0.67</v>
      </c>
      <c r="W5" s="75"/>
      <c r="X5" s="75"/>
      <c r="Y5" s="75"/>
      <c r="Z5" s="82"/>
      <c r="AA5" s="82"/>
      <c r="AB5" s="82"/>
      <c r="AC5" s="82"/>
    </row>
    <row r="6" spans="1:29" ht="16.7" customHeight="1" x14ac:dyDescent="0.2">
      <c r="A6" s="82"/>
      <c r="B6" s="82"/>
      <c r="C6" s="82"/>
      <c r="D6" s="92" t="s">
        <v>63</v>
      </c>
      <c r="E6" s="92"/>
      <c r="F6" s="73" t="s">
        <v>68</v>
      </c>
      <c r="G6" s="95">
        <f t="shared" ref="G6:V6" si="0">+G5-0.02</f>
        <v>0.35</v>
      </c>
      <c r="H6" s="95">
        <f t="shared" ref="H6" si="1">+H5-0.02</f>
        <v>0.38</v>
      </c>
      <c r="I6" s="95">
        <f t="shared" si="0"/>
        <v>0.39999999999999997</v>
      </c>
      <c r="J6" s="95">
        <f t="shared" si="0"/>
        <v>0.43</v>
      </c>
      <c r="K6" s="95">
        <f t="shared" si="0"/>
        <v>0.45999999999999996</v>
      </c>
      <c r="L6" s="95">
        <f t="shared" si="0"/>
        <v>0.5</v>
      </c>
      <c r="M6" s="95">
        <f t="shared" ref="M6:O6" si="2">+M5-0.02</f>
        <v>0.55999999999999994</v>
      </c>
      <c r="N6" s="95">
        <f t="shared" si="2"/>
        <v>0.57999999999999996</v>
      </c>
      <c r="O6" s="95">
        <f t="shared" si="2"/>
        <v>0.61</v>
      </c>
      <c r="P6" s="95">
        <f t="shared" si="0"/>
        <v>0.44999999999999996</v>
      </c>
      <c r="Q6" s="95">
        <f t="shared" ref="Q6:U6" si="3">+Q5-0.02</f>
        <v>0.49</v>
      </c>
      <c r="R6" s="95">
        <f t="shared" si="3"/>
        <v>0.52</v>
      </c>
      <c r="S6" s="95">
        <f t="shared" si="3"/>
        <v>0.57999999999999996</v>
      </c>
      <c r="T6" s="95">
        <f t="shared" si="3"/>
        <v>0.6</v>
      </c>
      <c r="U6" s="95">
        <f t="shared" si="3"/>
        <v>0.63</v>
      </c>
      <c r="V6" s="95">
        <f t="shared" si="0"/>
        <v>0.65</v>
      </c>
      <c r="W6" s="75"/>
      <c r="X6" s="75"/>
      <c r="Y6" s="75"/>
      <c r="Z6" s="82"/>
      <c r="AA6" s="82"/>
      <c r="AB6" s="82"/>
      <c r="AC6" s="82"/>
    </row>
    <row r="7" spans="1:29" ht="16.7" customHeight="1" x14ac:dyDescent="0.2">
      <c r="A7" s="82"/>
      <c r="B7" s="82"/>
      <c r="C7" s="82"/>
      <c r="D7" s="128" t="s">
        <v>64</v>
      </c>
      <c r="E7" s="128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66"/>
      <c r="X7" s="66"/>
      <c r="Y7" s="66"/>
      <c r="Z7" s="82"/>
      <c r="AA7" s="82"/>
      <c r="AB7" s="82"/>
      <c r="AC7" s="82"/>
    </row>
    <row r="8" spans="1:29" ht="16.7" customHeight="1" x14ac:dyDescent="0.2">
      <c r="A8" s="82"/>
      <c r="B8" s="82"/>
      <c r="C8" s="82"/>
      <c r="D8" s="91"/>
      <c r="E8" s="91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82"/>
      <c r="AA8" s="82"/>
      <c r="AB8" s="82"/>
      <c r="AC8" s="82"/>
    </row>
    <row r="9" spans="1:29" ht="16.7" customHeight="1" x14ac:dyDescent="0.25">
      <c r="A9" s="125" t="s">
        <v>71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</row>
    <row r="10" spans="1:29" ht="16.5" customHeight="1" x14ac:dyDescent="0.25">
      <c r="A10" s="78"/>
      <c r="B10" s="78"/>
      <c r="C10" s="78"/>
      <c r="D10" s="79"/>
      <c r="E10" s="78"/>
      <c r="F10" s="106"/>
      <c r="G10" s="80"/>
      <c r="H10" s="80"/>
      <c r="I10" s="80"/>
      <c r="J10" s="80"/>
      <c r="K10" s="80"/>
      <c r="L10" s="80"/>
      <c r="M10" s="78"/>
      <c r="N10" s="80"/>
      <c r="O10" s="80"/>
      <c r="P10" s="78"/>
      <c r="Q10" s="80"/>
      <c r="R10" s="80"/>
      <c r="S10" s="80"/>
      <c r="T10" s="80"/>
      <c r="U10" s="80"/>
      <c r="V10" s="80"/>
      <c r="W10" s="78"/>
      <c r="X10" s="78"/>
      <c r="Y10" s="78"/>
      <c r="Z10" s="78"/>
      <c r="AA10" s="79"/>
      <c r="AB10" s="81"/>
      <c r="AC10" s="81"/>
    </row>
    <row r="11" spans="1:29" s="83" customFormat="1" ht="22.5" customHeight="1" x14ac:dyDescent="0.25">
      <c r="A11" s="113" t="s">
        <v>0</v>
      </c>
      <c r="B11" s="113"/>
      <c r="C11" s="113"/>
      <c r="D11" s="113" t="s">
        <v>75</v>
      </c>
      <c r="E11" s="114"/>
      <c r="F11" s="114"/>
      <c r="G11" s="114"/>
      <c r="H11" s="119"/>
      <c r="I11" s="114"/>
      <c r="J11" s="114"/>
      <c r="K11" s="114"/>
      <c r="L11" s="114"/>
      <c r="M11" s="120"/>
      <c r="N11" s="120"/>
      <c r="O11" s="120"/>
      <c r="P11" s="114"/>
      <c r="Q11" s="120"/>
      <c r="R11" s="120"/>
      <c r="S11" s="120"/>
      <c r="T11" s="120"/>
      <c r="U11" s="120"/>
      <c r="V11" s="114"/>
      <c r="W11" s="114"/>
      <c r="X11" s="114"/>
      <c r="Y11" s="114"/>
      <c r="Z11" s="114"/>
      <c r="AA11" s="114"/>
      <c r="AB11" s="114"/>
      <c r="AC11" s="114"/>
    </row>
    <row r="12" spans="1:29" s="83" customFormat="1" ht="22.5" customHeight="1" x14ac:dyDescent="0.25">
      <c r="A12" s="113" t="s">
        <v>1</v>
      </c>
      <c r="B12" s="113"/>
      <c r="C12" s="113"/>
      <c r="D12" s="124" t="s">
        <v>80</v>
      </c>
      <c r="E12" s="124"/>
      <c r="H12" s="84"/>
      <c r="I12" s="84"/>
      <c r="M12" s="85"/>
      <c r="P12" s="85"/>
      <c r="W12" s="85"/>
      <c r="X12" s="85"/>
      <c r="Y12" s="85"/>
      <c r="Z12" s="85"/>
      <c r="AA12" s="85"/>
      <c r="AB12" s="85"/>
    </row>
    <row r="13" spans="1:29" s="83" customFormat="1" ht="22.5" customHeight="1" x14ac:dyDescent="0.25">
      <c r="A13" s="113" t="s">
        <v>2</v>
      </c>
      <c r="B13" s="113"/>
      <c r="C13" s="113"/>
      <c r="D13" s="124">
        <v>61835339</v>
      </c>
      <c r="E13" s="124"/>
    </row>
    <row r="14" spans="1:29" s="83" customFormat="1" ht="22.5" customHeight="1" thickBot="1" x14ac:dyDescent="0.3">
      <c r="A14" s="113" t="s">
        <v>3</v>
      </c>
      <c r="B14" s="113"/>
      <c r="C14" s="113"/>
      <c r="D14" s="85">
        <v>136</v>
      </c>
      <c r="E14" s="83" t="s">
        <v>4</v>
      </c>
      <c r="W14" s="83" t="s">
        <v>70</v>
      </c>
      <c r="AA14" s="142">
        <f>D13</f>
        <v>61835339</v>
      </c>
      <c r="AB14" s="142"/>
    </row>
    <row r="15" spans="1:29" s="83" customFormat="1" ht="22.5" customHeight="1" thickBot="1" x14ac:dyDescent="0.3">
      <c r="A15" s="113" t="s">
        <v>5</v>
      </c>
      <c r="B15" s="113"/>
      <c r="C15" s="113"/>
      <c r="D15" s="85">
        <f>AA40</f>
        <v>136</v>
      </c>
      <c r="E15" s="83" t="s">
        <v>4</v>
      </c>
      <c r="W15" s="83" t="s">
        <v>6</v>
      </c>
      <c r="AA15" s="143" t="str">
        <f>D12</f>
        <v>1183764-00-2</v>
      </c>
      <c r="AB15" s="144"/>
      <c r="AC15" s="96"/>
    </row>
    <row r="16" spans="1:29" s="83" customFormat="1" ht="22.5" customHeight="1" thickBot="1" x14ac:dyDescent="0.3">
      <c r="A16" s="113" t="s">
        <v>7</v>
      </c>
      <c r="B16" s="113"/>
      <c r="C16" s="113"/>
      <c r="D16" s="85">
        <f>D15-D14</f>
        <v>0</v>
      </c>
      <c r="E16" s="83" t="s">
        <v>4</v>
      </c>
      <c r="W16" s="83" t="s">
        <v>60</v>
      </c>
      <c r="AA16" s="144" t="s">
        <v>8</v>
      </c>
      <c r="AB16" s="144"/>
      <c r="AC16" s="96"/>
    </row>
    <row r="17" spans="1:29" s="83" customFormat="1" ht="22.5" customHeight="1" thickBot="1" x14ac:dyDescent="0.3">
      <c r="A17" s="113" t="s">
        <v>9</v>
      </c>
      <c r="B17" s="113"/>
      <c r="C17" s="113"/>
      <c r="D17" s="85">
        <f>D40</f>
        <v>16</v>
      </c>
      <c r="E17" s="83" t="s">
        <v>10</v>
      </c>
      <c r="W17" s="83" t="s">
        <v>11</v>
      </c>
      <c r="AA17" s="144" t="s">
        <v>89</v>
      </c>
      <c r="AB17" s="144"/>
    </row>
    <row r="18" spans="1:29" s="83" customFormat="1" ht="22.5" customHeight="1" x14ac:dyDescent="0.25">
      <c r="A18" s="113" t="s">
        <v>12</v>
      </c>
      <c r="B18" s="113"/>
      <c r="C18" s="113"/>
      <c r="D18" s="83" t="s">
        <v>90</v>
      </c>
    </row>
    <row r="19" spans="1:29" s="83" customFormat="1" ht="22.5" customHeight="1" x14ac:dyDescent="0.25">
      <c r="A19" s="113" t="s">
        <v>12</v>
      </c>
      <c r="B19" s="113"/>
      <c r="C19" s="113"/>
      <c r="D19" s="83" t="s">
        <v>91</v>
      </c>
    </row>
    <row r="20" spans="1:29" s="83" customFormat="1" ht="22.5" customHeight="1" x14ac:dyDescent="0.25">
      <c r="A20" s="113" t="s">
        <v>12</v>
      </c>
      <c r="B20" s="113"/>
      <c r="C20" s="113"/>
      <c r="D20" s="83" t="s">
        <v>92</v>
      </c>
    </row>
    <row r="21" spans="1:29" s="83" customFormat="1" ht="22.5" customHeight="1" thickBot="1" x14ac:dyDescent="0.3">
      <c r="A21" s="113" t="s">
        <v>12</v>
      </c>
      <c r="B21" s="113"/>
      <c r="C21" s="113"/>
      <c r="D21" s="83" t="s">
        <v>93</v>
      </c>
    </row>
    <row r="22" spans="1:29" ht="16.7" customHeight="1" x14ac:dyDescent="0.2">
      <c r="A22" s="5" t="s">
        <v>13</v>
      </c>
      <c r="B22" s="43"/>
      <c r="C22" s="6" t="s">
        <v>13</v>
      </c>
      <c r="D22" s="159" t="s">
        <v>14</v>
      </c>
      <c r="E22" s="159" t="s">
        <v>15</v>
      </c>
      <c r="F22" s="145" t="s">
        <v>16</v>
      </c>
      <c r="G22" s="161" t="s">
        <v>17</v>
      </c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3"/>
      <c r="Z22" s="159" t="s">
        <v>18</v>
      </c>
      <c r="AA22" s="145" t="s">
        <v>19</v>
      </c>
      <c r="AB22" s="147" t="s">
        <v>20</v>
      </c>
      <c r="AC22" s="149" t="s">
        <v>21</v>
      </c>
    </row>
    <row r="23" spans="1:29" ht="21.75" customHeight="1" thickBot="1" x14ac:dyDescent="0.25">
      <c r="A23" s="115" t="s">
        <v>22</v>
      </c>
      <c r="B23" s="116"/>
      <c r="C23" s="7" t="s">
        <v>58</v>
      </c>
      <c r="D23" s="160"/>
      <c r="E23" s="160"/>
      <c r="F23" s="146"/>
      <c r="G23" s="77">
        <f t="shared" ref="G23:V23" si="4">G4</f>
        <v>5</v>
      </c>
      <c r="H23" s="77">
        <f t="shared" si="4"/>
        <v>6</v>
      </c>
      <c r="I23" s="77">
        <f t="shared" si="4"/>
        <v>7</v>
      </c>
      <c r="J23" s="77">
        <f t="shared" si="4"/>
        <v>8</v>
      </c>
      <c r="K23" s="77">
        <f t="shared" si="4"/>
        <v>10</v>
      </c>
      <c r="L23" s="77">
        <f t="shared" si="4"/>
        <v>12</v>
      </c>
      <c r="M23" s="77">
        <f t="shared" ref="M23:O23" si="5">M4</f>
        <v>14</v>
      </c>
      <c r="N23" s="77">
        <f t="shared" si="5"/>
        <v>16</v>
      </c>
      <c r="O23" s="77">
        <f t="shared" si="5"/>
        <v>18</v>
      </c>
      <c r="P23" s="77" t="str">
        <f t="shared" si="4"/>
        <v>8H</v>
      </c>
      <c r="Q23" s="77" t="str">
        <f t="shared" si="4"/>
        <v>10H</v>
      </c>
      <c r="R23" s="77" t="str">
        <f t="shared" ref="R23:U23" si="6">R4</f>
        <v>12H</v>
      </c>
      <c r="S23" s="77" t="str">
        <f t="shared" si="6"/>
        <v>14H</v>
      </c>
      <c r="T23" s="77" t="str">
        <f t="shared" si="6"/>
        <v>16H</v>
      </c>
      <c r="U23" s="77" t="str">
        <f t="shared" si="6"/>
        <v>18H</v>
      </c>
      <c r="V23" s="77" t="str">
        <f t="shared" si="4"/>
        <v>20H</v>
      </c>
      <c r="W23" s="151"/>
      <c r="X23" s="152"/>
      <c r="Y23" s="153"/>
      <c r="Z23" s="160"/>
      <c r="AA23" s="146"/>
      <c r="AB23" s="148"/>
      <c r="AC23" s="150"/>
    </row>
    <row r="24" spans="1:29" ht="28.5" customHeight="1" x14ac:dyDescent="0.2">
      <c r="A24" s="97">
        <v>1</v>
      </c>
      <c r="B24" s="98">
        <f>+D24</f>
        <v>1</v>
      </c>
      <c r="C24" s="99" t="s">
        <v>94</v>
      </c>
      <c r="D24" s="100">
        <v>1</v>
      </c>
      <c r="E24" s="65" t="s">
        <v>81</v>
      </c>
      <c r="F24" s="65"/>
      <c r="G24" s="101">
        <v>3</v>
      </c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61"/>
      <c r="X24" s="62"/>
      <c r="Y24" s="63"/>
      <c r="Z24" s="46">
        <f t="shared" ref="Z24:Z30" si="7">SUM(G24:Y24)</f>
        <v>3</v>
      </c>
      <c r="AA24" s="102">
        <f t="shared" ref="AA24:AA39" si="8">Z24*D24</f>
        <v>3</v>
      </c>
      <c r="AB24" s="103">
        <f>+Z24*G5+0.42</f>
        <v>1.5299999999999998</v>
      </c>
      <c r="AC24" s="104">
        <f t="shared" ref="AC24:AC26" si="9">AB24-0.24</f>
        <v>1.2899999999999998</v>
      </c>
    </row>
    <row r="25" spans="1:29" ht="28.5" customHeight="1" x14ac:dyDescent="0.2">
      <c r="A25" s="97">
        <f>+B24+1</f>
        <v>2</v>
      </c>
      <c r="B25" s="98">
        <f>+B24+D25</f>
        <v>2</v>
      </c>
      <c r="C25" s="99" t="s">
        <v>73</v>
      </c>
      <c r="D25" s="100">
        <v>1</v>
      </c>
      <c r="E25" s="65"/>
      <c r="F25" s="65"/>
      <c r="G25" s="101"/>
      <c r="H25" s="101">
        <v>6</v>
      </c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61"/>
      <c r="X25" s="62"/>
      <c r="Y25" s="63"/>
      <c r="Z25" s="46">
        <f>SUM(G25:Y25)</f>
        <v>6</v>
      </c>
      <c r="AA25" s="102">
        <f t="shared" si="8"/>
        <v>6</v>
      </c>
      <c r="AB25" s="103">
        <f>+Z25*G6+0.42</f>
        <v>2.5199999999999996</v>
      </c>
      <c r="AC25" s="104">
        <f t="shared" ref="AC25" si="10">AB25-0.24</f>
        <v>2.2799999999999994</v>
      </c>
    </row>
    <row r="26" spans="1:29" ht="28.5" customHeight="1" x14ac:dyDescent="0.2">
      <c r="A26" s="97">
        <f t="shared" ref="A26:A39" si="11">+B25+1</f>
        <v>3</v>
      </c>
      <c r="B26" s="98">
        <f t="shared" ref="B26:B39" si="12">+B25+D26</f>
        <v>3</v>
      </c>
      <c r="C26" s="99" t="s">
        <v>73</v>
      </c>
      <c r="D26" s="100">
        <v>1</v>
      </c>
      <c r="E26" s="65"/>
      <c r="F26" s="65"/>
      <c r="G26" s="101"/>
      <c r="H26" s="101"/>
      <c r="I26" s="101">
        <v>7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61"/>
      <c r="X26" s="62"/>
      <c r="Y26" s="63"/>
      <c r="Z26" s="46">
        <f>SUM(G26:Y26)</f>
        <v>7</v>
      </c>
      <c r="AA26" s="102">
        <f t="shared" ref="AA26" si="13">Z26*D26</f>
        <v>7</v>
      </c>
      <c r="AB26" s="103">
        <f>+Z26*H6+0.89</f>
        <v>3.5500000000000003</v>
      </c>
      <c r="AC26" s="104">
        <f t="shared" si="9"/>
        <v>3.3100000000000005</v>
      </c>
    </row>
    <row r="27" spans="1:29" ht="28.5" customHeight="1" x14ac:dyDescent="0.2">
      <c r="A27" s="97">
        <f t="shared" si="11"/>
        <v>4</v>
      </c>
      <c r="B27" s="98">
        <f t="shared" si="12"/>
        <v>4</v>
      </c>
      <c r="C27" s="99" t="s">
        <v>73</v>
      </c>
      <c r="D27" s="100">
        <v>1</v>
      </c>
      <c r="E27" s="65"/>
      <c r="F27" s="65"/>
      <c r="G27" s="101"/>
      <c r="H27" s="101"/>
      <c r="I27" s="101"/>
      <c r="J27" s="101">
        <v>10</v>
      </c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61"/>
      <c r="X27" s="62"/>
      <c r="Y27" s="63"/>
      <c r="Z27" s="46">
        <f>SUM(G27:Y27)</f>
        <v>10</v>
      </c>
      <c r="AA27" s="102">
        <f t="shared" ref="AA27" si="14">Z27*D27</f>
        <v>10</v>
      </c>
      <c r="AB27" s="103">
        <f>+Z27*I5+0.89</f>
        <v>5.09</v>
      </c>
      <c r="AC27" s="104">
        <f t="shared" ref="AC27:AC31" si="15">AB27-0.24</f>
        <v>4.8499999999999996</v>
      </c>
    </row>
    <row r="28" spans="1:29" ht="28.5" customHeight="1" x14ac:dyDescent="0.2">
      <c r="A28" s="97">
        <f t="shared" si="11"/>
        <v>5</v>
      </c>
      <c r="B28" s="98">
        <f t="shared" si="12"/>
        <v>5</v>
      </c>
      <c r="C28" s="99" t="s">
        <v>76</v>
      </c>
      <c r="D28" s="100">
        <v>1</v>
      </c>
      <c r="E28" s="65"/>
      <c r="F28" s="65"/>
      <c r="G28" s="101"/>
      <c r="H28" s="101"/>
      <c r="I28" s="101"/>
      <c r="J28" s="101"/>
      <c r="K28" s="101">
        <v>14</v>
      </c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61"/>
      <c r="X28" s="62"/>
      <c r="Y28" s="63"/>
      <c r="Z28" s="46">
        <f t="shared" si="7"/>
        <v>14</v>
      </c>
      <c r="AA28" s="102">
        <f t="shared" si="8"/>
        <v>14</v>
      </c>
      <c r="AB28" s="103">
        <f>+Z28*K5+0.89</f>
        <v>7.6099999999999994</v>
      </c>
      <c r="AC28" s="104">
        <f t="shared" si="15"/>
        <v>7.3699999999999992</v>
      </c>
    </row>
    <row r="29" spans="1:29" ht="28.5" customHeight="1" x14ac:dyDescent="0.2">
      <c r="A29" s="97">
        <f t="shared" si="11"/>
        <v>6</v>
      </c>
      <c r="B29" s="98">
        <f t="shared" si="12"/>
        <v>6</v>
      </c>
      <c r="C29" s="99" t="s">
        <v>74</v>
      </c>
      <c r="D29" s="100">
        <v>1</v>
      </c>
      <c r="E29" s="65"/>
      <c r="F29" s="65"/>
      <c r="G29" s="101"/>
      <c r="H29" s="101"/>
      <c r="I29" s="101"/>
      <c r="J29" s="101"/>
      <c r="K29" s="101"/>
      <c r="L29" s="101">
        <v>21</v>
      </c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61"/>
      <c r="X29" s="62"/>
      <c r="Y29" s="63"/>
      <c r="Z29" s="46">
        <f>SUM(G29:Y29)</f>
        <v>21</v>
      </c>
      <c r="AA29" s="102">
        <f t="shared" ref="AA29" si="16">Z29*D29</f>
        <v>21</v>
      </c>
      <c r="AB29" s="103">
        <f>+Z29*K7+0.89</f>
        <v>0.89</v>
      </c>
      <c r="AC29" s="104">
        <f t="shared" ref="AC29" si="17">AB29-0.24</f>
        <v>0.65</v>
      </c>
    </row>
    <row r="30" spans="1:29" ht="28.5" customHeight="1" x14ac:dyDescent="0.2">
      <c r="A30" s="97">
        <f t="shared" si="11"/>
        <v>7</v>
      </c>
      <c r="B30" s="98">
        <f t="shared" si="12"/>
        <v>7</v>
      </c>
      <c r="C30" s="99" t="s">
        <v>74</v>
      </c>
      <c r="D30" s="100">
        <v>1</v>
      </c>
      <c r="E30" s="65"/>
      <c r="F30" s="65"/>
      <c r="G30" s="101"/>
      <c r="H30" s="101"/>
      <c r="I30" s="101"/>
      <c r="J30" s="101"/>
      <c r="K30" s="101"/>
      <c r="L30" s="101"/>
      <c r="M30" s="101">
        <v>27</v>
      </c>
      <c r="N30" s="101"/>
      <c r="O30" s="101"/>
      <c r="P30" s="101"/>
      <c r="Q30" s="101"/>
      <c r="R30" s="101"/>
      <c r="S30" s="101"/>
      <c r="T30" s="101"/>
      <c r="U30" s="101"/>
      <c r="V30" s="101"/>
      <c r="W30" s="61"/>
      <c r="X30" s="62"/>
      <c r="Y30" s="63"/>
      <c r="Z30" s="46">
        <f t="shared" si="7"/>
        <v>27</v>
      </c>
      <c r="AA30" s="102">
        <f t="shared" si="8"/>
        <v>27</v>
      </c>
      <c r="AB30" s="103">
        <f>+Z30*P5+0.71</f>
        <v>13.399999999999999</v>
      </c>
      <c r="AC30" s="104">
        <f t="shared" si="15"/>
        <v>13.159999999999998</v>
      </c>
    </row>
    <row r="31" spans="1:29" ht="28.5" customHeight="1" x14ac:dyDescent="0.2">
      <c r="A31" s="97">
        <f t="shared" si="11"/>
        <v>8</v>
      </c>
      <c r="B31" s="98">
        <f t="shared" si="12"/>
        <v>8</v>
      </c>
      <c r="C31" s="99" t="s">
        <v>74</v>
      </c>
      <c r="D31" s="100">
        <v>1</v>
      </c>
      <c r="E31" s="65"/>
      <c r="F31" s="65"/>
      <c r="G31" s="101"/>
      <c r="H31" s="101"/>
      <c r="I31" s="101"/>
      <c r="J31" s="101"/>
      <c r="K31" s="101"/>
      <c r="L31" s="101"/>
      <c r="M31" s="101"/>
      <c r="N31" s="101">
        <v>19</v>
      </c>
      <c r="O31" s="101"/>
      <c r="P31" s="101"/>
      <c r="Q31" s="101"/>
      <c r="R31" s="101"/>
      <c r="S31" s="101"/>
      <c r="T31" s="101"/>
      <c r="U31" s="101"/>
      <c r="V31" s="101"/>
      <c r="W31" s="61"/>
      <c r="X31" s="62"/>
      <c r="Y31" s="63"/>
      <c r="Z31" s="46">
        <f>SUM(G31:Y31)</f>
        <v>19</v>
      </c>
      <c r="AA31" s="102">
        <f t="shared" ref="AA31" si="18">Z31*D31</f>
        <v>19</v>
      </c>
      <c r="AB31" s="103">
        <f>+Z31*P5+0.71</f>
        <v>9.64</v>
      </c>
      <c r="AC31" s="104">
        <f t="shared" si="15"/>
        <v>9.4</v>
      </c>
    </row>
    <row r="32" spans="1:29" ht="28.5" customHeight="1" x14ac:dyDescent="0.2">
      <c r="A32" s="97">
        <f t="shared" si="11"/>
        <v>9</v>
      </c>
      <c r="B32" s="98">
        <f t="shared" si="12"/>
        <v>9</v>
      </c>
      <c r="C32" s="99" t="s">
        <v>73</v>
      </c>
      <c r="D32" s="100">
        <v>1</v>
      </c>
      <c r="E32" s="65"/>
      <c r="F32" s="65"/>
      <c r="G32" s="101"/>
      <c r="H32" s="101"/>
      <c r="I32" s="101"/>
      <c r="J32" s="101"/>
      <c r="K32" s="101"/>
      <c r="L32" s="101"/>
      <c r="M32" s="101"/>
      <c r="N32" s="101"/>
      <c r="O32" s="101">
        <v>10</v>
      </c>
      <c r="P32" s="101"/>
      <c r="Q32" s="101"/>
      <c r="R32" s="101"/>
      <c r="S32" s="101"/>
      <c r="T32" s="101"/>
      <c r="U32" s="101"/>
      <c r="V32" s="101"/>
      <c r="W32" s="61"/>
      <c r="X32" s="62"/>
      <c r="Y32" s="63"/>
      <c r="Z32" s="46">
        <f>SUM(G32:Y32)</f>
        <v>10</v>
      </c>
      <c r="AA32" s="102">
        <f t="shared" ref="AA32" si="19">Z32*D32</f>
        <v>10</v>
      </c>
      <c r="AB32" s="103">
        <f>+Z32*O5+0.89</f>
        <v>7.1899999999999995</v>
      </c>
      <c r="AC32" s="104">
        <f t="shared" ref="AC32" si="20">AB32-0.24</f>
        <v>6.9499999999999993</v>
      </c>
    </row>
    <row r="33" spans="1:29" ht="28.5" customHeight="1" x14ac:dyDescent="0.2">
      <c r="A33" s="97">
        <f t="shared" si="11"/>
        <v>10</v>
      </c>
      <c r="B33" s="98">
        <f t="shared" si="12"/>
        <v>10</v>
      </c>
      <c r="C33" s="99" t="s">
        <v>94</v>
      </c>
      <c r="D33" s="100">
        <v>1</v>
      </c>
      <c r="E33" s="65"/>
      <c r="F33" s="65"/>
      <c r="G33" s="101"/>
      <c r="H33" s="101"/>
      <c r="I33" s="101"/>
      <c r="J33" s="101"/>
      <c r="K33" s="101"/>
      <c r="L33" s="101"/>
      <c r="M33" s="101"/>
      <c r="N33" s="101"/>
      <c r="O33" s="101"/>
      <c r="P33" s="101">
        <v>1</v>
      </c>
      <c r="Q33" s="101"/>
      <c r="R33" s="101"/>
      <c r="S33" s="101"/>
      <c r="T33" s="101"/>
      <c r="U33" s="101"/>
      <c r="V33" s="101"/>
      <c r="W33" s="61"/>
      <c r="X33" s="62"/>
      <c r="Y33" s="63"/>
      <c r="Z33" s="46">
        <f t="shared" ref="Z33:Z38" si="21">SUM(G33:Y33)</f>
        <v>1</v>
      </c>
      <c r="AA33" s="102">
        <f t="shared" ref="AA33:AA37" si="22">Z33*D33</f>
        <v>1</v>
      </c>
      <c r="AB33" s="103">
        <f>+Z33*P5+0.42</f>
        <v>0.8899999999999999</v>
      </c>
      <c r="AC33" s="104">
        <f t="shared" ref="AC33:AC37" si="23">AB33-0.24</f>
        <v>0.64999999999999991</v>
      </c>
    </row>
    <row r="34" spans="1:29" ht="28.5" customHeight="1" x14ac:dyDescent="0.2">
      <c r="A34" s="97">
        <f t="shared" si="11"/>
        <v>11</v>
      </c>
      <c r="B34" s="98">
        <f t="shared" si="12"/>
        <v>11</v>
      </c>
      <c r="C34" s="99" t="s">
        <v>94</v>
      </c>
      <c r="D34" s="100">
        <v>1</v>
      </c>
      <c r="E34" s="65"/>
      <c r="F34" s="65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>
        <v>2</v>
      </c>
      <c r="R34" s="101"/>
      <c r="S34" s="101"/>
      <c r="T34" s="101"/>
      <c r="U34" s="101"/>
      <c r="V34" s="101"/>
      <c r="W34" s="61"/>
      <c r="X34" s="62"/>
      <c r="Y34" s="63"/>
      <c r="Z34" s="46">
        <f t="shared" si="21"/>
        <v>2</v>
      </c>
      <c r="AA34" s="102">
        <f t="shared" si="22"/>
        <v>2</v>
      </c>
      <c r="AB34" s="103">
        <f>+Z34*P6+0.42</f>
        <v>1.3199999999999998</v>
      </c>
      <c r="AC34" s="104">
        <f t="shared" si="23"/>
        <v>1.0799999999999998</v>
      </c>
    </row>
    <row r="35" spans="1:29" ht="28.5" customHeight="1" x14ac:dyDescent="0.2">
      <c r="A35" s="97">
        <f t="shared" si="11"/>
        <v>12</v>
      </c>
      <c r="B35" s="98">
        <f t="shared" si="12"/>
        <v>12</v>
      </c>
      <c r="C35" s="99" t="s">
        <v>73</v>
      </c>
      <c r="D35" s="100">
        <v>1</v>
      </c>
      <c r="E35" s="65"/>
      <c r="F35" s="65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>
        <v>4</v>
      </c>
      <c r="S35" s="101"/>
      <c r="T35" s="101"/>
      <c r="U35" s="101"/>
      <c r="V35" s="101"/>
      <c r="W35" s="61"/>
      <c r="X35" s="62"/>
      <c r="Y35" s="63"/>
      <c r="Z35" s="46">
        <f>SUM(G35:Y35)</f>
        <v>4</v>
      </c>
      <c r="AA35" s="102">
        <f t="shared" si="22"/>
        <v>4</v>
      </c>
      <c r="AB35" s="103">
        <f>+Z35*P7+0.42</f>
        <v>0.42</v>
      </c>
      <c r="AC35" s="104">
        <f t="shared" si="23"/>
        <v>0.18</v>
      </c>
    </row>
    <row r="36" spans="1:29" ht="28.5" customHeight="1" x14ac:dyDescent="0.2">
      <c r="A36" s="97">
        <f t="shared" si="11"/>
        <v>13</v>
      </c>
      <c r="B36" s="98">
        <f t="shared" si="12"/>
        <v>13</v>
      </c>
      <c r="C36" s="99" t="s">
        <v>73</v>
      </c>
      <c r="D36" s="100">
        <v>1</v>
      </c>
      <c r="E36" s="65"/>
      <c r="F36" s="65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>
        <v>4</v>
      </c>
      <c r="T36" s="101"/>
      <c r="U36" s="101"/>
      <c r="V36" s="101"/>
      <c r="W36" s="61"/>
      <c r="X36" s="62"/>
      <c r="Y36" s="63"/>
      <c r="Z36" s="46">
        <f t="shared" ref="Z36" si="24">SUM(G36:Y36)</f>
        <v>4</v>
      </c>
      <c r="AA36" s="102">
        <f t="shared" si="22"/>
        <v>4</v>
      </c>
      <c r="AB36" s="103">
        <f>+Z36*R5+0.89</f>
        <v>3.0500000000000003</v>
      </c>
      <c r="AC36" s="104">
        <f t="shared" si="23"/>
        <v>2.8100000000000005</v>
      </c>
    </row>
    <row r="37" spans="1:29" ht="28.5" customHeight="1" x14ac:dyDescent="0.2">
      <c r="A37" s="97">
        <f t="shared" si="11"/>
        <v>14</v>
      </c>
      <c r="B37" s="98">
        <f t="shared" si="12"/>
        <v>14</v>
      </c>
      <c r="C37" s="99" t="s">
        <v>73</v>
      </c>
      <c r="D37" s="100">
        <v>1</v>
      </c>
      <c r="E37" s="65"/>
      <c r="F37" s="65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>
        <v>4</v>
      </c>
      <c r="U37" s="101"/>
      <c r="V37" s="101"/>
      <c r="W37" s="61"/>
      <c r="X37" s="62"/>
      <c r="Y37" s="63"/>
      <c r="Z37" s="46">
        <f t="shared" ref="Z37" si="25">SUM(G37:Y37)</f>
        <v>4</v>
      </c>
      <c r="AA37" s="102">
        <f t="shared" si="22"/>
        <v>4</v>
      </c>
      <c r="AB37" s="103">
        <f>+Z37*R6+0.89</f>
        <v>2.97</v>
      </c>
      <c r="AC37" s="104">
        <f t="shared" si="23"/>
        <v>2.7300000000000004</v>
      </c>
    </row>
    <row r="38" spans="1:29" ht="28.5" customHeight="1" x14ac:dyDescent="0.2">
      <c r="A38" s="97">
        <f t="shared" si="11"/>
        <v>15</v>
      </c>
      <c r="B38" s="98">
        <f t="shared" si="12"/>
        <v>15</v>
      </c>
      <c r="C38" s="99" t="s">
        <v>73</v>
      </c>
      <c r="D38" s="100">
        <v>1</v>
      </c>
      <c r="E38" s="65"/>
      <c r="F38" s="65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>
        <v>2</v>
      </c>
      <c r="V38" s="101"/>
      <c r="W38" s="61"/>
      <c r="X38" s="62"/>
      <c r="Y38" s="63"/>
      <c r="Z38" s="46">
        <f t="shared" si="21"/>
        <v>2</v>
      </c>
      <c r="AA38" s="102">
        <f t="shared" si="8"/>
        <v>2</v>
      </c>
      <c r="AB38" s="103">
        <f>+Z38*T6+0.89</f>
        <v>2.09</v>
      </c>
      <c r="AC38" s="104">
        <f t="shared" ref="AC38:AC39" si="26">AB38-0.24</f>
        <v>1.8499999999999999</v>
      </c>
    </row>
    <row r="39" spans="1:29" ht="28.5" customHeight="1" x14ac:dyDescent="0.2">
      <c r="A39" s="97">
        <f t="shared" si="11"/>
        <v>16</v>
      </c>
      <c r="B39" s="98">
        <f t="shared" si="12"/>
        <v>16</v>
      </c>
      <c r="C39" s="99" t="s">
        <v>73</v>
      </c>
      <c r="D39" s="100">
        <v>1</v>
      </c>
      <c r="E39" s="65"/>
      <c r="F39" s="65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>
        <v>2</v>
      </c>
      <c r="W39" s="61"/>
      <c r="X39" s="62"/>
      <c r="Y39" s="63"/>
      <c r="Z39" s="46">
        <f t="shared" ref="Z39" si="27">SUM(G39:Y39)</f>
        <v>2</v>
      </c>
      <c r="AA39" s="102">
        <f t="shared" si="8"/>
        <v>2</v>
      </c>
      <c r="AB39" s="103">
        <f>+Z39*V5+0.89</f>
        <v>2.23</v>
      </c>
      <c r="AC39" s="104">
        <f t="shared" si="26"/>
        <v>1.99</v>
      </c>
    </row>
    <row r="40" spans="1:29" ht="19.5" customHeight="1" thickBot="1" x14ac:dyDescent="0.3">
      <c r="A40" s="154" t="s">
        <v>23</v>
      </c>
      <c r="B40" s="155"/>
      <c r="C40" s="155"/>
      <c r="D40" s="118">
        <f>SUM(D24:D39)</f>
        <v>16</v>
      </c>
      <c r="E40" s="48" t="s">
        <v>13</v>
      </c>
      <c r="F40" s="105"/>
      <c r="G40" s="74">
        <f>+AA24</f>
        <v>3</v>
      </c>
      <c r="H40" s="74">
        <f>+AA25</f>
        <v>6</v>
      </c>
      <c r="I40" s="74">
        <f>+AA26</f>
        <v>7</v>
      </c>
      <c r="J40" s="74">
        <f>+AA27</f>
        <v>10</v>
      </c>
      <c r="K40" s="74">
        <f>+AA28</f>
        <v>14</v>
      </c>
      <c r="L40" s="74">
        <f>+AA29</f>
        <v>21</v>
      </c>
      <c r="M40" s="74">
        <f>+AA30</f>
        <v>27</v>
      </c>
      <c r="N40" s="74">
        <f>+AA31</f>
        <v>19</v>
      </c>
      <c r="O40" s="74">
        <f>+AA32</f>
        <v>10</v>
      </c>
      <c r="P40" s="74">
        <f>+AA33</f>
        <v>1</v>
      </c>
      <c r="Q40" s="74">
        <f>+AA34</f>
        <v>2</v>
      </c>
      <c r="R40" s="74">
        <f>+AA35</f>
        <v>4</v>
      </c>
      <c r="S40" s="74">
        <f>+AA36</f>
        <v>4</v>
      </c>
      <c r="T40" s="74">
        <f>+AA37</f>
        <v>4</v>
      </c>
      <c r="U40" s="74">
        <f>+AA38</f>
        <v>2</v>
      </c>
      <c r="V40" s="74">
        <f>+AA39</f>
        <v>2</v>
      </c>
      <c r="W40" s="156"/>
      <c r="X40" s="157"/>
      <c r="Y40" s="158"/>
      <c r="Z40" s="117"/>
      <c r="AA40" s="74">
        <f>SUM(AA24:AA39)</f>
        <v>136</v>
      </c>
      <c r="AB40" s="49" t="s">
        <v>4</v>
      </c>
      <c r="AC40" s="64"/>
    </row>
    <row r="41" spans="1:29" ht="16.7" customHeight="1" thickBot="1" x14ac:dyDescent="0.3">
      <c r="A41" s="4"/>
      <c r="B41" s="4"/>
      <c r="C41" s="107"/>
      <c r="D41" s="8"/>
      <c r="E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0.25" customHeight="1" thickBot="1" x14ac:dyDescent="0.3">
      <c r="A42" s="4"/>
      <c r="B42" s="4"/>
      <c r="C42" s="108"/>
      <c r="D42" s="4"/>
      <c r="E42" s="139" t="s">
        <v>72</v>
      </c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1"/>
      <c r="AB42" s="4"/>
      <c r="AC42" s="4"/>
    </row>
    <row r="43" spans="1:29" ht="20.25" customHeight="1" thickBot="1" x14ac:dyDescent="0.25">
      <c r="A43" s="4"/>
      <c r="B43" s="4"/>
      <c r="C43" s="109"/>
      <c r="D43" s="4"/>
      <c r="E43" s="134" t="s">
        <v>17</v>
      </c>
      <c r="F43" s="135"/>
      <c r="G43" s="77">
        <f t="shared" ref="G43:V43" si="28">G4</f>
        <v>5</v>
      </c>
      <c r="H43" s="77">
        <f t="shared" si="28"/>
        <v>6</v>
      </c>
      <c r="I43" s="77">
        <f t="shared" si="28"/>
        <v>7</v>
      </c>
      <c r="J43" s="77">
        <f t="shared" si="28"/>
        <v>8</v>
      </c>
      <c r="K43" s="77">
        <f t="shared" si="28"/>
        <v>10</v>
      </c>
      <c r="L43" s="77">
        <f t="shared" si="28"/>
        <v>12</v>
      </c>
      <c r="M43" s="77">
        <f t="shared" si="28"/>
        <v>14</v>
      </c>
      <c r="N43" s="77">
        <f t="shared" si="28"/>
        <v>16</v>
      </c>
      <c r="O43" s="77">
        <f t="shared" si="28"/>
        <v>18</v>
      </c>
      <c r="P43" s="77" t="str">
        <f t="shared" si="28"/>
        <v>8H</v>
      </c>
      <c r="Q43" s="77" t="str">
        <f t="shared" si="28"/>
        <v>10H</v>
      </c>
      <c r="R43" s="77" t="str">
        <f t="shared" si="28"/>
        <v>12H</v>
      </c>
      <c r="S43" s="77" t="str">
        <f t="shared" si="28"/>
        <v>14H</v>
      </c>
      <c r="T43" s="77" t="str">
        <f t="shared" si="28"/>
        <v>16H</v>
      </c>
      <c r="U43" s="77" t="str">
        <f t="shared" si="28"/>
        <v>18H</v>
      </c>
      <c r="V43" s="77" t="str">
        <f t="shared" si="28"/>
        <v>20H</v>
      </c>
      <c r="W43" s="131"/>
      <c r="X43" s="132"/>
      <c r="Y43" s="133"/>
      <c r="Z43" s="77"/>
      <c r="AA43" s="87" t="s">
        <v>23</v>
      </c>
      <c r="AB43" s="4"/>
      <c r="AC43" s="4"/>
    </row>
    <row r="44" spans="1:29" ht="20.25" customHeight="1" x14ac:dyDescent="0.2">
      <c r="A44" s="4"/>
      <c r="B44" s="4"/>
      <c r="C44" s="4"/>
      <c r="D44" s="4"/>
      <c r="E44" s="134" t="s">
        <v>24</v>
      </c>
      <c r="F44" s="135"/>
      <c r="G44" s="93">
        <v>3</v>
      </c>
      <c r="H44" s="112">
        <v>6</v>
      </c>
      <c r="I44" s="93">
        <v>7</v>
      </c>
      <c r="J44" s="93">
        <v>10</v>
      </c>
      <c r="K44" s="93">
        <v>14</v>
      </c>
      <c r="L44" s="93">
        <v>21</v>
      </c>
      <c r="M44" s="112">
        <v>27</v>
      </c>
      <c r="N44" s="112">
        <v>19</v>
      </c>
      <c r="O44" s="112">
        <v>10</v>
      </c>
      <c r="P44" s="93">
        <v>1</v>
      </c>
      <c r="Q44" s="112">
        <v>2</v>
      </c>
      <c r="R44" s="112">
        <v>4</v>
      </c>
      <c r="S44" s="112">
        <v>4</v>
      </c>
      <c r="T44" s="112">
        <v>4</v>
      </c>
      <c r="U44" s="112">
        <v>2</v>
      </c>
      <c r="V44" s="112">
        <v>2</v>
      </c>
      <c r="W44" s="136"/>
      <c r="X44" s="137"/>
      <c r="Y44" s="138"/>
      <c r="Z44" s="47"/>
      <c r="AA44" s="86">
        <f>SUM(G44:Z44)</f>
        <v>136</v>
      </c>
      <c r="AB44" s="4"/>
      <c r="AC44" s="4"/>
    </row>
    <row r="45" spans="1:29" ht="20.25" customHeight="1" x14ac:dyDescent="0.2">
      <c r="A45" s="4"/>
      <c r="B45" s="4"/>
      <c r="C45" s="4"/>
      <c r="D45" s="4"/>
      <c r="E45" s="134" t="s">
        <v>25</v>
      </c>
      <c r="F45" s="135"/>
      <c r="G45" s="101">
        <f>+G40</f>
        <v>3</v>
      </c>
      <c r="H45" s="101">
        <f>+H40</f>
        <v>6</v>
      </c>
      <c r="I45" s="101">
        <f t="shared" ref="I45:V45" si="29">+I40</f>
        <v>7</v>
      </c>
      <c r="J45" s="101">
        <f t="shared" si="29"/>
        <v>10</v>
      </c>
      <c r="K45" s="101">
        <f t="shared" si="29"/>
        <v>14</v>
      </c>
      <c r="L45" s="101">
        <f t="shared" si="29"/>
        <v>21</v>
      </c>
      <c r="M45" s="101">
        <f t="shared" ref="M45:O45" si="30">+M40</f>
        <v>27</v>
      </c>
      <c r="N45" s="101">
        <f t="shared" si="30"/>
        <v>19</v>
      </c>
      <c r="O45" s="101">
        <f t="shared" si="30"/>
        <v>10</v>
      </c>
      <c r="P45" s="101">
        <f t="shared" si="29"/>
        <v>1</v>
      </c>
      <c r="Q45" s="101">
        <f t="shared" si="29"/>
        <v>2</v>
      </c>
      <c r="R45" s="101">
        <f t="shared" ref="R45:U45" si="31">+R40</f>
        <v>4</v>
      </c>
      <c r="S45" s="101">
        <f t="shared" si="31"/>
        <v>4</v>
      </c>
      <c r="T45" s="101">
        <f t="shared" si="31"/>
        <v>4</v>
      </c>
      <c r="U45" s="101">
        <f t="shared" si="31"/>
        <v>2</v>
      </c>
      <c r="V45" s="101">
        <f t="shared" si="29"/>
        <v>2</v>
      </c>
      <c r="W45" s="136"/>
      <c r="X45" s="137"/>
      <c r="Y45" s="138"/>
      <c r="Z45" s="90"/>
      <c r="AA45" s="87">
        <f>SUM(G45:Z45)</f>
        <v>136</v>
      </c>
      <c r="AB45" s="4"/>
      <c r="AC45" s="4"/>
    </row>
    <row r="46" spans="1:29" ht="20.25" customHeight="1" x14ac:dyDescent="0.2">
      <c r="A46" s="4"/>
      <c r="B46" s="4"/>
      <c r="C46" s="4"/>
      <c r="D46" s="4"/>
      <c r="E46" s="134" t="s">
        <v>26</v>
      </c>
      <c r="F46" s="135"/>
      <c r="G46" s="93">
        <f t="shared" ref="G46:P46" si="32">G45-G44</f>
        <v>0</v>
      </c>
      <c r="H46" s="112">
        <f t="shared" ref="H46" si="33">H45-H44</f>
        <v>0</v>
      </c>
      <c r="I46" s="93">
        <f t="shared" si="32"/>
        <v>0</v>
      </c>
      <c r="J46" s="93">
        <f t="shared" si="32"/>
        <v>0</v>
      </c>
      <c r="K46" s="93">
        <f t="shared" si="32"/>
        <v>0</v>
      </c>
      <c r="L46" s="93">
        <f t="shared" si="32"/>
        <v>0</v>
      </c>
      <c r="M46" s="112">
        <f t="shared" ref="M46:O46" si="34">M45-M44</f>
        <v>0</v>
      </c>
      <c r="N46" s="112">
        <f t="shared" si="34"/>
        <v>0</v>
      </c>
      <c r="O46" s="112">
        <f t="shared" si="34"/>
        <v>0</v>
      </c>
      <c r="P46" s="93">
        <f t="shared" si="32"/>
        <v>0</v>
      </c>
      <c r="Q46" s="112">
        <f t="shared" ref="Q46:V46" si="35">Q45-Q44</f>
        <v>0</v>
      </c>
      <c r="R46" s="112">
        <f t="shared" ref="R46:U46" si="36">R45-R44</f>
        <v>0</v>
      </c>
      <c r="S46" s="112">
        <f t="shared" si="36"/>
        <v>0</v>
      </c>
      <c r="T46" s="112">
        <f t="shared" si="36"/>
        <v>0</v>
      </c>
      <c r="U46" s="112">
        <f t="shared" si="36"/>
        <v>0</v>
      </c>
      <c r="V46" s="112">
        <f t="shared" si="35"/>
        <v>0</v>
      </c>
      <c r="W46" s="136"/>
      <c r="X46" s="137"/>
      <c r="Y46" s="138"/>
      <c r="Z46" s="90"/>
      <c r="AA46" s="87">
        <f>SUM(G46:Z46)</f>
        <v>0</v>
      </c>
      <c r="AB46" s="4"/>
      <c r="AC46" s="4"/>
    </row>
    <row r="47" spans="1:29" ht="20.25" customHeight="1" thickBot="1" x14ac:dyDescent="0.25">
      <c r="A47" s="4"/>
      <c r="B47" s="4"/>
      <c r="C47" s="4"/>
      <c r="D47" s="4"/>
      <c r="E47" s="129" t="s">
        <v>27</v>
      </c>
      <c r="F47" s="130"/>
      <c r="G47" s="110">
        <f t="shared" ref="G47:P47" si="37">G46/G44*100</f>
        <v>0</v>
      </c>
      <c r="H47" s="110">
        <f t="shared" ref="H47" si="38">H46/H44*100</f>
        <v>0</v>
      </c>
      <c r="I47" s="110">
        <f t="shared" si="37"/>
        <v>0</v>
      </c>
      <c r="J47" s="110">
        <f t="shared" si="37"/>
        <v>0</v>
      </c>
      <c r="K47" s="110">
        <f t="shared" si="37"/>
        <v>0</v>
      </c>
      <c r="L47" s="110">
        <f t="shared" si="37"/>
        <v>0</v>
      </c>
      <c r="M47" s="110">
        <f t="shared" ref="M47:O47" si="39">M46/M44*100</f>
        <v>0</v>
      </c>
      <c r="N47" s="110">
        <f t="shared" si="39"/>
        <v>0</v>
      </c>
      <c r="O47" s="110">
        <f t="shared" si="39"/>
        <v>0</v>
      </c>
      <c r="P47" s="110">
        <f t="shared" si="37"/>
        <v>0</v>
      </c>
      <c r="Q47" s="110">
        <f t="shared" ref="Q47:V47" si="40">Q46/Q44*100</f>
        <v>0</v>
      </c>
      <c r="R47" s="110">
        <f t="shared" ref="R47:U47" si="41">R46/R44*100</f>
        <v>0</v>
      </c>
      <c r="S47" s="110">
        <f t="shared" si="41"/>
        <v>0</v>
      </c>
      <c r="T47" s="110">
        <f t="shared" si="41"/>
        <v>0</v>
      </c>
      <c r="U47" s="110">
        <f t="shared" si="41"/>
        <v>0</v>
      </c>
      <c r="V47" s="110">
        <f t="shared" si="40"/>
        <v>0</v>
      </c>
      <c r="W47" s="131"/>
      <c r="X47" s="132"/>
      <c r="Y47" s="133"/>
      <c r="Z47" s="111"/>
      <c r="AA47" s="88">
        <f>AA46/AA44*100</f>
        <v>0</v>
      </c>
      <c r="AB47" s="4"/>
      <c r="AC47" s="4"/>
    </row>
    <row r="48" spans="1:29" ht="20.25" customHeight="1" x14ac:dyDescent="0.2">
      <c r="A48" s="4"/>
      <c r="B48" s="4"/>
      <c r="C48" s="4"/>
      <c r="D48" s="4"/>
      <c r="E48" s="8"/>
      <c r="F48" s="8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4"/>
      <c r="X48" s="44"/>
      <c r="Y48" s="44"/>
      <c r="Z48" s="44"/>
      <c r="AA48" s="45"/>
      <c r="AB48" s="4"/>
      <c r="AC48" s="4"/>
    </row>
  </sheetData>
  <mergeCells count="32">
    <mergeCell ref="AA22:AA23"/>
    <mergeCell ref="AB22:AB23"/>
    <mergeCell ref="AC22:AC23"/>
    <mergeCell ref="W23:Y23"/>
    <mergeCell ref="A40:C40"/>
    <mergeCell ref="W40:Y40"/>
    <mergeCell ref="D22:D23"/>
    <mergeCell ref="E22:E23"/>
    <mergeCell ref="F22:F23"/>
    <mergeCell ref="G22:Y22"/>
    <mergeCell ref="Z22:Z23"/>
    <mergeCell ref="D13:E13"/>
    <mergeCell ref="AA14:AB14"/>
    <mergeCell ref="AA15:AB15"/>
    <mergeCell ref="AA16:AB16"/>
    <mergeCell ref="AA17:AB17"/>
    <mergeCell ref="E47:F47"/>
    <mergeCell ref="W47:Y47"/>
    <mergeCell ref="E46:F46"/>
    <mergeCell ref="W46:Y46"/>
    <mergeCell ref="E42:AA42"/>
    <mergeCell ref="E43:F43"/>
    <mergeCell ref="W43:Y43"/>
    <mergeCell ref="E44:F44"/>
    <mergeCell ref="E45:F45"/>
    <mergeCell ref="W45:Y45"/>
    <mergeCell ref="W44:Y44"/>
    <mergeCell ref="D12:E12"/>
    <mergeCell ref="A9:AC9"/>
    <mergeCell ref="A1:AC1"/>
    <mergeCell ref="A2:AC2"/>
    <mergeCell ref="D7:E7"/>
  </mergeCells>
  <conditionalFormatting sqref="G44:L44 V44 O44:P44">
    <cfRule type="expression" dxfId="55" priority="568">
      <formula>$AA44="CANCEL"</formula>
    </cfRule>
    <cfRule type="expression" dxfId="54" priority="569">
      <formula>#REF!="Closed"</formula>
    </cfRule>
    <cfRule type="expression" dxfId="53" priority="570">
      <formula>#REF!="Delayed"</formula>
    </cfRule>
    <cfRule type="expression" dxfId="52" priority="571">
      <formula>IF(ISNUMBER(#REF!),#REF!&gt;#REF!,0)</formula>
    </cfRule>
    <cfRule type="expression" dxfId="51" priority="572">
      <formula>#REF!="Cut-off"</formula>
    </cfRule>
    <cfRule type="expression" dxfId="50" priority="573">
      <formula>#REF!="In Week"</formula>
    </cfRule>
    <cfRule type="expression" dxfId="49" priority="574">
      <formula>#REF!="Missed"</formula>
    </cfRule>
  </conditionalFormatting>
  <conditionalFormatting sqref="Q44">
    <cfRule type="expression" dxfId="48" priority="43">
      <formula>$AA44="CANCEL"</formula>
    </cfRule>
    <cfRule type="expression" dxfId="47" priority="44">
      <formula>#REF!="Closed"</formula>
    </cfRule>
    <cfRule type="expression" dxfId="46" priority="45">
      <formula>#REF!="Delayed"</formula>
    </cfRule>
    <cfRule type="expression" dxfId="45" priority="46">
      <formula>IF(ISNUMBER(#REF!),#REF!&gt;#REF!,0)</formula>
    </cfRule>
    <cfRule type="expression" dxfId="44" priority="47">
      <formula>#REF!="Cut-off"</formula>
    </cfRule>
    <cfRule type="expression" dxfId="43" priority="48">
      <formula>#REF!="In Week"</formula>
    </cfRule>
    <cfRule type="expression" dxfId="42" priority="49">
      <formula>#REF!="Missed"</formula>
    </cfRule>
  </conditionalFormatting>
  <conditionalFormatting sqref="M44">
    <cfRule type="expression" dxfId="41" priority="36">
      <formula>$AA44="CANCEL"</formula>
    </cfRule>
    <cfRule type="expression" dxfId="40" priority="37">
      <formula>#REF!="Closed"</formula>
    </cfRule>
    <cfRule type="expression" dxfId="39" priority="38">
      <formula>#REF!="Delayed"</formula>
    </cfRule>
    <cfRule type="expression" dxfId="38" priority="39">
      <formula>IF(ISNUMBER(#REF!),#REF!&gt;#REF!,0)</formula>
    </cfRule>
    <cfRule type="expression" dxfId="37" priority="40">
      <formula>#REF!="Cut-off"</formula>
    </cfRule>
    <cfRule type="expression" dxfId="36" priority="41">
      <formula>#REF!="In Week"</formula>
    </cfRule>
    <cfRule type="expression" dxfId="35" priority="42">
      <formula>#REF!="Missed"</formula>
    </cfRule>
  </conditionalFormatting>
  <conditionalFormatting sqref="N44">
    <cfRule type="expression" dxfId="34" priority="29">
      <formula>$AA44="CANCEL"</formula>
    </cfRule>
    <cfRule type="expression" dxfId="33" priority="30">
      <formula>#REF!="Closed"</formula>
    </cfRule>
    <cfRule type="expression" dxfId="32" priority="31">
      <formula>#REF!="Delayed"</formula>
    </cfRule>
    <cfRule type="expression" dxfId="31" priority="32">
      <formula>IF(ISNUMBER(#REF!),#REF!&gt;#REF!,0)</formula>
    </cfRule>
    <cfRule type="expression" dxfId="30" priority="33">
      <formula>#REF!="Cut-off"</formula>
    </cfRule>
    <cfRule type="expression" dxfId="29" priority="34">
      <formula>#REF!="In Week"</formula>
    </cfRule>
    <cfRule type="expression" dxfId="28" priority="35">
      <formula>#REF!="Missed"</formula>
    </cfRule>
  </conditionalFormatting>
  <conditionalFormatting sqref="R44">
    <cfRule type="expression" dxfId="27" priority="22">
      <formula>$AA44="CANCEL"</formula>
    </cfRule>
    <cfRule type="expression" dxfId="26" priority="23">
      <formula>#REF!="Closed"</formula>
    </cfRule>
    <cfRule type="expression" dxfId="25" priority="24">
      <formula>#REF!="Delayed"</formula>
    </cfRule>
    <cfRule type="expression" dxfId="24" priority="25">
      <formula>IF(ISNUMBER(#REF!),#REF!&gt;#REF!,0)</formula>
    </cfRule>
    <cfRule type="expression" dxfId="23" priority="26">
      <formula>#REF!="Cut-off"</formula>
    </cfRule>
    <cfRule type="expression" dxfId="22" priority="27">
      <formula>#REF!="In Week"</formula>
    </cfRule>
    <cfRule type="expression" dxfId="21" priority="28">
      <formula>#REF!="Missed"</formula>
    </cfRule>
  </conditionalFormatting>
  <conditionalFormatting sqref="S44">
    <cfRule type="expression" dxfId="20" priority="15">
      <formula>$AA44="CANCEL"</formula>
    </cfRule>
    <cfRule type="expression" dxfId="19" priority="16">
      <formula>#REF!="Closed"</formula>
    </cfRule>
    <cfRule type="expression" dxfId="18" priority="17">
      <formula>#REF!="Delayed"</formula>
    </cfRule>
    <cfRule type="expression" dxfId="17" priority="18">
      <formula>IF(ISNUMBER(#REF!),#REF!&gt;#REF!,0)</formula>
    </cfRule>
    <cfRule type="expression" dxfId="16" priority="19">
      <formula>#REF!="Cut-off"</formula>
    </cfRule>
    <cfRule type="expression" dxfId="15" priority="20">
      <formula>#REF!="In Week"</formula>
    </cfRule>
    <cfRule type="expression" dxfId="14" priority="21">
      <formula>#REF!="Missed"</formula>
    </cfRule>
  </conditionalFormatting>
  <conditionalFormatting sqref="T44">
    <cfRule type="expression" dxfId="13" priority="8">
      <formula>$AA44="CANCEL"</formula>
    </cfRule>
    <cfRule type="expression" dxfId="12" priority="9">
      <formula>#REF!="Closed"</formula>
    </cfRule>
    <cfRule type="expression" dxfId="11" priority="10">
      <formula>#REF!="Delayed"</formula>
    </cfRule>
    <cfRule type="expression" dxfId="10" priority="11">
      <formula>IF(ISNUMBER(#REF!),#REF!&gt;#REF!,0)</formula>
    </cfRule>
    <cfRule type="expression" dxfId="9" priority="12">
      <formula>#REF!="Cut-off"</formula>
    </cfRule>
    <cfRule type="expression" dxfId="8" priority="13">
      <formula>#REF!="In Week"</formula>
    </cfRule>
    <cfRule type="expression" dxfId="7" priority="14">
      <formula>#REF!="Missed"</formula>
    </cfRule>
  </conditionalFormatting>
  <conditionalFormatting sqref="U44">
    <cfRule type="expression" dxfId="6" priority="1">
      <formula>$AA44="CANCEL"</formula>
    </cfRule>
    <cfRule type="expression" dxfId="5" priority="2">
      <formula>#REF!="Closed"</formula>
    </cfRule>
    <cfRule type="expression" dxfId="4" priority="3">
      <formula>#REF!="Delayed"</formula>
    </cfRule>
    <cfRule type="expression" dxfId="3" priority="4">
      <formula>IF(ISNUMBER(#REF!),#REF!&gt;#REF!,0)</formula>
    </cfRule>
    <cfRule type="expression" dxfId="2" priority="5">
      <formula>#REF!="Cut-off"</formula>
    </cfRule>
    <cfRule type="expression" dxfId="1" priority="6">
      <formula>#REF!="In Week"</formula>
    </cfRule>
    <cfRule type="expression" dxfId="0" priority="7">
      <formula>#REF!="Missed"</formula>
    </cfRule>
  </conditionalFormatting>
  <printOptions horizontalCentered="1"/>
  <pageMargins left="0.22" right="0.23" top="0.35" bottom="0.34" header="0.3" footer="0.3"/>
  <pageSetup scale="44" fitToHeight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2"/>
  <sheetViews>
    <sheetView view="pageBreakPreview" zoomScaleNormal="100" zoomScaleSheetLayoutView="100" workbookViewId="0">
      <selection activeCell="D9" sqref="D9"/>
    </sheetView>
  </sheetViews>
  <sheetFormatPr defaultRowHeight="12.75" x14ac:dyDescent="0.2"/>
  <cols>
    <col min="1" max="1" width="16.28515625" style="2" customWidth="1"/>
    <col min="2" max="2" width="15.140625" style="2" customWidth="1"/>
    <col min="3" max="3" width="11.85546875" style="2" customWidth="1"/>
    <col min="4" max="4" width="32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3" spans="1:10" ht="26.25" x14ac:dyDescent="0.2">
      <c r="A3" s="166" t="s">
        <v>66</v>
      </c>
      <c r="B3" s="166"/>
      <c r="C3" s="166"/>
      <c r="D3" s="166"/>
      <c r="E3" s="166"/>
      <c r="F3" s="166"/>
      <c r="G3" s="166"/>
      <c r="H3" s="166"/>
      <c r="I3" s="166"/>
      <c r="J3" s="166"/>
    </row>
    <row r="4" spans="1:10" x14ac:dyDescent="0.2">
      <c r="A4" s="167" t="s">
        <v>35</v>
      </c>
      <c r="B4" s="167"/>
      <c r="C4" s="167"/>
      <c r="D4" s="167"/>
      <c r="E4" s="167"/>
      <c r="F4" s="167"/>
      <c r="G4" s="167"/>
      <c r="H4" s="167"/>
      <c r="I4" s="167"/>
      <c r="J4" s="167"/>
    </row>
    <row r="5" spans="1:10" ht="15.75" x14ac:dyDescent="0.2">
      <c r="A5" s="168" t="s">
        <v>29</v>
      </c>
      <c r="B5" s="168"/>
      <c r="C5" s="168"/>
      <c r="D5" s="168"/>
      <c r="E5" s="168"/>
      <c r="F5" s="168"/>
      <c r="G5" s="168"/>
      <c r="H5" s="168"/>
      <c r="I5" s="168"/>
      <c r="J5" s="168"/>
    </row>
    <row r="6" spans="1:10" ht="16.5" thickBo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ht="21.75" thickBot="1" x14ac:dyDescent="0.25">
      <c r="A7" s="13" t="s">
        <v>36</v>
      </c>
      <c r="B7" s="14" t="s">
        <v>75</v>
      </c>
      <c r="C7" s="38"/>
      <c r="D7" s="16"/>
      <c r="E7" s="16"/>
      <c r="F7" s="16"/>
      <c r="G7" s="16"/>
      <c r="H7" s="16"/>
      <c r="I7" s="16"/>
      <c r="J7" s="16"/>
    </row>
    <row r="8" spans="1:10" ht="21.75" thickBot="1" x14ac:dyDescent="0.25">
      <c r="A8" s="15" t="s">
        <v>37</v>
      </c>
      <c r="B8" s="14">
        <v>1183764</v>
      </c>
      <c r="C8" s="39"/>
      <c r="D8" s="16"/>
      <c r="E8" s="16"/>
      <c r="F8" s="16"/>
      <c r="G8" s="16"/>
      <c r="H8" s="17" t="s">
        <v>38</v>
      </c>
      <c r="I8" s="164" t="s">
        <v>77</v>
      </c>
      <c r="J8" s="165"/>
    </row>
    <row r="9" spans="1:10" ht="16.5" thickBo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0" ht="16.5" thickTop="1" thickBot="1" x14ac:dyDescent="0.25">
      <c r="A10" s="50" t="s">
        <v>39</v>
      </c>
      <c r="B10" s="51" t="s">
        <v>40</v>
      </c>
      <c r="C10" s="51" t="s">
        <v>59</v>
      </c>
      <c r="D10" s="51" t="s">
        <v>41</v>
      </c>
      <c r="E10" s="52" t="s">
        <v>42</v>
      </c>
      <c r="F10" s="53" t="s">
        <v>43</v>
      </c>
      <c r="G10" s="53" t="s">
        <v>44</v>
      </c>
      <c r="H10" s="53" t="s">
        <v>30</v>
      </c>
      <c r="I10" s="54" t="s">
        <v>45</v>
      </c>
      <c r="J10" s="55" t="s">
        <v>10</v>
      </c>
    </row>
    <row r="11" spans="1:10" ht="15.75" thickTop="1" x14ac:dyDescent="0.2">
      <c r="A11" s="18" t="s">
        <v>79</v>
      </c>
      <c r="B11" s="121">
        <f>PKL.!D13</f>
        <v>61835339</v>
      </c>
      <c r="C11" s="19" t="s">
        <v>78</v>
      </c>
      <c r="D11" s="9" t="str">
        <f>+PKL.!E24</f>
        <v>WASHED BLACK</v>
      </c>
      <c r="E11" s="59">
        <v>570</v>
      </c>
      <c r="F11" s="59">
        <v>582</v>
      </c>
      <c r="G11" s="20">
        <f>F11-E11</f>
        <v>12</v>
      </c>
      <c r="H11" s="20">
        <v>0</v>
      </c>
      <c r="I11" s="21">
        <f>G11/E11</f>
        <v>2.1052631578947368E-2</v>
      </c>
      <c r="J11" s="22">
        <f>+PKL.!D40</f>
        <v>16</v>
      </c>
    </row>
    <row r="12" spans="1:10" ht="15.75" thickBot="1" x14ac:dyDescent="0.25">
      <c r="A12" s="56"/>
      <c r="B12" s="57"/>
      <c r="C12" s="57"/>
      <c r="D12" s="58" t="s">
        <v>23</v>
      </c>
      <c r="E12" s="58">
        <f>SUM(E11:E11)</f>
        <v>570</v>
      </c>
      <c r="F12" s="58">
        <f>SUM(F11:F11)</f>
        <v>582</v>
      </c>
      <c r="G12" s="58">
        <f>SUM(G11:G11)</f>
        <v>12</v>
      </c>
      <c r="H12" s="58">
        <f>SUM(H11:H11)</f>
        <v>0</v>
      </c>
      <c r="I12" s="60">
        <f>G12/E12</f>
        <v>2.1052631578947368E-2</v>
      </c>
      <c r="J12" s="58">
        <f>SUM(J11:J11)</f>
        <v>16</v>
      </c>
    </row>
    <row r="13" spans="1:10" ht="13.5" thickTop="1" x14ac:dyDescent="0.2">
      <c r="A13" s="12"/>
      <c r="B13" s="12"/>
      <c r="C13" s="12"/>
      <c r="D13" s="12"/>
      <c r="E13" s="12"/>
      <c r="F13" s="12"/>
      <c r="G13" s="12"/>
      <c r="H13" s="12"/>
      <c r="I13" s="3"/>
      <c r="J13" s="12"/>
    </row>
    <row r="14" spans="1:10" x14ac:dyDescent="0.2">
      <c r="A14" s="12"/>
      <c r="B14" s="12"/>
      <c r="C14" s="12"/>
      <c r="D14" s="12"/>
      <c r="E14" s="12"/>
      <c r="F14" s="12"/>
      <c r="G14" s="12"/>
      <c r="H14" s="12"/>
      <c r="I14" s="3"/>
      <c r="J14" s="12"/>
    </row>
    <row r="15" spans="1:10" x14ac:dyDescent="0.2">
      <c r="A15" s="12"/>
      <c r="B15" s="12"/>
      <c r="C15" s="12"/>
      <c r="D15" s="12"/>
      <c r="E15" s="12"/>
      <c r="F15" s="12"/>
      <c r="G15" s="12"/>
      <c r="H15" s="12"/>
      <c r="I15" s="3"/>
      <c r="J15" s="12"/>
    </row>
    <row r="16" spans="1:10" x14ac:dyDescent="0.2">
      <c r="A16" s="12"/>
      <c r="B16" s="12"/>
      <c r="C16" s="12"/>
      <c r="D16" s="12"/>
      <c r="E16" s="12"/>
      <c r="F16" s="12"/>
      <c r="G16" s="12"/>
      <c r="H16" s="12"/>
      <c r="I16" s="3"/>
      <c r="J16" s="12"/>
    </row>
    <row r="17" spans="1:10" ht="13.5" thickBot="1" x14ac:dyDescent="0.25">
      <c r="A17" s="12"/>
      <c r="B17" s="12"/>
      <c r="C17" s="12"/>
      <c r="D17" s="12"/>
      <c r="E17" s="12"/>
      <c r="F17" s="12"/>
      <c r="G17" s="12"/>
      <c r="H17" s="12"/>
      <c r="I17" s="3"/>
      <c r="J17" s="12"/>
    </row>
    <row r="18" spans="1:10" ht="14.25" thickTop="1" thickBot="1" x14ac:dyDescent="0.25">
      <c r="A18" s="12"/>
      <c r="B18" s="23" t="s">
        <v>46</v>
      </c>
      <c r="C18" s="40"/>
      <c r="D18" s="24" t="s">
        <v>31</v>
      </c>
      <c r="E18" s="24" t="s">
        <v>32</v>
      </c>
      <c r="F18" s="24" t="s">
        <v>22</v>
      </c>
      <c r="G18" s="170" t="s">
        <v>33</v>
      </c>
      <c r="H18" s="171"/>
      <c r="I18" s="172"/>
      <c r="J18" s="12"/>
    </row>
    <row r="19" spans="1:10" ht="13.5" thickTop="1" x14ac:dyDescent="0.2">
      <c r="A19" s="1"/>
      <c r="B19" s="25">
        <v>1</v>
      </c>
      <c r="C19" s="41"/>
      <c r="D19" s="9" t="s">
        <v>47</v>
      </c>
      <c r="E19" s="26"/>
      <c r="F19" s="26"/>
      <c r="G19" s="173"/>
      <c r="H19" s="174"/>
      <c r="I19" s="175"/>
      <c r="J19" s="12"/>
    </row>
    <row r="20" spans="1:10" x14ac:dyDescent="0.2">
      <c r="A20" s="1"/>
      <c r="B20" s="27">
        <v>2</v>
      </c>
      <c r="C20" s="37"/>
      <c r="D20" s="10" t="s">
        <v>48</v>
      </c>
      <c r="E20" s="11"/>
      <c r="F20" s="11"/>
      <c r="G20" s="176"/>
      <c r="H20" s="177"/>
      <c r="I20" s="178"/>
      <c r="J20" s="12"/>
    </row>
    <row r="21" spans="1:10" x14ac:dyDescent="0.2">
      <c r="A21" s="12"/>
      <c r="B21" s="27">
        <v>3</v>
      </c>
      <c r="C21" s="37"/>
      <c r="D21" s="10" t="s">
        <v>49</v>
      </c>
      <c r="E21" s="11"/>
      <c r="F21" s="11"/>
      <c r="G21" s="176"/>
      <c r="H21" s="177"/>
      <c r="I21" s="178"/>
      <c r="J21" s="12"/>
    </row>
    <row r="22" spans="1:10" x14ac:dyDescent="0.2">
      <c r="A22" s="12"/>
      <c r="B22" s="27">
        <v>4</v>
      </c>
      <c r="C22" s="37"/>
      <c r="D22" s="10" t="s">
        <v>50</v>
      </c>
      <c r="E22" s="11"/>
      <c r="F22" s="11"/>
      <c r="G22" s="176"/>
      <c r="H22" s="177"/>
      <c r="I22" s="178"/>
      <c r="J22" s="12"/>
    </row>
    <row r="23" spans="1:10" x14ac:dyDescent="0.2">
      <c r="A23" s="12"/>
      <c r="B23" s="27">
        <v>5</v>
      </c>
      <c r="C23" s="37"/>
      <c r="D23" s="10" t="s">
        <v>51</v>
      </c>
      <c r="E23" s="11"/>
      <c r="F23" s="11"/>
      <c r="G23" s="176"/>
      <c r="H23" s="177"/>
      <c r="I23" s="178"/>
      <c r="J23" s="12"/>
    </row>
    <row r="24" spans="1:10" x14ac:dyDescent="0.2">
      <c r="A24" s="12"/>
      <c r="B24" s="27">
        <v>6</v>
      </c>
      <c r="C24" s="37"/>
      <c r="D24" s="10" t="s">
        <v>52</v>
      </c>
      <c r="E24" s="11"/>
      <c r="F24" s="11"/>
      <c r="G24" s="34"/>
      <c r="H24" s="35"/>
      <c r="I24" s="36"/>
      <c r="J24" s="12"/>
    </row>
    <row r="25" spans="1:10" x14ac:dyDescent="0.2">
      <c r="A25" s="12"/>
      <c r="B25" s="27">
        <v>7</v>
      </c>
      <c r="C25" s="37"/>
      <c r="D25" s="10" t="s">
        <v>53</v>
      </c>
      <c r="E25" s="11"/>
      <c r="F25" s="11"/>
      <c r="G25" s="34"/>
      <c r="H25" s="35"/>
      <c r="I25" s="36"/>
      <c r="J25" s="12"/>
    </row>
    <row r="26" spans="1:10" x14ac:dyDescent="0.2">
      <c r="A26" s="12"/>
      <c r="B26" s="27">
        <v>8</v>
      </c>
      <c r="C26" s="37"/>
      <c r="D26" s="10" t="s">
        <v>54</v>
      </c>
      <c r="E26" s="71"/>
      <c r="F26" s="71"/>
      <c r="G26" s="68"/>
      <c r="H26" s="35"/>
      <c r="I26" s="36"/>
      <c r="J26" s="12"/>
    </row>
    <row r="27" spans="1:10" x14ac:dyDescent="0.2">
      <c r="A27" s="12"/>
      <c r="B27" s="27">
        <v>9</v>
      </c>
      <c r="C27" s="37"/>
      <c r="D27" s="10" t="s">
        <v>55</v>
      </c>
      <c r="E27" s="71"/>
      <c r="F27" s="71"/>
      <c r="G27" s="28"/>
      <c r="H27" s="35"/>
      <c r="I27" s="36"/>
      <c r="J27" s="12"/>
    </row>
    <row r="28" spans="1:10" x14ac:dyDescent="0.2">
      <c r="A28" s="12"/>
      <c r="B28" s="27">
        <v>10</v>
      </c>
      <c r="C28" s="37"/>
      <c r="D28" s="10" t="s">
        <v>56</v>
      </c>
      <c r="E28" s="71"/>
      <c r="F28" s="71"/>
      <c r="G28" s="28"/>
      <c r="H28" s="28"/>
      <c r="I28" s="29"/>
      <c r="J28" s="12"/>
    </row>
    <row r="29" spans="1:10" ht="13.5" thickBot="1" x14ac:dyDescent="0.25">
      <c r="A29" s="12"/>
      <c r="B29" s="30"/>
      <c r="C29" s="42"/>
      <c r="D29" s="31" t="s">
        <v>57</v>
      </c>
      <c r="E29" s="72"/>
      <c r="F29" s="72"/>
      <c r="G29" s="32"/>
      <c r="H29" s="32"/>
      <c r="I29" s="33"/>
      <c r="J29" s="12"/>
    </row>
    <row r="30" spans="1:10" ht="13.5" customHeight="1" thickTop="1" x14ac:dyDescent="0.2">
      <c r="A30" s="12"/>
      <c r="B30" s="12"/>
      <c r="C30" s="12"/>
      <c r="D30" s="1"/>
      <c r="E30" s="1"/>
      <c r="F30" s="1"/>
      <c r="G30" s="12"/>
      <c r="H30" s="12"/>
      <c r="I30" s="12"/>
      <c r="J30" s="12"/>
    </row>
    <row r="31" spans="1:10" x14ac:dyDescent="0.2">
      <c r="A31" s="12"/>
      <c r="B31" s="12"/>
      <c r="C31" s="12"/>
      <c r="D31" s="1"/>
      <c r="E31" s="1"/>
      <c r="F31" s="1"/>
      <c r="G31" s="12"/>
      <c r="H31" s="12"/>
      <c r="I31" s="12"/>
      <c r="J31" s="12"/>
    </row>
    <row r="32" spans="1:10" x14ac:dyDescent="0.2">
      <c r="A32" s="12"/>
      <c r="B32" s="12"/>
      <c r="C32" s="12"/>
      <c r="D32" s="1"/>
      <c r="E32" s="1"/>
      <c r="F32" s="1"/>
      <c r="G32" s="12"/>
      <c r="H32" s="12"/>
      <c r="I32" s="12"/>
      <c r="J32" s="12"/>
    </row>
    <row r="33" spans="1:10" x14ac:dyDescent="0.2">
      <c r="A33" s="12"/>
      <c r="B33" s="12"/>
      <c r="C33" s="12"/>
      <c r="D33" s="1"/>
      <c r="E33" s="1"/>
      <c r="F33" s="1"/>
      <c r="G33" s="12"/>
      <c r="H33" s="12"/>
      <c r="I33" s="12"/>
      <c r="J33" s="12"/>
    </row>
    <row r="34" spans="1:10" x14ac:dyDescent="0.2">
      <c r="A34" s="12"/>
      <c r="B34" s="12"/>
      <c r="C34" s="12"/>
      <c r="D34" s="1"/>
      <c r="E34" s="1"/>
      <c r="F34" s="1"/>
      <c r="G34" s="12"/>
      <c r="H34" s="12"/>
      <c r="I34" s="12"/>
      <c r="J34" s="12"/>
    </row>
    <row r="35" spans="1:10" x14ac:dyDescent="0.2">
      <c r="A35" s="12"/>
      <c r="B35" s="12"/>
      <c r="C35" s="12"/>
      <c r="D35" s="1"/>
      <c r="E35" s="1"/>
      <c r="F35" s="1"/>
      <c r="G35" s="12"/>
      <c r="H35" s="12"/>
      <c r="I35" s="12"/>
      <c r="J35" s="12"/>
    </row>
    <row r="36" spans="1:10" x14ac:dyDescent="0.2">
      <c r="A36" s="12"/>
      <c r="B36" s="12"/>
      <c r="C36" s="12"/>
      <c r="D36" s="1"/>
      <c r="E36" s="1"/>
      <c r="F36" s="1"/>
      <c r="G36" s="12"/>
      <c r="H36" s="12"/>
      <c r="I36" s="12"/>
      <c r="J36" s="12"/>
    </row>
    <row r="37" spans="1:10" x14ac:dyDescent="0.2">
      <c r="A37" s="12"/>
      <c r="B37" s="12"/>
      <c r="C37" s="12"/>
      <c r="D37" s="1"/>
      <c r="E37" s="1"/>
      <c r="F37" s="1"/>
      <c r="G37" s="12"/>
      <c r="H37" s="12"/>
      <c r="I37" s="12"/>
      <c r="J37" s="12"/>
    </row>
    <row r="38" spans="1:10" x14ac:dyDescent="0.2">
      <c r="A38" s="12"/>
      <c r="B38" s="12"/>
      <c r="C38" s="12"/>
      <c r="D38" s="1"/>
      <c r="E38" s="1"/>
      <c r="F38" s="1"/>
      <c r="G38" s="12"/>
      <c r="H38" s="12"/>
      <c r="I38" s="12"/>
      <c r="J38" s="12"/>
    </row>
    <row r="39" spans="1:10" x14ac:dyDescent="0.2">
      <c r="A39" s="12"/>
      <c r="B39" s="12"/>
      <c r="C39" s="12"/>
      <c r="D39" s="1"/>
      <c r="E39" s="1"/>
      <c r="F39" s="1"/>
      <c r="G39" s="12"/>
      <c r="H39" s="12"/>
      <c r="I39" s="12"/>
      <c r="J39" s="12"/>
    </row>
    <row r="40" spans="1:10" x14ac:dyDescent="0.2">
      <c r="A40" s="12"/>
      <c r="B40" s="12"/>
      <c r="C40" s="12"/>
      <c r="D40" s="1"/>
      <c r="E40" s="1"/>
      <c r="F40" s="1"/>
      <c r="G40" s="12"/>
      <c r="H40" s="12"/>
      <c r="I40" s="12"/>
      <c r="J40" s="12"/>
    </row>
    <row r="42" spans="1:10" s="1" customFormat="1" x14ac:dyDescent="0.2">
      <c r="A42" s="169" t="s">
        <v>61</v>
      </c>
      <c r="B42" s="169"/>
      <c r="C42" s="67"/>
      <c r="D42" s="70" t="s">
        <v>34</v>
      </c>
      <c r="E42" s="69"/>
      <c r="G42" s="67"/>
      <c r="H42" s="67"/>
      <c r="I42" s="70" t="s">
        <v>69</v>
      </c>
      <c r="J42" s="67"/>
    </row>
  </sheetData>
  <mergeCells count="11">
    <mergeCell ref="I8:J8"/>
    <mergeCell ref="A3:J3"/>
    <mergeCell ref="A4:J4"/>
    <mergeCell ref="A5:J5"/>
    <mergeCell ref="A42:B42"/>
    <mergeCell ref="G18:I18"/>
    <mergeCell ref="G19:I19"/>
    <mergeCell ref="G20:I20"/>
    <mergeCell ref="G21:I21"/>
    <mergeCell ref="G22:I22"/>
    <mergeCell ref="G23:I23"/>
  </mergeCells>
  <phoneticPr fontId="16" type="noConversion"/>
  <pageMargins left="0.49" right="0.27" top="0.34" bottom="0.24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2026-08-27T04:51:30Z</cp:lastPrinted>
  <dcterms:created xsi:type="dcterms:W3CDTF">2014-04-22T09:32:45Z</dcterms:created>
  <dcterms:modified xsi:type="dcterms:W3CDTF">2026-09-27T06:45:00Z</dcterms:modified>
</cp:coreProperties>
</file>