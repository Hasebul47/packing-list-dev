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KL." sheetId="1" state="visible" r:id="rId3"/>
    <sheet name="sum" sheetId="2" state="visible" r:id="rId4"/>
  </sheets>
  <definedNames>
    <definedName function="false" hidden="false" localSheetId="0" name="_xlnm.Print_Area" vbProcedure="false">'PKL.'!$A$1:$AH$60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<sst xmlns="http://schemas.openxmlformats.org/spreadsheetml/2006/main" count="174" uniqueCount="111">
  <si>
    <t xml:space="preserve">    CREATIVE COLLECTIONS LTD-2.</t>
  </si>
  <si>
    <t xml:space="preserve">Nishat Nagar , Tongi , Gazipur .</t>
  </si>
  <si>
    <t xml:space="preserve">PACKING LIST </t>
  </si>
  <si>
    <t xml:space="preserve">BULK PACK</t>
  </si>
  <si>
    <t xml:space="preserve">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</si>
  <si>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</si>
  <si>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</si>
  <si>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</si>
  <si>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</si>
  <si>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</si>
  <si>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</si>
  <si>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S/T</t>
  </si>
  <si>
    <t xml:space="preserve">M/T</t>
  </si>
  <si>
    <t xml:space="preserve">L/T</t>
  </si>
  <si>
    <t xml:space="preserve">XL/T</t>
  </si>
  <si>
    <t xml:space="preserve">XXL+</t>
  </si>
  <si>
    <t xml:space="preserve">XXL/T</t>
  </si>
  <si>
    <t xml:space="preserve">XXXL+</t>
  </si>
  <si>
    <t xml:space="preserve">XS/T</t>
  </si>
  <si>
    <t xml:space="preserve">XS/P</t>
  </si>
  <si>
    <t xml:space="preserve">S/P</t>
  </si>
  <si>
    <t xml:space="preserve">M/P</t>
  </si>
  <si>
    <t xml:space="preserve">L/P</t>
  </si>
  <si>
    <t xml:space="preserve">XL/P</t>
  </si>
  <si>
    <t xml:space="preserve">XXL/P</t>
  </si>
  <si>
    <t xml:space="preserve">XXXXL+</t>
  </si>
  <si>
    <t xml:space="preserve">N.W</t>
  </si>
  <si>
    <t xml:space="preserve">N.N.W</t>
  </si>
  <si>
    <t xml:space="preserve">EMPTY CTN WET</t>
  </si>
  <si>
    <t xml:space="preserve">1/0.75/0.45</t>
  </si>
  <si>
    <t xml:space="preserve">BUYER             : </t>
  </si>
  <si>
    <t xml:space="preserve">OLD NAVY</t>
  </si>
  <si>
    <t xml:space="preserve">STYLE             :</t>
  </si>
  <si>
    <t xml:space="preserve">1196178-00-2</t>
  </si>
  <si>
    <t xml:space="preserve">P. O. #             :</t>
  </si>
  <si>
    <t xml:space="preserve">DC CODE : </t>
  </si>
  <si>
    <t xml:space="preserve">OHO</t>
  </si>
  <si>
    <t xml:space="preserve">O/QTY              :</t>
  </si>
  <si>
    <t xml:space="preserve">PCS</t>
  </si>
  <si>
    <r>
      <rPr>
        <b val="true"/>
        <sz val="16"/>
        <rFont val="Arial"/>
        <family val="2"/>
        <charset val="1"/>
      </rPr>
      <t xml:space="preserve">PO </t>
    </r>
    <r>
      <rPr>
        <b val="true"/>
        <i val="true"/>
        <sz val="16"/>
        <rFont val="Arial"/>
        <family val="2"/>
        <charset val="1"/>
      </rPr>
      <t xml:space="preserve"># </t>
    </r>
  </si>
  <si>
    <t xml:space="preserve">SHIP QTY         :</t>
  </si>
  <si>
    <t xml:space="preserve">SKU / Item</t>
  </si>
  <si>
    <t xml:space="preserve">EX/SHORT       :</t>
  </si>
  <si>
    <t xml:space="preserve">Unit / Prepack     </t>
  </si>
  <si>
    <t xml:space="preserve">20/0</t>
  </si>
  <si>
    <t xml:space="preserve">CTN QTY          :</t>
  </si>
  <si>
    <t xml:space="preserve">CTNS</t>
  </si>
  <si>
    <t xml:space="preserve">CARTON </t>
  </si>
  <si>
    <t xml:space="preserve">01 of 37</t>
  </si>
  <si>
    <t xml:space="preserve">CTN MEAS.      :</t>
  </si>
  <si>
    <t xml:space="preserve">58.67 X 38.48 X 29.72 CM.G81</t>
  </si>
  <si>
    <t xml:space="preserve">58.67 X 38.48 X 14.86 CM.G82</t>
  </si>
  <si>
    <t xml:space="preserve">38.48 X 29.34 X 14.86 CM.G84</t>
  </si>
  <si>
    <t xml:space="preserve">29.34 X 19.25 X 14.86 CM.G85</t>
  </si>
  <si>
    <t xml:space="preserve">CTN</t>
  </si>
  <si>
    <t xml:space="preserve">CTN QTY</t>
  </si>
  <si>
    <t xml:space="preserve">COLOR</t>
  </si>
  <si>
    <t xml:space="preserve">BULK</t>
  </si>
  <si>
    <t xml:space="preserve">QTY PER CTN</t>
  </si>
  <si>
    <t xml:space="preserve">TOTAL QTY</t>
  </si>
  <si>
    <t xml:space="preserve">GROSS WEIGHT </t>
  </si>
  <si>
    <t xml:space="preserve">NET WEIGHT</t>
  </si>
  <si>
    <t xml:space="preserve">NO</t>
  </si>
  <si>
    <t xml:space="preserve">MES:</t>
  </si>
  <si>
    <t xml:space="preserve">G82</t>
  </si>
  <si>
    <t xml:space="preserve">RINSE-00-2</t>
  </si>
  <si>
    <t xml:space="preserve">G84</t>
  </si>
  <si>
    <t xml:space="preserve">G81</t>
  </si>
  <si>
    <t xml:space="preserve">G85</t>
  </si>
  <si>
    <t xml:space="preserve">MIXED</t>
  </si>
  <si>
    <t xml:space="preserve">TOTAL</t>
  </si>
  <si>
    <t xml:space="preserve">SUMMARY</t>
  </si>
  <si>
    <t xml:space="preserve">ORDER  QTY</t>
  </si>
  <si>
    <t xml:space="preserve">SHIP  QTY</t>
  </si>
  <si>
    <t xml:space="preserve">EX/SHORT</t>
  </si>
  <si>
    <t xml:space="preserve">%</t>
  </si>
  <si>
    <t xml:space="preserve">CREATIVE COLLECTIONS LIMITED (UNIT= 02)</t>
  </si>
  <si>
    <t xml:space="preserve">Nishatnagar,Tongi,Gazipur</t>
  </si>
  <si>
    <t xml:space="preserve">PACKING LIST SUMMARY</t>
  </si>
  <si>
    <t xml:space="preserve">BUYER</t>
  </si>
  <si>
    <t xml:space="preserve">STYLE</t>
  </si>
  <si>
    <t xml:space="preserve">DATE</t>
  </si>
  <si>
    <t xml:space="preserve">DC</t>
  </si>
  <si>
    <t xml:space="preserve">PO NO</t>
  </si>
  <si>
    <t xml:space="preserve">SEASON</t>
  </si>
  <si>
    <t xml:space="preserve">COLOR/CODE</t>
  </si>
  <si>
    <t xml:space="preserve">ORD/QTY</t>
  </si>
  <si>
    <t xml:space="preserve">SHIP/QTY</t>
  </si>
  <si>
    <t xml:space="preserve">EXCES</t>
  </si>
  <si>
    <t xml:space="preserve">SHORT</t>
  </si>
  <si>
    <t xml:space="preserve">PER (%)</t>
  </si>
  <si>
    <t xml:space="preserve">CAO</t>
  </si>
  <si>
    <t xml:space="preserve">Hol'26</t>
  </si>
  <si>
    <t xml:space="preserve">SERIAL NO</t>
  </si>
  <si>
    <t xml:space="preserve">PENDING ISSUE</t>
  </si>
  <si>
    <t xml:space="preserve">YES</t>
  </si>
  <si>
    <t xml:space="preserve">REMARKS</t>
  </si>
  <si>
    <t xml:space="preserve">%ISSUE</t>
  </si>
  <si>
    <t xml:space="preserve">GPT</t>
  </si>
  <si>
    <t xml:space="preserve">TOP</t>
  </si>
  <si>
    <t xml:space="preserve">SHADE BAND</t>
  </si>
  <si>
    <t xml:space="preserve">GTS/YTS</t>
  </si>
  <si>
    <t xml:space="preserve">UP DATE DC PO</t>
  </si>
  <si>
    <t xml:space="preserve">TRIM CARD</t>
  </si>
  <si>
    <t xml:space="preserve">FA CTN QTY</t>
  </si>
  <si>
    <t xml:space="preserve">CHECK QTY</t>
  </si>
  <si>
    <t xml:space="preserve">VSL DATE</t>
  </si>
  <si>
    <t xml:space="preserve">ITEM</t>
  </si>
  <si>
    <t xml:space="preserve">FA AUDITOR</t>
  </si>
  <si>
    <t xml:space="preserve">PACKING INCHARGE</t>
  </si>
  <si>
    <t xml:space="preserve">FINISHING MANAGER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</si>
</sst>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"/>
    <numFmt numFmtId="167" formatCode="General"/>
    <numFmt numFmtId="168" formatCode="m/d/yyyy"/>
    <numFmt numFmtId="169" formatCode="0.00%"/>
  </numFmts>
  <fonts count="2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8"/>
      <name val="Arial"/>
      <family val="2"/>
      <charset val="1"/>
    </font>
    <font>
      <b val="true"/>
      <sz val="16"/>
      <name val="Arial"/>
      <family val="2"/>
      <charset val="1"/>
    </font>
    <font>
      <b val="true"/>
      <u val="single"/>
      <sz val="16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8"/>
      <name val="Cambria"/>
      <family val="1"/>
      <charset val="1"/>
    </font>
    <font>
      <b val="true"/>
      <sz val="18"/>
      <name val="Calibri"/>
      <family val="2"/>
      <charset val="1"/>
    </font>
    <font>
      <sz val="16"/>
      <name val="Arial"/>
      <family val="2"/>
      <charset val="1"/>
    </font>
    <font>
      <b val="true"/>
      <i val="true"/>
      <sz val="16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5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4"/>
      <name val="Arial"/>
      <family val="2"/>
      <charset val="1"/>
    </font>
    <font>
      <b val="true"/>
      <sz val="20"/>
      <name val="Arial"/>
      <family val="2"/>
      <charset val="1"/>
    </font>
    <font>
      <b val="true"/>
      <u val="single"/>
      <sz val="12"/>
      <name val="Arial"/>
      <family val="2"/>
      <charset val="1"/>
    </font>
    <font>
      <b val="true"/>
      <sz val="14"/>
      <name val="Cambria"/>
      <family val="1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</fills>
  <borders count="6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/>
      <top style="medium"/>
      <bottom style="double"/>
      <diagonal/>
    </border>
    <border diagonalUp="false" diagonalDown="false">
      <left style="thin"/>
      <right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double"/>
      <top style="medium"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double"/>
      <top style="thin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0"/>
  <sheetViews>
    <sheetView showFormulas="false" showGridLines="true" showRowColHeaders="true" showZeros="true" rightToLeft="false" tabSelected="true" showOutlineSymbols="true" defaultGridColor="true" view="normal" topLeftCell="D1" colorId="64" zoomScale="70" zoomScaleNormal="70" zoomScalePageLayoutView="85" workbookViewId="0">
      <selection pane="topLeft" activeCell="I13" activeCellId="0" sqref="I13"/>
    </sheetView>
  </sheetViews>
  <sheetFormatPr defaultColWidth="9.1484375" defaultRowHeight="12.75" zeroHeight="false" outlineLevelRow="0" outlineLevelCol="0"/>
  <cols>
    <col collapsed="false" customWidth="true" hidden="false" outlineLevel="0" max="5" min="1" style="1" width="10.14"/>
    <col collapsed="false" customWidth="true" hidden="false" outlineLevel="0" max="6" min="6" style="1" width="19.27"/>
    <col collapsed="false" customWidth="true" hidden="false" outlineLevel="0" max="16" min="7" style="1" width="8.57"/>
    <col collapsed="false" customWidth="false" hidden="false" outlineLevel="0" max="17" min="17" style="1" width="9.14"/>
    <col collapsed="false" customWidth="true" hidden="false" outlineLevel="0" max="19" min="18" style="1" width="10.57"/>
    <col collapsed="false" customWidth="true" hidden="false" outlineLevel="0" max="25" min="20" style="1" width="8.57"/>
    <col collapsed="false" customWidth="true" hidden="false" outlineLevel="0" max="26" min="26" style="1" width="10.85"/>
    <col collapsed="false" customWidth="true" hidden="false" outlineLevel="0" max="27" min="27" style="1" width="13.42"/>
    <col collapsed="false" customWidth="true" hidden="false" outlineLevel="0" max="28" min="28" style="1" width="2.29"/>
    <col collapsed="false" customWidth="true" hidden="false" outlineLevel="0" max="29" min="29" style="1" width="2"/>
    <col collapsed="false" customWidth="true" hidden="false" outlineLevel="0" max="30" min="30" style="1" width="2.86"/>
    <col collapsed="false" customWidth="true" hidden="false" outlineLevel="0" max="31" min="31" style="1" width="5.57"/>
    <col collapsed="false" customWidth="true" hidden="false" outlineLevel="0" max="32" min="32" style="1" width="9.29"/>
    <col collapsed="false" customWidth="true" hidden="false" outlineLevel="0" max="33" min="33" style="1" width="8.15"/>
    <col collapsed="false" customWidth="true" hidden="false" outlineLevel="0" max="34" min="34" style="1" width="7.86"/>
    <col collapsed="false" customWidth="false" hidden="false" outlineLevel="0" max="16384" min="35" style="1" width="9.14"/>
  </cols>
  <sheetData>
    <row r="1" customFormat="false" ht="2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customFormat="false" ht="19.7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customFormat="false" ht="22.05" hidden="false" customHeight="false" outlineLevel="0" collapsed="false">
      <c r="A5" s="5"/>
      <c r="B5" s="5"/>
      <c r="C5" s="5"/>
      <c r="D5" s="5"/>
      <c r="E5" s="6" t="s">
        <v>4</v>
      </c>
      <c r="F5" s="6"/>
      <c r="G5" s="7" t="s">
        <v>5</v>
      </c>
      <c r="H5" s="7" t="s">
        <v>6</v>
      </c>
      <c r="I5" s="7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8" t="s">
        <v>17</v>
      </c>
      <c r="T5" s="9" t="s">
        <v>18</v>
      </c>
      <c r="U5" s="9" t="s">
        <v>19</v>
      </c>
      <c r="V5" s="9" t="s">
        <v>20</v>
      </c>
      <c r="W5" s="9" t="s">
        <v>21</v>
      </c>
      <c r="X5" s="9" t="s">
        <v>22</v>
      </c>
      <c r="Y5" s="9" t="s">
        <v>23</v>
      </c>
      <c r="Z5" s="10" t="s">
        <v>24</v>
      </c>
      <c r="AA5" s="9" t="s">
        <v>25</v>
      </c>
      <c r="AB5" s="5"/>
      <c r="AC5" s="5"/>
      <c r="AD5" s="5"/>
      <c r="AE5" s="5"/>
      <c r="AF5" s="5"/>
      <c r="AG5" s="5"/>
      <c r="AH5" s="5"/>
    </row>
    <row r="6" customFormat="false" ht="22.05" hidden="false" customHeight="false" outlineLevel="0" collapsed="false">
      <c r="A6" s="5"/>
      <c r="B6" s="5"/>
      <c r="C6" s="5"/>
      <c r="D6" s="5"/>
      <c r="E6" s="6" t="s">
        <v>26</v>
      </c>
      <c r="F6" s="6"/>
      <c r="G6" s="11" t="n">
        <v>0.27</v>
      </c>
      <c r="H6" s="11" t="n">
        <v>0.29</v>
      </c>
      <c r="I6" s="11" t="n">
        <v>0.31</v>
      </c>
      <c r="J6" s="11" t="n">
        <v>0.33</v>
      </c>
      <c r="K6" s="11" t="n">
        <v>0.35</v>
      </c>
      <c r="L6" s="11" t="n">
        <v>0.4</v>
      </c>
      <c r="M6" s="11" t="n">
        <v>0.32</v>
      </c>
      <c r="N6" s="11" t="n">
        <v>0.33</v>
      </c>
      <c r="O6" s="11" t="n">
        <v>0.36</v>
      </c>
      <c r="P6" s="11" t="n">
        <v>0.39</v>
      </c>
      <c r="Q6" s="11" t="n">
        <v>0.4</v>
      </c>
      <c r="R6" s="11" t="n">
        <v>0.43</v>
      </c>
      <c r="S6" s="12" t="n">
        <v>0.44</v>
      </c>
      <c r="T6" s="12" t="n">
        <v>0.31</v>
      </c>
      <c r="U6" s="12" t="n">
        <v>0.28</v>
      </c>
      <c r="V6" s="12" t="n">
        <v>0.29</v>
      </c>
      <c r="W6" s="12" t="n">
        <v>0.3</v>
      </c>
      <c r="X6" s="12" t="n">
        <v>0.33</v>
      </c>
      <c r="Y6" s="13" t="n">
        <v>0.35</v>
      </c>
      <c r="Z6" s="13" t="n">
        <v>0.39</v>
      </c>
      <c r="AA6" s="12" t="n">
        <v>0.48</v>
      </c>
      <c r="AB6" s="5"/>
      <c r="AC6" s="5"/>
      <c r="AD6" s="5"/>
      <c r="AE6" s="5"/>
      <c r="AF6" s="5"/>
      <c r="AG6" s="5"/>
      <c r="AH6" s="5"/>
    </row>
    <row r="7" customFormat="false" ht="22.05" hidden="false" customHeight="false" outlineLevel="0" collapsed="false">
      <c r="A7" s="5"/>
      <c r="B7" s="5"/>
      <c r="C7" s="5"/>
      <c r="D7" s="5"/>
      <c r="E7" s="6" t="s">
        <v>27</v>
      </c>
      <c r="F7" s="6"/>
      <c r="G7" s="11" t="n">
        <f aca="false">G6-0.01</f>
        <v>0.26</v>
      </c>
      <c r="H7" s="11" t="n">
        <f aca="false">H6-0.01</f>
        <v>0.28</v>
      </c>
      <c r="I7" s="11" t="n">
        <f aca="false">I6-0.01</f>
        <v>0.3</v>
      </c>
      <c r="J7" s="11" t="n">
        <f aca="false">J6-0.01</f>
        <v>0.32</v>
      </c>
      <c r="K7" s="11" t="n">
        <f aca="false">K6-0.01</f>
        <v>0.34</v>
      </c>
      <c r="L7" s="11" t="n">
        <f aca="false">L6-0.01</f>
        <v>0.39</v>
      </c>
      <c r="M7" s="11" t="n">
        <f aca="false">M6-0.01</f>
        <v>0.31</v>
      </c>
      <c r="N7" s="11" t="n">
        <f aca="false">N6-0.01</f>
        <v>0.32</v>
      </c>
      <c r="O7" s="11" t="n">
        <f aca="false">O6-0.01</f>
        <v>0.35</v>
      </c>
      <c r="P7" s="11" t="n">
        <f aca="false">P6-0.01</f>
        <v>0.38</v>
      </c>
      <c r="Q7" s="11" t="n">
        <f aca="false">Q6-0.01</f>
        <v>0.39</v>
      </c>
      <c r="R7" s="11" t="n">
        <f aca="false">R6-0.01</f>
        <v>0.42</v>
      </c>
      <c r="S7" s="11" t="n">
        <f aca="false">S6-0.01</f>
        <v>0.43</v>
      </c>
      <c r="T7" s="11" t="n">
        <f aca="false">T6-0.01</f>
        <v>0.3</v>
      </c>
      <c r="U7" s="11" t="n">
        <f aca="false">U6-0.01</f>
        <v>0.27</v>
      </c>
      <c r="V7" s="11" t="n">
        <f aca="false">V6-0.01</f>
        <v>0.28</v>
      </c>
      <c r="W7" s="11" t="n">
        <f aca="false">W6-0.01</f>
        <v>0.29</v>
      </c>
      <c r="X7" s="11" t="n">
        <f aca="false">X6-0.01</f>
        <v>0.32</v>
      </c>
      <c r="Y7" s="11" t="n">
        <f aca="false">Y6-0.01</f>
        <v>0.34</v>
      </c>
      <c r="Z7" s="11" t="n">
        <f aca="false">Z6-0.01</f>
        <v>0.38</v>
      </c>
      <c r="AA7" s="11" t="n">
        <f aca="false">AA6-0.01</f>
        <v>0.47</v>
      </c>
      <c r="AB7" s="5"/>
      <c r="AC7" s="5"/>
      <c r="AD7" s="5"/>
      <c r="AE7" s="5"/>
      <c r="AF7" s="5"/>
      <c r="AG7" s="5"/>
      <c r="AH7" s="5"/>
    </row>
    <row r="8" customFormat="false" ht="22.05" hidden="false" customHeight="false" outlineLevel="0" collapsed="false">
      <c r="A8" s="5"/>
      <c r="B8" s="5"/>
      <c r="C8" s="5"/>
      <c r="D8" s="5"/>
      <c r="E8" s="6" t="s">
        <v>28</v>
      </c>
      <c r="F8" s="6"/>
      <c r="G8" s="7" t="s">
        <v>29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5"/>
      <c r="AC8" s="5"/>
      <c r="AD8" s="5"/>
      <c r="AE8" s="5"/>
      <c r="AF8" s="5"/>
      <c r="AG8" s="5"/>
      <c r="AH8" s="5"/>
    </row>
    <row r="9" customFormat="false" ht="23.25" hidden="false" customHeight="true" outlineLevel="0" collapsed="false">
      <c r="A9" s="14" t="s">
        <v>30</v>
      </c>
      <c r="B9" s="14"/>
      <c r="C9" s="14"/>
      <c r="D9" s="14" t="s">
        <v>31</v>
      </c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customFormat="false" ht="23.25" hidden="false" customHeight="true" outlineLevel="0" collapsed="false">
      <c r="A10" s="14" t="s">
        <v>32</v>
      </c>
      <c r="B10" s="14"/>
      <c r="C10" s="14"/>
      <c r="D10" s="14" t="s">
        <v>33</v>
      </c>
      <c r="E10" s="14"/>
      <c r="F10" s="17"/>
      <c r="G10" s="17"/>
      <c r="H10" s="18"/>
      <c r="I10" s="17"/>
      <c r="J10" s="17"/>
      <c r="K10" s="17"/>
      <c r="L10" s="17"/>
      <c r="M10" s="17"/>
      <c r="N10" s="17"/>
      <c r="O10" s="17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7"/>
    </row>
    <row r="11" customFormat="false" ht="23.25" hidden="false" customHeight="true" outlineLevel="0" collapsed="false">
      <c r="A11" s="14" t="s">
        <v>34</v>
      </c>
      <c r="B11" s="14"/>
      <c r="C11" s="14"/>
      <c r="D11" s="20" t="n">
        <v>62219966</v>
      </c>
      <c r="E11" s="20"/>
      <c r="F11" s="17"/>
      <c r="G11" s="17"/>
      <c r="H11" s="21"/>
      <c r="I11" s="21"/>
      <c r="J11" s="21"/>
      <c r="K11" s="21"/>
      <c r="L11" s="21"/>
      <c r="M11" s="21"/>
      <c r="N11" s="21"/>
      <c r="O11" s="21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 t="s">
        <v>35</v>
      </c>
      <c r="AB11" s="17"/>
      <c r="AC11" s="17"/>
      <c r="AD11" s="17"/>
      <c r="AE11" s="17"/>
      <c r="AF11" s="22" t="s">
        <v>36</v>
      </c>
      <c r="AG11" s="22"/>
      <c r="AH11" s="17"/>
    </row>
    <row r="12" customFormat="false" ht="23.25" hidden="false" customHeight="true" outlineLevel="0" collapsed="false">
      <c r="A12" s="14" t="s">
        <v>37</v>
      </c>
      <c r="B12" s="14"/>
      <c r="C12" s="14"/>
      <c r="D12" s="14" t="n">
        <v>814</v>
      </c>
      <c r="E12" s="14" t="s">
        <v>38</v>
      </c>
      <c r="F12" s="17"/>
      <c r="G12" s="17"/>
      <c r="H12" s="21"/>
      <c r="I12" s="21"/>
      <c r="J12" s="21"/>
      <c r="K12" s="21"/>
      <c r="L12" s="21"/>
      <c r="M12" s="21"/>
      <c r="N12" s="21"/>
      <c r="O12" s="21"/>
      <c r="P12" s="21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 t="s">
        <v>39</v>
      </c>
      <c r="AB12" s="17"/>
      <c r="AC12" s="17"/>
      <c r="AD12" s="17"/>
      <c r="AE12" s="21"/>
      <c r="AF12" s="23" t="n">
        <f aca="false">D11</f>
        <v>62219966</v>
      </c>
      <c r="AG12" s="23"/>
      <c r="AH12" s="21"/>
    </row>
    <row r="13" customFormat="false" ht="23.25" hidden="false" customHeight="true" outlineLevel="0" collapsed="false">
      <c r="A13" s="14" t="s">
        <v>40</v>
      </c>
      <c r="B13" s="14"/>
      <c r="C13" s="14"/>
      <c r="D13" s="14" t="n">
        <f aca="false">AF53</f>
        <v>818</v>
      </c>
      <c r="E13" s="14" t="s">
        <v>38</v>
      </c>
      <c r="F13" s="17"/>
      <c r="G13" s="17"/>
      <c r="H13" s="21"/>
      <c r="I13" s="21"/>
      <c r="J13" s="21"/>
      <c r="K13" s="21"/>
      <c r="L13" s="21"/>
      <c r="M13" s="21"/>
      <c r="N13" s="21"/>
      <c r="O13" s="21"/>
      <c r="P13" s="21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 t="s">
        <v>41</v>
      </c>
      <c r="AB13" s="17"/>
      <c r="AC13" s="17"/>
      <c r="AD13" s="17"/>
      <c r="AE13" s="21"/>
      <c r="AF13" s="24" t="str">
        <f aca="false">+F22</f>
        <v>1196178-00-2</v>
      </c>
      <c r="AG13" s="24"/>
      <c r="AH13" s="25"/>
    </row>
    <row r="14" customFormat="false" ht="23.25" hidden="false" customHeight="true" outlineLevel="0" collapsed="false">
      <c r="A14" s="14" t="s">
        <v>42</v>
      </c>
      <c r="B14" s="14"/>
      <c r="C14" s="14"/>
      <c r="D14" s="14" t="n">
        <f aca="false">D13-D12</f>
        <v>4</v>
      </c>
      <c r="E14" s="14" t="s">
        <v>38</v>
      </c>
      <c r="F14" s="17"/>
      <c r="G14" s="17"/>
      <c r="H14" s="21"/>
      <c r="I14" s="21"/>
      <c r="J14" s="21"/>
      <c r="K14" s="21"/>
      <c r="L14" s="21"/>
      <c r="M14" s="21"/>
      <c r="N14" s="21"/>
      <c r="O14" s="21"/>
      <c r="P14" s="21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 t="s">
        <v>43</v>
      </c>
      <c r="AB14" s="17"/>
      <c r="AC14" s="17"/>
      <c r="AD14" s="17"/>
      <c r="AE14" s="21"/>
      <c r="AF14" s="26" t="s">
        <v>44</v>
      </c>
      <c r="AG14" s="26"/>
      <c r="AH14" s="25"/>
    </row>
    <row r="15" customFormat="false" ht="23.25" hidden="false" customHeight="true" outlineLevel="0" collapsed="false">
      <c r="A15" s="14" t="s">
        <v>45</v>
      </c>
      <c r="B15" s="14"/>
      <c r="C15" s="14"/>
      <c r="D15" s="14" t="n">
        <f aca="false">D53</f>
        <v>37</v>
      </c>
      <c r="E15" s="14" t="s">
        <v>46</v>
      </c>
      <c r="F15" s="17"/>
      <c r="G15" s="17"/>
      <c r="H15" s="21"/>
      <c r="I15" s="21"/>
      <c r="J15" s="21"/>
      <c r="K15" s="21"/>
      <c r="L15" s="21"/>
      <c r="M15" s="21"/>
      <c r="N15" s="21"/>
      <c r="O15" s="21"/>
      <c r="P15" s="21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 t="s">
        <v>47</v>
      </c>
      <c r="AB15" s="17"/>
      <c r="AC15" s="17"/>
      <c r="AD15" s="17"/>
      <c r="AE15" s="21"/>
      <c r="AF15" s="26" t="s">
        <v>48</v>
      </c>
      <c r="AG15" s="26"/>
      <c r="AH15" s="21"/>
    </row>
    <row r="16" customFormat="false" ht="23.25" hidden="false" customHeight="true" outlineLevel="0" collapsed="false">
      <c r="A16" s="14" t="s">
        <v>49</v>
      </c>
      <c r="B16" s="14"/>
      <c r="C16" s="14"/>
      <c r="D16" s="27" t="s">
        <v>50</v>
      </c>
      <c r="E16" s="27"/>
      <c r="F16" s="27"/>
      <c r="G16" s="17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customFormat="false" ht="23.25" hidden="false" customHeight="true" outlineLevel="0" collapsed="false">
      <c r="A17" s="14" t="s">
        <v>49</v>
      </c>
      <c r="B17" s="14"/>
      <c r="C17" s="14"/>
      <c r="D17" s="27" t="s">
        <v>51</v>
      </c>
      <c r="E17" s="27"/>
      <c r="F17" s="27"/>
      <c r="G17" s="17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customFormat="false" ht="23.25" hidden="false" customHeight="true" outlineLevel="0" collapsed="false">
      <c r="A18" s="14" t="s">
        <v>49</v>
      </c>
      <c r="B18" s="14"/>
      <c r="C18" s="14"/>
      <c r="D18" s="27" t="s">
        <v>52</v>
      </c>
      <c r="E18" s="27"/>
      <c r="F18" s="27"/>
      <c r="G18" s="17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customFormat="false" ht="23.25" hidden="false" customHeight="true" outlineLevel="0" collapsed="false">
      <c r="A19" s="14" t="s">
        <v>49</v>
      </c>
      <c r="B19" s="14"/>
      <c r="C19" s="14"/>
      <c r="D19" s="27" t="s">
        <v>53</v>
      </c>
      <c r="E19" s="27"/>
      <c r="F19" s="27"/>
      <c r="G19" s="17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customFormat="false" ht="24.75" hidden="false" customHeight="true" outlineLevel="0" collapsed="false">
      <c r="A20" s="28" t="s">
        <v>54</v>
      </c>
      <c r="B20" s="29"/>
      <c r="C20" s="30" t="s">
        <v>54</v>
      </c>
      <c r="D20" s="31" t="s">
        <v>55</v>
      </c>
      <c r="E20" s="31" t="s">
        <v>56</v>
      </c>
      <c r="F20" s="31" t="s">
        <v>57</v>
      </c>
      <c r="G20" s="32" t="s">
        <v>4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3" t="s">
        <v>58</v>
      </c>
      <c r="AF20" s="33" t="s">
        <v>59</v>
      </c>
      <c r="AG20" s="33" t="s">
        <v>60</v>
      </c>
      <c r="AH20" s="34" t="s">
        <v>61</v>
      </c>
    </row>
    <row r="21" customFormat="false" ht="24.75" hidden="false" customHeight="true" outlineLevel="0" collapsed="false">
      <c r="A21" s="35" t="s">
        <v>62</v>
      </c>
      <c r="B21" s="36"/>
      <c r="C21" s="37" t="s">
        <v>63</v>
      </c>
      <c r="D21" s="31"/>
      <c r="E21" s="31"/>
      <c r="F21" s="31"/>
      <c r="G21" s="38" t="s">
        <v>5</v>
      </c>
      <c r="H21" s="39" t="s">
        <v>6</v>
      </c>
      <c r="I21" s="39" t="s">
        <v>7</v>
      </c>
      <c r="J21" s="39" t="s">
        <v>8</v>
      </c>
      <c r="K21" s="39" t="s">
        <v>9</v>
      </c>
      <c r="L21" s="39" t="s">
        <v>10</v>
      </c>
      <c r="M21" s="39" t="s">
        <v>11</v>
      </c>
      <c r="N21" s="39" t="s">
        <v>12</v>
      </c>
      <c r="O21" s="39" t="s">
        <v>13</v>
      </c>
      <c r="P21" s="39" t="s">
        <v>14</v>
      </c>
      <c r="Q21" s="40" t="s">
        <v>15</v>
      </c>
      <c r="R21" s="40" t="s">
        <v>16</v>
      </c>
      <c r="S21" s="40" t="s">
        <v>17</v>
      </c>
      <c r="T21" s="41" t="s">
        <v>18</v>
      </c>
      <c r="U21" s="40" t="s">
        <v>19</v>
      </c>
      <c r="V21" s="40" t="s">
        <v>20</v>
      </c>
      <c r="W21" s="40" t="s">
        <v>21</v>
      </c>
      <c r="X21" s="40" t="s">
        <v>22</v>
      </c>
      <c r="Y21" s="40" t="s">
        <v>23</v>
      </c>
      <c r="Z21" s="40" t="s">
        <v>24</v>
      </c>
      <c r="AA21" s="42" t="s">
        <v>25</v>
      </c>
      <c r="AB21" s="43"/>
      <c r="AC21" s="43"/>
      <c r="AD21" s="43"/>
      <c r="AE21" s="33"/>
      <c r="AF21" s="33"/>
      <c r="AG21" s="33"/>
      <c r="AH21" s="34"/>
    </row>
    <row r="22" customFormat="false" ht="21" hidden="false" customHeight="true" outlineLevel="0" collapsed="false">
      <c r="A22" s="44" t="n">
        <v>1</v>
      </c>
      <c r="B22" s="45" t="n">
        <f aca="false">+D22</f>
        <v>1</v>
      </c>
      <c r="C22" s="46" t="s">
        <v>64</v>
      </c>
      <c r="D22" s="47" t="n">
        <v>1</v>
      </c>
      <c r="E22" s="48" t="s">
        <v>65</v>
      </c>
      <c r="F22" s="46" t="str">
        <f aca="false">+D10</f>
        <v>1196178-00-2</v>
      </c>
      <c r="G22" s="49" t="n">
        <v>25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 t="n">
        <f aca="false">SUM(G22:AD22)</f>
        <v>25</v>
      </c>
      <c r="AF22" s="49" t="n">
        <f aca="false">AE22*D22</f>
        <v>25</v>
      </c>
      <c r="AG22" s="50" t="n">
        <f aca="false">+G6*AE22+0.75</f>
        <v>7.5</v>
      </c>
      <c r="AH22" s="51" t="n">
        <f aca="false">AG22-0.75</f>
        <v>6.75</v>
      </c>
    </row>
    <row r="23" customFormat="false" ht="21" hidden="false" customHeight="true" outlineLevel="0" collapsed="false">
      <c r="A23" s="44" t="n">
        <f aca="false">+B22+1</f>
        <v>2</v>
      </c>
      <c r="B23" s="45" t="n">
        <f aca="false">+B22+D23</f>
        <v>2</v>
      </c>
      <c r="C23" s="46" t="s">
        <v>66</v>
      </c>
      <c r="D23" s="47" t="n">
        <v>1</v>
      </c>
      <c r="E23" s="48"/>
      <c r="F23" s="46"/>
      <c r="G23" s="52" t="n">
        <v>12</v>
      </c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3"/>
      <c r="T23" s="53"/>
      <c r="U23" s="53"/>
      <c r="V23" s="53"/>
      <c r="W23" s="53"/>
      <c r="X23" s="53"/>
      <c r="Y23" s="53"/>
      <c r="Z23" s="53"/>
      <c r="AA23" s="52"/>
      <c r="AB23" s="53"/>
      <c r="AC23" s="54"/>
      <c r="AD23" s="55"/>
      <c r="AE23" s="52" t="n">
        <f aca="false">SUM(G23:AD23)</f>
        <v>12</v>
      </c>
      <c r="AF23" s="52" t="n">
        <f aca="false">AE23*D23</f>
        <v>12</v>
      </c>
      <c r="AG23" s="56" t="n">
        <f aca="false">+G6*AE23+0.45</f>
        <v>3.69</v>
      </c>
      <c r="AH23" s="57" t="n">
        <f aca="false">AG23-0.45</f>
        <v>3.24</v>
      </c>
    </row>
    <row r="24" customFormat="false" ht="21" hidden="false" customHeight="true" outlineLevel="0" collapsed="false">
      <c r="A24" s="44" t="n">
        <f aca="false">+B23+1</f>
        <v>3</v>
      </c>
      <c r="B24" s="45" t="n">
        <f aca="false">+B23+D24</f>
        <v>4</v>
      </c>
      <c r="C24" s="46" t="s">
        <v>67</v>
      </c>
      <c r="D24" s="47" t="n">
        <v>2</v>
      </c>
      <c r="E24" s="48"/>
      <c r="F24" s="46"/>
      <c r="G24" s="52"/>
      <c r="H24" s="52" t="n">
        <v>55</v>
      </c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3"/>
      <c r="T24" s="53"/>
      <c r="U24" s="53"/>
      <c r="V24" s="53"/>
      <c r="W24" s="53"/>
      <c r="X24" s="53"/>
      <c r="Y24" s="53"/>
      <c r="Z24" s="53"/>
      <c r="AA24" s="52"/>
      <c r="AB24" s="58"/>
      <c r="AC24" s="59"/>
      <c r="AD24" s="60"/>
      <c r="AE24" s="61" t="n">
        <f aca="false">SUM(G24:AD24)</f>
        <v>55</v>
      </c>
      <c r="AF24" s="61" t="n">
        <f aca="false">AE24*D24</f>
        <v>110</v>
      </c>
      <c r="AG24" s="62" t="n">
        <f aca="false">+H6*AE24+1</f>
        <v>16.95</v>
      </c>
      <c r="AH24" s="57" t="n">
        <f aca="false">AG24-1</f>
        <v>15.95</v>
      </c>
    </row>
    <row r="25" customFormat="false" ht="21" hidden="false" customHeight="true" outlineLevel="0" collapsed="false">
      <c r="A25" s="44" t="n">
        <f aca="false">+B24+1</f>
        <v>5</v>
      </c>
      <c r="B25" s="45" t="n">
        <f aca="false">+B24+D25</f>
        <v>7</v>
      </c>
      <c r="C25" s="63" t="s">
        <v>67</v>
      </c>
      <c r="D25" s="47" t="n">
        <v>3</v>
      </c>
      <c r="E25" s="48"/>
      <c r="F25" s="52"/>
      <c r="G25" s="64"/>
      <c r="H25" s="64"/>
      <c r="I25" s="64" t="n">
        <v>50</v>
      </c>
      <c r="J25" s="64"/>
      <c r="K25" s="64"/>
      <c r="L25" s="64"/>
      <c r="M25" s="64"/>
      <c r="N25" s="64"/>
      <c r="O25" s="64"/>
      <c r="P25" s="64"/>
      <c r="Q25" s="64"/>
      <c r="R25" s="64"/>
      <c r="S25" s="65"/>
      <c r="T25" s="65"/>
      <c r="U25" s="65"/>
      <c r="V25" s="65"/>
      <c r="W25" s="65"/>
      <c r="X25" s="65"/>
      <c r="Y25" s="65"/>
      <c r="Z25" s="65"/>
      <c r="AA25" s="65"/>
      <c r="AB25" s="53"/>
      <c r="AC25" s="54"/>
      <c r="AD25" s="55"/>
      <c r="AE25" s="52" t="n">
        <f aca="false">SUM(G25:AD25)</f>
        <v>50</v>
      </c>
      <c r="AF25" s="64" t="n">
        <f aca="false">AE25*D25</f>
        <v>150</v>
      </c>
      <c r="AG25" s="56" t="n">
        <f aca="false">+I6*AE25+1</f>
        <v>16.5</v>
      </c>
      <c r="AH25" s="57" t="n">
        <f aca="false">AG25-1</f>
        <v>15.5</v>
      </c>
    </row>
    <row r="26" customFormat="false" ht="21" hidden="false" customHeight="true" outlineLevel="0" collapsed="false">
      <c r="A26" s="44" t="n">
        <f aca="false">+B25+1</f>
        <v>8</v>
      </c>
      <c r="B26" s="45" t="n">
        <f aca="false">+B25+D26</f>
        <v>8</v>
      </c>
      <c r="C26" s="63" t="s">
        <v>64</v>
      </c>
      <c r="D26" s="47" t="n">
        <v>1</v>
      </c>
      <c r="E26" s="48"/>
      <c r="F26" s="52"/>
      <c r="G26" s="64"/>
      <c r="H26" s="64"/>
      <c r="I26" s="64" t="n">
        <v>20</v>
      </c>
      <c r="J26" s="64"/>
      <c r="K26" s="64"/>
      <c r="L26" s="64"/>
      <c r="M26" s="64"/>
      <c r="N26" s="64"/>
      <c r="O26" s="64"/>
      <c r="P26" s="64"/>
      <c r="Q26" s="64"/>
      <c r="R26" s="64"/>
      <c r="S26" s="65"/>
      <c r="T26" s="65"/>
      <c r="U26" s="65"/>
      <c r="V26" s="65"/>
      <c r="W26" s="65"/>
      <c r="X26" s="65"/>
      <c r="Y26" s="65"/>
      <c r="Z26" s="65"/>
      <c r="AA26" s="65"/>
      <c r="AB26" s="53"/>
      <c r="AC26" s="54"/>
      <c r="AD26" s="55"/>
      <c r="AE26" s="52" t="n">
        <f aca="false">SUM(G26:AD26)</f>
        <v>20</v>
      </c>
      <c r="AF26" s="64" t="n">
        <f aca="false">AE26*D26</f>
        <v>20</v>
      </c>
      <c r="AG26" s="56" t="n">
        <f aca="false">+I6*AE26+0.45</f>
        <v>6.65</v>
      </c>
      <c r="AH26" s="57" t="n">
        <f aca="false">AG26-0.45</f>
        <v>6.2</v>
      </c>
    </row>
    <row r="27" customFormat="false" ht="21" hidden="false" customHeight="true" outlineLevel="0" collapsed="false">
      <c r="A27" s="44" t="n">
        <f aca="false">+B26+1</f>
        <v>9</v>
      </c>
      <c r="B27" s="45" t="n">
        <f aca="false">+B26+D27</f>
        <v>11</v>
      </c>
      <c r="C27" s="63" t="s">
        <v>67</v>
      </c>
      <c r="D27" s="47" t="n">
        <v>3</v>
      </c>
      <c r="E27" s="48"/>
      <c r="F27" s="52"/>
      <c r="G27" s="64"/>
      <c r="H27" s="64"/>
      <c r="I27" s="64"/>
      <c r="J27" s="64" t="n">
        <v>45</v>
      </c>
      <c r="K27" s="64"/>
      <c r="L27" s="64"/>
      <c r="M27" s="64"/>
      <c r="N27" s="64"/>
      <c r="O27" s="64"/>
      <c r="P27" s="64"/>
      <c r="Q27" s="64"/>
      <c r="R27" s="64"/>
      <c r="S27" s="65"/>
      <c r="T27" s="65"/>
      <c r="U27" s="65"/>
      <c r="V27" s="65"/>
      <c r="W27" s="65"/>
      <c r="X27" s="65"/>
      <c r="Y27" s="65"/>
      <c r="Z27" s="65"/>
      <c r="AA27" s="65"/>
      <c r="AB27" s="53"/>
      <c r="AC27" s="54"/>
      <c r="AD27" s="55"/>
      <c r="AE27" s="52" t="n">
        <f aca="false">SUM(G27:AD27)</f>
        <v>45</v>
      </c>
      <c r="AF27" s="64" t="n">
        <f aca="false">AE27*D27</f>
        <v>135</v>
      </c>
      <c r="AG27" s="56" t="n">
        <f aca="false">+J6*AE27+1</f>
        <v>15.85</v>
      </c>
      <c r="AH27" s="57" t="n">
        <f aca="false">AG27-1</f>
        <v>14.85</v>
      </c>
    </row>
    <row r="28" customFormat="false" ht="21" hidden="false" customHeight="true" outlineLevel="0" collapsed="false">
      <c r="A28" s="44" t="n">
        <f aca="false">+B27+1</f>
        <v>12</v>
      </c>
      <c r="B28" s="45" t="n">
        <f aca="false">+B27+D28</f>
        <v>12</v>
      </c>
      <c r="C28" s="63" t="s">
        <v>64</v>
      </c>
      <c r="D28" s="47" t="n">
        <v>1</v>
      </c>
      <c r="E28" s="48"/>
      <c r="F28" s="52"/>
      <c r="G28" s="64"/>
      <c r="H28" s="64"/>
      <c r="I28" s="64"/>
      <c r="J28" s="64" t="n">
        <v>20</v>
      </c>
      <c r="K28" s="64"/>
      <c r="L28" s="64"/>
      <c r="M28" s="64"/>
      <c r="N28" s="64"/>
      <c r="O28" s="64"/>
      <c r="P28" s="64"/>
      <c r="Q28" s="64"/>
      <c r="R28" s="64"/>
      <c r="S28" s="65"/>
      <c r="T28" s="65"/>
      <c r="U28" s="65"/>
      <c r="V28" s="65"/>
      <c r="W28" s="65"/>
      <c r="X28" s="65"/>
      <c r="Y28" s="65"/>
      <c r="Z28" s="65"/>
      <c r="AA28" s="65"/>
      <c r="AB28" s="53"/>
      <c r="AC28" s="54"/>
      <c r="AD28" s="55"/>
      <c r="AE28" s="52" t="n">
        <f aca="false">SUM(G28:AD28)</f>
        <v>20</v>
      </c>
      <c r="AF28" s="64" t="n">
        <f aca="false">AE28*D28</f>
        <v>20</v>
      </c>
      <c r="AG28" s="56" t="n">
        <f aca="false">+J6*AE28+0.75</f>
        <v>7.35</v>
      </c>
      <c r="AH28" s="57" t="n">
        <f aca="false">AG28-0.75</f>
        <v>6.6</v>
      </c>
    </row>
    <row r="29" customFormat="false" ht="21" hidden="false" customHeight="true" outlineLevel="0" collapsed="false">
      <c r="A29" s="44" t="n">
        <f aca="false">+B28+1</f>
        <v>13</v>
      </c>
      <c r="B29" s="45" t="n">
        <f aca="false">+B28+D29</f>
        <v>14</v>
      </c>
      <c r="C29" s="63" t="s">
        <v>67</v>
      </c>
      <c r="D29" s="47" t="n">
        <v>2</v>
      </c>
      <c r="E29" s="48"/>
      <c r="F29" s="52"/>
      <c r="G29" s="64"/>
      <c r="H29" s="64"/>
      <c r="I29" s="64"/>
      <c r="J29" s="64"/>
      <c r="K29" s="64" t="n">
        <v>44</v>
      </c>
      <c r="L29" s="64"/>
      <c r="M29" s="64"/>
      <c r="N29" s="64"/>
      <c r="O29" s="64"/>
      <c r="P29" s="64"/>
      <c r="Q29" s="64"/>
      <c r="R29" s="64"/>
      <c r="S29" s="65"/>
      <c r="T29" s="65"/>
      <c r="U29" s="65"/>
      <c r="V29" s="65"/>
      <c r="W29" s="65"/>
      <c r="X29" s="65"/>
      <c r="Y29" s="65"/>
      <c r="Z29" s="65"/>
      <c r="AA29" s="65"/>
      <c r="AB29" s="53"/>
      <c r="AC29" s="54"/>
      <c r="AD29" s="55"/>
      <c r="AE29" s="52" t="n">
        <f aca="false">SUM(G29:AD29)</f>
        <v>44</v>
      </c>
      <c r="AF29" s="64" t="n">
        <f aca="false">AE29*D29</f>
        <v>88</v>
      </c>
      <c r="AG29" s="56" t="n">
        <f aca="false">+K6*AE29+1</f>
        <v>16.4</v>
      </c>
      <c r="AH29" s="57" t="n">
        <f aca="false">AG29-1</f>
        <v>15.4</v>
      </c>
    </row>
    <row r="30" customFormat="false" ht="21" hidden="false" customHeight="true" outlineLevel="0" collapsed="false">
      <c r="A30" s="44" t="n">
        <f aca="false">+B29+1</f>
        <v>15</v>
      </c>
      <c r="B30" s="45" t="n">
        <f aca="false">+B29+D30</f>
        <v>15</v>
      </c>
      <c r="C30" s="63" t="s">
        <v>66</v>
      </c>
      <c r="D30" s="47" t="n">
        <v>1</v>
      </c>
      <c r="E30" s="48"/>
      <c r="F30" s="52"/>
      <c r="G30" s="64"/>
      <c r="H30" s="64"/>
      <c r="I30" s="64"/>
      <c r="J30" s="64"/>
      <c r="K30" s="64" t="n">
        <v>8</v>
      </c>
      <c r="L30" s="64"/>
      <c r="M30" s="64"/>
      <c r="N30" s="64"/>
      <c r="O30" s="64"/>
      <c r="P30" s="64"/>
      <c r="Q30" s="64"/>
      <c r="R30" s="64"/>
      <c r="S30" s="65"/>
      <c r="T30" s="65"/>
      <c r="U30" s="65"/>
      <c r="V30" s="65"/>
      <c r="W30" s="65"/>
      <c r="X30" s="65"/>
      <c r="Y30" s="65"/>
      <c r="Z30" s="65"/>
      <c r="AA30" s="65"/>
      <c r="AB30" s="53"/>
      <c r="AC30" s="54"/>
      <c r="AD30" s="55"/>
      <c r="AE30" s="52" t="n">
        <f aca="false">SUM(G30:AD30)</f>
        <v>8</v>
      </c>
      <c r="AF30" s="64" t="n">
        <f aca="false">AE30*D30</f>
        <v>8</v>
      </c>
      <c r="AG30" s="56" t="n">
        <f aca="false">+K6*AE30+0.45</f>
        <v>3.25</v>
      </c>
      <c r="AH30" s="57" t="n">
        <f aca="false">AG30-0.45</f>
        <v>2.8</v>
      </c>
    </row>
    <row r="31" customFormat="false" ht="21" hidden="false" customHeight="true" outlineLevel="0" collapsed="false">
      <c r="A31" s="44" t="n">
        <f aca="false">+B30+1</f>
        <v>16</v>
      </c>
      <c r="B31" s="45" t="n">
        <f aca="false">+B30+D31</f>
        <v>17</v>
      </c>
      <c r="C31" s="63" t="s">
        <v>64</v>
      </c>
      <c r="D31" s="47" t="n">
        <v>2</v>
      </c>
      <c r="E31" s="48"/>
      <c r="F31" s="52"/>
      <c r="G31" s="64"/>
      <c r="H31" s="64"/>
      <c r="I31" s="64"/>
      <c r="J31" s="64"/>
      <c r="K31" s="64"/>
      <c r="L31" s="64" t="n">
        <v>16</v>
      </c>
      <c r="M31" s="64"/>
      <c r="N31" s="64"/>
      <c r="O31" s="64"/>
      <c r="P31" s="64"/>
      <c r="Q31" s="64"/>
      <c r="R31" s="64"/>
      <c r="S31" s="65"/>
      <c r="T31" s="65"/>
      <c r="U31" s="65"/>
      <c r="V31" s="65"/>
      <c r="W31" s="65"/>
      <c r="X31" s="65"/>
      <c r="Y31" s="65"/>
      <c r="Z31" s="65"/>
      <c r="AA31" s="65"/>
      <c r="AB31" s="53"/>
      <c r="AC31" s="54"/>
      <c r="AD31" s="55"/>
      <c r="AE31" s="52" t="n">
        <f aca="false">SUM(G31:AD31)</f>
        <v>16</v>
      </c>
      <c r="AF31" s="64" t="n">
        <f aca="false">AE31*D31</f>
        <v>32</v>
      </c>
      <c r="AG31" s="56" t="n">
        <f aca="false">+L6*AE31+0.75</f>
        <v>7.15</v>
      </c>
      <c r="AH31" s="57" t="n">
        <f aca="false">AG31-0.75</f>
        <v>6.4</v>
      </c>
    </row>
    <row r="32" customFormat="false" ht="21" hidden="false" customHeight="true" outlineLevel="0" collapsed="false">
      <c r="A32" s="44" t="n">
        <f aca="false">+B31+1</f>
        <v>18</v>
      </c>
      <c r="B32" s="45" t="n">
        <f aca="false">+B31+D32</f>
        <v>18</v>
      </c>
      <c r="C32" s="63" t="s">
        <v>66</v>
      </c>
      <c r="D32" s="47" t="n">
        <v>1</v>
      </c>
      <c r="E32" s="48"/>
      <c r="F32" s="52"/>
      <c r="G32" s="64"/>
      <c r="H32" s="64"/>
      <c r="I32" s="64"/>
      <c r="J32" s="64"/>
      <c r="K32" s="64"/>
      <c r="L32" s="64"/>
      <c r="M32" s="64" t="n">
        <v>12</v>
      </c>
      <c r="N32" s="64"/>
      <c r="O32" s="64"/>
      <c r="P32" s="64"/>
      <c r="Q32" s="64"/>
      <c r="R32" s="64"/>
      <c r="S32" s="65"/>
      <c r="T32" s="65"/>
      <c r="U32" s="65"/>
      <c r="V32" s="65"/>
      <c r="W32" s="65"/>
      <c r="X32" s="65"/>
      <c r="Y32" s="65"/>
      <c r="Z32" s="65"/>
      <c r="AA32" s="65"/>
      <c r="AB32" s="53"/>
      <c r="AC32" s="54"/>
      <c r="AD32" s="55"/>
      <c r="AE32" s="52" t="n">
        <f aca="false">SUM(G32:AD32)</f>
        <v>12</v>
      </c>
      <c r="AF32" s="64" t="n">
        <f aca="false">AE32*D32</f>
        <v>12</v>
      </c>
      <c r="AG32" s="56" t="n">
        <f aca="false">+M6*AE32+0.45</f>
        <v>4.29</v>
      </c>
      <c r="AH32" s="57" t="n">
        <f aca="false">AG32-0.45</f>
        <v>3.84</v>
      </c>
    </row>
    <row r="33" customFormat="false" ht="21" hidden="false" customHeight="true" outlineLevel="0" collapsed="false">
      <c r="A33" s="44" t="n">
        <f aca="false">+B32+1</f>
        <v>19</v>
      </c>
      <c r="B33" s="45" t="n">
        <f aca="false">+B32+D33</f>
        <v>19</v>
      </c>
      <c r="C33" s="63" t="s">
        <v>64</v>
      </c>
      <c r="D33" s="47" t="n">
        <v>1</v>
      </c>
      <c r="E33" s="48"/>
      <c r="F33" s="52"/>
      <c r="G33" s="64"/>
      <c r="H33" s="64"/>
      <c r="I33" s="64"/>
      <c r="J33" s="64"/>
      <c r="K33" s="64"/>
      <c r="L33" s="64"/>
      <c r="M33" s="64"/>
      <c r="N33" s="64" t="n">
        <v>20</v>
      </c>
      <c r="O33" s="64"/>
      <c r="P33" s="64"/>
      <c r="Q33" s="64"/>
      <c r="R33" s="64"/>
      <c r="S33" s="65"/>
      <c r="T33" s="65"/>
      <c r="U33" s="65"/>
      <c r="V33" s="65"/>
      <c r="W33" s="65"/>
      <c r="X33" s="65"/>
      <c r="Y33" s="65"/>
      <c r="Z33" s="65"/>
      <c r="AA33" s="65"/>
      <c r="AB33" s="53"/>
      <c r="AC33" s="54"/>
      <c r="AD33" s="55"/>
      <c r="AE33" s="52" t="n">
        <f aca="false">SUM(G33:AD33)</f>
        <v>20</v>
      </c>
      <c r="AF33" s="64" t="n">
        <f aca="false">AE33*D33</f>
        <v>20</v>
      </c>
      <c r="AG33" s="56" t="n">
        <f aca="false">+N6*AE33+0.75</f>
        <v>7.35</v>
      </c>
      <c r="AH33" s="57" t="n">
        <f aca="false">AG33-0.75</f>
        <v>6.6</v>
      </c>
    </row>
    <row r="34" customFormat="false" ht="21" hidden="false" customHeight="true" outlineLevel="0" collapsed="false">
      <c r="A34" s="44" t="n">
        <f aca="false">+B33+1</f>
        <v>20</v>
      </c>
      <c r="B34" s="45" t="n">
        <f aca="false">+B33+D34</f>
        <v>20</v>
      </c>
      <c r="C34" s="63" t="s">
        <v>68</v>
      </c>
      <c r="D34" s="47" t="n">
        <v>1</v>
      </c>
      <c r="E34" s="48"/>
      <c r="F34" s="52"/>
      <c r="G34" s="64"/>
      <c r="H34" s="64"/>
      <c r="I34" s="64"/>
      <c r="J34" s="64"/>
      <c r="K34" s="64"/>
      <c r="L34" s="64"/>
      <c r="M34" s="64"/>
      <c r="N34" s="64" t="n">
        <v>5</v>
      </c>
      <c r="O34" s="64"/>
      <c r="P34" s="64"/>
      <c r="Q34" s="64"/>
      <c r="R34" s="64"/>
      <c r="S34" s="65"/>
      <c r="T34" s="65"/>
      <c r="U34" s="65"/>
      <c r="V34" s="65"/>
      <c r="W34" s="65"/>
      <c r="X34" s="65"/>
      <c r="Y34" s="65"/>
      <c r="Z34" s="65"/>
      <c r="AA34" s="65"/>
      <c r="AB34" s="53"/>
      <c r="AC34" s="54"/>
      <c r="AD34" s="55"/>
      <c r="AE34" s="52" t="n">
        <f aca="false">SUM(G34:AD34)</f>
        <v>5</v>
      </c>
      <c r="AF34" s="64" t="n">
        <f aca="false">AE34*D34</f>
        <v>5</v>
      </c>
      <c r="AG34" s="56" t="n">
        <f aca="false">+N7*AE34+0.75</f>
        <v>2.35</v>
      </c>
      <c r="AH34" s="57" t="n">
        <f aca="false">AG34-0.75</f>
        <v>1.6</v>
      </c>
    </row>
    <row r="35" customFormat="false" ht="21" hidden="false" customHeight="true" outlineLevel="0" collapsed="false">
      <c r="A35" s="44" t="n">
        <f aca="false">+B34+1</f>
        <v>21</v>
      </c>
      <c r="B35" s="45" t="n">
        <f aca="false">+B34+D35</f>
        <v>21</v>
      </c>
      <c r="C35" s="63" t="s">
        <v>64</v>
      </c>
      <c r="D35" s="47" t="n">
        <v>1</v>
      </c>
      <c r="E35" s="48"/>
      <c r="F35" s="52"/>
      <c r="G35" s="64"/>
      <c r="H35" s="64"/>
      <c r="I35" s="64"/>
      <c r="J35" s="64"/>
      <c r="K35" s="64"/>
      <c r="L35" s="64"/>
      <c r="M35" s="64"/>
      <c r="N35" s="64"/>
      <c r="O35" s="64" t="n">
        <v>20</v>
      </c>
      <c r="P35" s="64"/>
      <c r="Q35" s="64"/>
      <c r="R35" s="64"/>
      <c r="S35" s="65"/>
      <c r="T35" s="65"/>
      <c r="U35" s="65"/>
      <c r="V35" s="65"/>
      <c r="W35" s="65"/>
      <c r="X35" s="65"/>
      <c r="Y35" s="65"/>
      <c r="Z35" s="65"/>
      <c r="AA35" s="65"/>
      <c r="AB35" s="53"/>
      <c r="AC35" s="54"/>
      <c r="AD35" s="55"/>
      <c r="AE35" s="52" t="n">
        <f aca="false">SUM(G35:AD35)</f>
        <v>20</v>
      </c>
      <c r="AF35" s="64" t="n">
        <f aca="false">AE35*D35</f>
        <v>20</v>
      </c>
      <c r="AG35" s="56" t="n">
        <f aca="false">+O6*AE35+0.75</f>
        <v>7.95</v>
      </c>
      <c r="AH35" s="57" t="n">
        <f aca="false">AG35-0.75</f>
        <v>7.2</v>
      </c>
    </row>
    <row r="36" customFormat="false" ht="21" hidden="false" customHeight="true" outlineLevel="0" collapsed="false">
      <c r="A36" s="44" t="n">
        <f aca="false">+B35+1</f>
        <v>22</v>
      </c>
      <c r="B36" s="45" t="n">
        <f aca="false">+B35+D36</f>
        <v>22</v>
      </c>
      <c r="C36" s="63" t="s">
        <v>66</v>
      </c>
      <c r="D36" s="47" t="n">
        <v>1</v>
      </c>
      <c r="E36" s="48"/>
      <c r="F36" s="52"/>
      <c r="G36" s="64"/>
      <c r="H36" s="64"/>
      <c r="I36" s="64"/>
      <c r="J36" s="64"/>
      <c r="K36" s="64"/>
      <c r="L36" s="64"/>
      <c r="M36" s="64"/>
      <c r="N36" s="64"/>
      <c r="O36" s="64" t="n">
        <v>10</v>
      </c>
      <c r="P36" s="64"/>
      <c r="Q36" s="64"/>
      <c r="R36" s="64"/>
      <c r="S36" s="65"/>
      <c r="T36" s="65"/>
      <c r="U36" s="65"/>
      <c r="V36" s="65"/>
      <c r="W36" s="65"/>
      <c r="X36" s="65"/>
      <c r="Y36" s="65"/>
      <c r="Z36" s="65"/>
      <c r="AA36" s="65"/>
      <c r="AB36" s="53"/>
      <c r="AC36" s="54"/>
      <c r="AD36" s="55"/>
      <c r="AE36" s="52" t="n">
        <f aca="false">SUM(G36:AD36)</f>
        <v>10</v>
      </c>
      <c r="AF36" s="64" t="n">
        <f aca="false">AE36*D36</f>
        <v>10</v>
      </c>
      <c r="AG36" s="56" t="n">
        <f aca="false">+O6*AE36+0.45</f>
        <v>4.05</v>
      </c>
      <c r="AH36" s="57" t="n">
        <f aca="false">AG36-0.45</f>
        <v>3.6</v>
      </c>
    </row>
    <row r="37" customFormat="false" ht="21" hidden="false" customHeight="true" outlineLevel="0" collapsed="false">
      <c r="A37" s="44" t="n">
        <f aca="false">+B36+1</f>
        <v>23</v>
      </c>
      <c r="B37" s="45" t="n">
        <f aca="false">+B36+D37</f>
        <v>23</v>
      </c>
      <c r="C37" s="63" t="s">
        <v>64</v>
      </c>
      <c r="D37" s="47" t="n">
        <v>1</v>
      </c>
      <c r="E37" s="48"/>
      <c r="F37" s="52"/>
      <c r="G37" s="64"/>
      <c r="H37" s="64"/>
      <c r="I37" s="64"/>
      <c r="J37" s="64"/>
      <c r="K37" s="64"/>
      <c r="L37" s="64"/>
      <c r="M37" s="64"/>
      <c r="N37" s="64"/>
      <c r="O37" s="64"/>
      <c r="P37" s="64" t="n">
        <v>18</v>
      </c>
      <c r="Q37" s="64"/>
      <c r="R37" s="64"/>
      <c r="S37" s="65"/>
      <c r="T37" s="65"/>
      <c r="U37" s="65"/>
      <c r="V37" s="65"/>
      <c r="W37" s="65"/>
      <c r="X37" s="65"/>
      <c r="Y37" s="65"/>
      <c r="Z37" s="65"/>
      <c r="AA37" s="65"/>
      <c r="AB37" s="53"/>
      <c r="AC37" s="54"/>
      <c r="AD37" s="55"/>
      <c r="AE37" s="52" t="n">
        <f aca="false">SUM(G37:AD37)</f>
        <v>18</v>
      </c>
      <c r="AF37" s="64" t="n">
        <f aca="false">AE37*D37</f>
        <v>18</v>
      </c>
      <c r="AG37" s="56" t="n">
        <f aca="false">+P6*AE37+0.75</f>
        <v>7.77</v>
      </c>
      <c r="AH37" s="57" t="n">
        <f aca="false">AG37-0.75</f>
        <v>7.02</v>
      </c>
    </row>
    <row r="38" customFormat="false" ht="21" hidden="false" customHeight="true" outlineLevel="0" collapsed="false">
      <c r="A38" s="44" t="n">
        <f aca="false">+B37+1</f>
        <v>24</v>
      </c>
      <c r="B38" s="45" t="n">
        <f aca="false">+B37+D38</f>
        <v>24</v>
      </c>
      <c r="C38" s="63" t="s">
        <v>66</v>
      </c>
      <c r="D38" s="47" t="n">
        <v>1</v>
      </c>
      <c r="E38" s="48"/>
      <c r="F38" s="52"/>
      <c r="G38" s="64"/>
      <c r="H38" s="64"/>
      <c r="I38" s="64"/>
      <c r="J38" s="64"/>
      <c r="K38" s="64"/>
      <c r="L38" s="64"/>
      <c r="M38" s="64"/>
      <c r="N38" s="64"/>
      <c r="O38" s="64"/>
      <c r="P38" s="64" t="n">
        <v>8</v>
      </c>
      <c r="Q38" s="64"/>
      <c r="R38" s="64"/>
      <c r="S38" s="65"/>
      <c r="T38" s="65"/>
      <c r="U38" s="65"/>
      <c r="V38" s="65"/>
      <c r="W38" s="65"/>
      <c r="X38" s="65"/>
      <c r="Y38" s="65"/>
      <c r="Z38" s="65"/>
      <c r="AA38" s="65"/>
      <c r="AB38" s="53"/>
      <c r="AC38" s="54"/>
      <c r="AD38" s="55"/>
      <c r="AE38" s="52" t="n">
        <f aca="false">SUM(G38:AD38)</f>
        <v>8</v>
      </c>
      <c r="AF38" s="64" t="n">
        <f aca="false">AE38*D38</f>
        <v>8</v>
      </c>
      <c r="AG38" s="56" t="n">
        <f aca="false">+P6*AE38+0.45</f>
        <v>3.57</v>
      </c>
      <c r="AH38" s="57" t="n">
        <f aca="false">AG38-0.45</f>
        <v>3.12</v>
      </c>
    </row>
    <row r="39" customFormat="false" ht="21" hidden="false" customHeight="true" outlineLevel="0" collapsed="false">
      <c r="A39" s="44" t="n">
        <f aca="false">+B38+1</f>
        <v>25</v>
      </c>
      <c r="B39" s="45" t="n">
        <f aca="false">+B38+D39</f>
        <v>25</v>
      </c>
      <c r="C39" s="63" t="s">
        <v>64</v>
      </c>
      <c r="D39" s="47" t="n">
        <v>1</v>
      </c>
      <c r="E39" s="48"/>
      <c r="F39" s="52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 t="n">
        <v>16</v>
      </c>
      <c r="R39" s="64"/>
      <c r="S39" s="65"/>
      <c r="T39" s="65"/>
      <c r="U39" s="65"/>
      <c r="V39" s="65"/>
      <c r="W39" s="65"/>
      <c r="X39" s="65"/>
      <c r="Y39" s="65"/>
      <c r="Z39" s="65"/>
      <c r="AA39" s="65"/>
      <c r="AB39" s="53"/>
      <c r="AC39" s="54"/>
      <c r="AD39" s="55"/>
      <c r="AE39" s="52" t="n">
        <f aca="false">SUM(G39:AD39)</f>
        <v>16</v>
      </c>
      <c r="AF39" s="64" t="n">
        <f aca="false">AE39*D39</f>
        <v>16</v>
      </c>
      <c r="AG39" s="56" t="n">
        <f aca="false">+Q6*AE39+0.75</f>
        <v>7.15</v>
      </c>
      <c r="AH39" s="57" t="n">
        <f aca="false">AG39-0.75</f>
        <v>6.4</v>
      </c>
    </row>
    <row r="40" customFormat="false" ht="21" hidden="false" customHeight="true" outlineLevel="0" collapsed="false">
      <c r="A40" s="44" t="n">
        <f aca="false">+B39+1</f>
        <v>26</v>
      </c>
      <c r="B40" s="45" t="n">
        <f aca="false">+B39+D40</f>
        <v>26</v>
      </c>
      <c r="C40" s="63" t="s">
        <v>66</v>
      </c>
      <c r="D40" s="47" t="n">
        <v>1</v>
      </c>
      <c r="E40" s="48"/>
      <c r="F40" s="52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 t="n">
        <v>7</v>
      </c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53"/>
      <c r="AC40" s="54"/>
      <c r="AD40" s="55"/>
      <c r="AE40" s="52" t="n">
        <f aca="false">SUM(G40:AD40)</f>
        <v>7</v>
      </c>
      <c r="AF40" s="64" t="n">
        <f aca="false">AE40*D40</f>
        <v>7</v>
      </c>
      <c r="AG40" s="56" t="n">
        <f aca="false">+Q6*AE40+0.25</f>
        <v>3.05</v>
      </c>
      <c r="AH40" s="57" t="n">
        <f aca="false">AG40-0.25</f>
        <v>2.8</v>
      </c>
    </row>
    <row r="41" customFormat="false" ht="21" hidden="false" customHeight="true" outlineLevel="0" collapsed="false">
      <c r="A41" s="44" t="n">
        <f aca="false">+B40+1</f>
        <v>27</v>
      </c>
      <c r="B41" s="45" t="n">
        <f aca="false">+B40+D41</f>
        <v>27</v>
      </c>
      <c r="C41" s="63" t="s">
        <v>64</v>
      </c>
      <c r="D41" s="47" t="n">
        <v>1</v>
      </c>
      <c r="E41" s="48"/>
      <c r="F41" s="52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5" t="n">
        <v>13</v>
      </c>
      <c r="S41" s="65"/>
      <c r="T41" s="65"/>
      <c r="U41" s="65"/>
      <c r="V41" s="65"/>
      <c r="W41" s="65"/>
      <c r="X41" s="65"/>
      <c r="Y41" s="65"/>
      <c r="Z41" s="65"/>
      <c r="AA41" s="65"/>
      <c r="AB41" s="53"/>
      <c r="AC41" s="54"/>
      <c r="AD41" s="55"/>
      <c r="AE41" s="52" t="n">
        <f aca="false">SUM(G41:AD41)</f>
        <v>13</v>
      </c>
      <c r="AF41" s="64" t="n">
        <f aca="false">AE41*D41</f>
        <v>13</v>
      </c>
      <c r="AG41" s="56" t="n">
        <f aca="false">+R6*AE41+0.45</f>
        <v>6.04</v>
      </c>
      <c r="AH41" s="57" t="n">
        <f aca="false">AG41-0.45</f>
        <v>5.59</v>
      </c>
    </row>
    <row r="42" customFormat="false" ht="21" hidden="false" customHeight="true" outlineLevel="0" collapsed="false">
      <c r="A42" s="44" t="n">
        <f aca="false">+B41+1</f>
        <v>28</v>
      </c>
      <c r="B42" s="45" t="n">
        <f aca="false">+B41+D42</f>
        <v>28</v>
      </c>
      <c r="C42" s="63" t="s">
        <v>64</v>
      </c>
      <c r="D42" s="47" t="n">
        <v>1</v>
      </c>
      <c r="E42" s="48"/>
      <c r="F42" s="52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5"/>
      <c r="S42" s="65" t="n">
        <v>19</v>
      </c>
      <c r="T42" s="65"/>
      <c r="U42" s="65"/>
      <c r="V42" s="65"/>
      <c r="W42" s="65"/>
      <c r="X42" s="65"/>
      <c r="Y42" s="65"/>
      <c r="Z42" s="65"/>
      <c r="AA42" s="65"/>
      <c r="AB42" s="53"/>
      <c r="AC42" s="54"/>
      <c r="AD42" s="55"/>
      <c r="AE42" s="52" t="n">
        <f aca="false">SUM(G42:AD42)</f>
        <v>19</v>
      </c>
      <c r="AF42" s="64" t="n">
        <f aca="false">AE42*D42</f>
        <v>19</v>
      </c>
      <c r="AG42" s="56" t="n">
        <f aca="false">+S6*AE42+0.75</f>
        <v>9.11</v>
      </c>
      <c r="AH42" s="57" t="n">
        <f aca="false">AG42-0.75</f>
        <v>8.36</v>
      </c>
    </row>
    <row r="43" customFormat="false" ht="21" hidden="false" customHeight="true" outlineLevel="0" collapsed="false">
      <c r="A43" s="44" t="n">
        <f aca="false">+B42+1</f>
        <v>29</v>
      </c>
      <c r="B43" s="45" t="n">
        <f aca="false">+B42+D43</f>
        <v>29</v>
      </c>
      <c r="C43" s="63" t="s">
        <v>66</v>
      </c>
      <c r="D43" s="47" t="n">
        <v>1</v>
      </c>
      <c r="E43" s="48"/>
      <c r="F43" s="52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5"/>
      <c r="S43" s="65"/>
      <c r="T43" s="65"/>
      <c r="U43" s="65" t="n">
        <v>13</v>
      </c>
      <c r="V43" s="65"/>
      <c r="W43" s="65"/>
      <c r="X43" s="65"/>
      <c r="Y43" s="65"/>
      <c r="Z43" s="65"/>
      <c r="AA43" s="65"/>
      <c r="AB43" s="53"/>
      <c r="AC43" s="54"/>
      <c r="AD43" s="55"/>
      <c r="AE43" s="52" t="n">
        <f aca="false">SUM(G43:AD43)</f>
        <v>13</v>
      </c>
      <c r="AF43" s="64" t="n">
        <f aca="false">AE43*D43</f>
        <v>13</v>
      </c>
      <c r="AG43" s="56" t="n">
        <f aca="false">+U6*AE43+0.45</f>
        <v>4.09</v>
      </c>
      <c r="AH43" s="57" t="n">
        <f aca="false">AG43-0.45</f>
        <v>3.64</v>
      </c>
    </row>
    <row r="44" customFormat="false" ht="21" hidden="false" customHeight="true" outlineLevel="0" collapsed="false">
      <c r="A44" s="44" t="n">
        <f aca="false">+B43+1</f>
        <v>30</v>
      </c>
      <c r="B44" s="45" t="n">
        <f aca="false">+B43+D44</f>
        <v>30</v>
      </c>
      <c r="C44" s="63" t="s">
        <v>66</v>
      </c>
      <c r="D44" s="47" t="n">
        <v>1</v>
      </c>
      <c r="E44" s="48"/>
      <c r="F44" s="52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5"/>
      <c r="S44" s="65"/>
      <c r="T44" s="65"/>
      <c r="U44" s="65"/>
      <c r="V44" s="65" t="n">
        <v>10</v>
      </c>
      <c r="W44" s="65"/>
      <c r="X44" s="65"/>
      <c r="Y44" s="65"/>
      <c r="Z44" s="65"/>
      <c r="AA44" s="65"/>
      <c r="AB44" s="53"/>
      <c r="AC44" s="54"/>
      <c r="AD44" s="55"/>
      <c r="AE44" s="52" t="n">
        <f aca="false">SUM(G44:AD44)</f>
        <v>10</v>
      </c>
      <c r="AF44" s="64" t="n">
        <f aca="false">AE44*D44</f>
        <v>10</v>
      </c>
      <c r="AG44" s="56" t="n">
        <f aca="false">+V6*AE44+0.45</f>
        <v>3.35</v>
      </c>
      <c r="AH44" s="57" t="n">
        <f aca="false">AG44-0.45</f>
        <v>2.9</v>
      </c>
    </row>
    <row r="45" customFormat="false" ht="21" hidden="false" customHeight="true" outlineLevel="0" collapsed="false">
      <c r="A45" s="44" t="n">
        <f aca="false">+B44+1</f>
        <v>31</v>
      </c>
      <c r="B45" s="45" t="n">
        <f aca="false">+B44+D45</f>
        <v>31</v>
      </c>
      <c r="C45" s="63" t="s">
        <v>68</v>
      </c>
      <c r="D45" s="47" t="n">
        <v>1</v>
      </c>
      <c r="E45" s="48"/>
      <c r="F45" s="52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5"/>
      <c r="S45" s="65"/>
      <c r="T45" s="65"/>
      <c r="U45" s="65"/>
      <c r="V45" s="65" t="n">
        <v>5</v>
      </c>
      <c r="W45" s="65"/>
      <c r="X45" s="65"/>
      <c r="Y45" s="65"/>
      <c r="Z45" s="65"/>
      <c r="AA45" s="65"/>
      <c r="AB45" s="53"/>
      <c r="AC45" s="54"/>
      <c r="AD45" s="55"/>
      <c r="AE45" s="52" t="n">
        <f aca="false">SUM(G45:AD45)</f>
        <v>5</v>
      </c>
      <c r="AF45" s="64" t="n">
        <f aca="false">AE45*D45</f>
        <v>5</v>
      </c>
      <c r="AG45" s="56" t="n">
        <f aca="false">+V6*AE45+0.25</f>
        <v>1.7</v>
      </c>
      <c r="AH45" s="57" t="n">
        <f aca="false">AG45-0.25</f>
        <v>1.45</v>
      </c>
    </row>
    <row r="46" customFormat="false" ht="21" hidden="false" customHeight="true" outlineLevel="0" collapsed="false">
      <c r="A46" s="44" t="n">
        <f aca="false">+B45+1</f>
        <v>32</v>
      </c>
      <c r="B46" s="45" t="n">
        <f aca="false">+B45+D46</f>
        <v>32</v>
      </c>
      <c r="C46" s="63" t="s">
        <v>66</v>
      </c>
      <c r="D46" s="47" t="n">
        <v>1</v>
      </c>
      <c r="E46" s="48"/>
      <c r="F46" s="52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5"/>
      <c r="S46" s="65"/>
      <c r="T46" s="65"/>
      <c r="U46" s="65"/>
      <c r="V46" s="65"/>
      <c r="W46" s="65" t="n">
        <v>10</v>
      </c>
      <c r="X46" s="65"/>
      <c r="Y46" s="65"/>
      <c r="Z46" s="65"/>
      <c r="AA46" s="65"/>
      <c r="AB46" s="53"/>
      <c r="AC46" s="54"/>
      <c r="AD46" s="55"/>
      <c r="AE46" s="52" t="n">
        <f aca="false">SUM(G46:AD46)</f>
        <v>10</v>
      </c>
      <c r="AF46" s="64" t="n">
        <f aca="false">AE46*D46</f>
        <v>10</v>
      </c>
      <c r="AG46" s="56" t="n">
        <f aca="false">+W6*AE46+0.45</f>
        <v>3.45</v>
      </c>
      <c r="AH46" s="57" t="n">
        <f aca="false">AG46-0.45</f>
        <v>3</v>
      </c>
    </row>
    <row r="47" customFormat="false" ht="21" hidden="false" customHeight="true" outlineLevel="0" collapsed="false">
      <c r="A47" s="44" t="n">
        <f aca="false">+B46+1</f>
        <v>33</v>
      </c>
      <c r="B47" s="45" t="n">
        <f aca="false">+B46+D47</f>
        <v>33</v>
      </c>
      <c r="C47" s="63" t="s">
        <v>68</v>
      </c>
      <c r="D47" s="47" t="n">
        <v>1</v>
      </c>
      <c r="E47" s="48"/>
      <c r="F47" s="52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5"/>
      <c r="S47" s="65"/>
      <c r="T47" s="65"/>
      <c r="U47" s="65"/>
      <c r="V47" s="65"/>
      <c r="W47" s="65" t="n">
        <v>4</v>
      </c>
      <c r="X47" s="65"/>
      <c r="Y47" s="65"/>
      <c r="Z47" s="65"/>
      <c r="AA47" s="65"/>
      <c r="AB47" s="53"/>
      <c r="AC47" s="54"/>
      <c r="AD47" s="55"/>
      <c r="AE47" s="52" t="n">
        <f aca="false">SUM(G47:AD47)</f>
        <v>4</v>
      </c>
      <c r="AF47" s="64" t="n">
        <f aca="false">AE47*D47</f>
        <v>4</v>
      </c>
      <c r="AG47" s="56" t="n">
        <f aca="false">+W6*AE47+0.25</f>
        <v>1.45</v>
      </c>
      <c r="AH47" s="57" t="n">
        <f aca="false">AG47-0.25</f>
        <v>1.2</v>
      </c>
    </row>
    <row r="48" customFormat="false" ht="21" hidden="false" customHeight="true" outlineLevel="0" collapsed="false">
      <c r="A48" s="44" t="n">
        <f aca="false">+B47+1</f>
        <v>34</v>
      </c>
      <c r="B48" s="45" t="n">
        <f aca="false">+B47+D48</f>
        <v>34</v>
      </c>
      <c r="C48" s="63" t="s">
        <v>66</v>
      </c>
      <c r="D48" s="47" t="n">
        <v>1</v>
      </c>
      <c r="E48" s="48"/>
      <c r="F48" s="52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5"/>
      <c r="S48" s="65"/>
      <c r="T48" s="65"/>
      <c r="U48" s="65"/>
      <c r="V48" s="65"/>
      <c r="W48" s="65"/>
      <c r="X48" s="65" t="n">
        <v>11</v>
      </c>
      <c r="Y48" s="65"/>
      <c r="Z48" s="65"/>
      <c r="AA48" s="65"/>
      <c r="AB48" s="53"/>
      <c r="AC48" s="54"/>
      <c r="AD48" s="55"/>
      <c r="AE48" s="52" t="n">
        <f aca="false">SUM(G48:AD48)</f>
        <v>11</v>
      </c>
      <c r="AF48" s="64" t="n">
        <f aca="false">AE48*D48</f>
        <v>11</v>
      </c>
      <c r="AG48" s="56" t="n">
        <f aca="false">+X6*AE48+0.45</f>
        <v>4.08</v>
      </c>
      <c r="AH48" s="57" t="n">
        <f aca="false">AG48-0.45</f>
        <v>3.63</v>
      </c>
    </row>
    <row r="49" customFormat="false" ht="21" hidden="false" customHeight="true" outlineLevel="0" collapsed="false">
      <c r="A49" s="44" t="n">
        <f aca="false">+B48+1</f>
        <v>35</v>
      </c>
      <c r="B49" s="45" t="n">
        <f aca="false">+B48+D49</f>
        <v>35</v>
      </c>
      <c r="C49" s="63" t="s">
        <v>68</v>
      </c>
      <c r="D49" s="47" t="n">
        <v>1</v>
      </c>
      <c r="E49" s="48"/>
      <c r="F49" s="52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5"/>
      <c r="S49" s="65"/>
      <c r="T49" s="65"/>
      <c r="U49" s="65"/>
      <c r="V49" s="65"/>
      <c r="W49" s="65"/>
      <c r="X49" s="65"/>
      <c r="Y49" s="65" t="n">
        <v>5</v>
      </c>
      <c r="Z49" s="65"/>
      <c r="AA49" s="65"/>
      <c r="AB49" s="53"/>
      <c r="AC49" s="54"/>
      <c r="AD49" s="55"/>
      <c r="AE49" s="52" t="n">
        <f aca="false">SUM(G49:AD49)</f>
        <v>5</v>
      </c>
      <c r="AF49" s="64" t="n">
        <f aca="false">AE49*D49</f>
        <v>5</v>
      </c>
      <c r="AG49" s="56" t="n">
        <f aca="false">+Y6*AE49+0.25</f>
        <v>2</v>
      </c>
      <c r="AH49" s="57" t="n">
        <f aca="false">AG49-0.25</f>
        <v>1.75</v>
      </c>
    </row>
    <row r="50" customFormat="false" ht="21" hidden="false" customHeight="true" outlineLevel="0" collapsed="false">
      <c r="A50" s="44" t="n">
        <f aca="false">+B49+1</f>
        <v>36</v>
      </c>
      <c r="B50" s="45" t="n">
        <f aca="false">+B49+D50</f>
        <v>36</v>
      </c>
      <c r="C50" s="63" t="s">
        <v>66</v>
      </c>
      <c r="D50" s="47" t="n">
        <v>1</v>
      </c>
      <c r="E50" s="48"/>
      <c r="F50" s="52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5"/>
      <c r="S50" s="65"/>
      <c r="T50" s="65"/>
      <c r="U50" s="65"/>
      <c r="V50" s="65"/>
      <c r="W50" s="65"/>
      <c r="X50" s="65"/>
      <c r="Y50" s="65"/>
      <c r="Z50" s="65"/>
      <c r="AA50" s="65" t="n">
        <v>8</v>
      </c>
      <c r="AB50" s="53"/>
      <c r="AC50" s="54"/>
      <c r="AD50" s="55"/>
      <c r="AE50" s="52" t="n">
        <f aca="false">SUM(G50:AD50)</f>
        <v>8</v>
      </c>
      <c r="AF50" s="64" t="n">
        <f aca="false">AE50*D50</f>
        <v>8</v>
      </c>
      <c r="AG50" s="56" t="n">
        <f aca="false">+AA6*AE50+0.45</f>
        <v>4.29</v>
      </c>
      <c r="AH50" s="57" t="n">
        <f aca="false">AG50-0.45</f>
        <v>3.84</v>
      </c>
    </row>
    <row r="51" customFormat="false" ht="21" hidden="false" customHeight="true" outlineLevel="0" collapsed="false">
      <c r="A51" s="44" t="n">
        <f aca="false">+B50+1</f>
        <v>37</v>
      </c>
      <c r="B51" s="45" t="n">
        <f aca="false">+B50+D51</f>
        <v>37</v>
      </c>
      <c r="C51" s="63" t="s">
        <v>68</v>
      </c>
      <c r="D51" s="47" t="n">
        <v>1</v>
      </c>
      <c r="E51" s="48"/>
      <c r="F51" s="66" t="s">
        <v>69</v>
      </c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 t="n">
        <v>3</v>
      </c>
      <c r="U51" s="67"/>
      <c r="V51" s="67"/>
      <c r="W51" s="67"/>
      <c r="X51" s="67"/>
      <c r="Y51" s="67"/>
      <c r="Z51" s="67" t="n">
        <v>1</v>
      </c>
      <c r="AA51" s="67"/>
      <c r="AB51" s="53"/>
      <c r="AC51" s="54"/>
      <c r="AD51" s="55"/>
      <c r="AE51" s="52" t="n">
        <f aca="false">SUM(G51:AD51)</f>
        <v>4</v>
      </c>
      <c r="AF51" s="52" t="n">
        <f aca="false">AE51*D51</f>
        <v>4</v>
      </c>
      <c r="AG51" s="56" t="n">
        <f aca="false">+Z6*AE51+0.25</f>
        <v>1.81</v>
      </c>
      <c r="AH51" s="57" t="n">
        <f aca="false">AG51-0.25</f>
        <v>1.56</v>
      </c>
    </row>
    <row r="52" customFormat="false" ht="24.75" hidden="false" customHeight="true" outlineLevel="0" collapsed="false">
      <c r="A52" s="68"/>
      <c r="B52" s="69"/>
      <c r="C52" s="70"/>
      <c r="D52" s="71"/>
      <c r="E52" s="72"/>
      <c r="F52" s="73"/>
      <c r="G52" s="74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7"/>
      <c r="AC52" s="78"/>
      <c r="AD52" s="79"/>
      <c r="AE52" s="75"/>
      <c r="AF52" s="75"/>
      <c r="AG52" s="80"/>
      <c r="AH52" s="81"/>
    </row>
    <row r="53" customFormat="false" ht="16.5" hidden="false" customHeight="true" outlineLevel="0" collapsed="false">
      <c r="A53" s="82" t="s">
        <v>70</v>
      </c>
      <c r="B53" s="82"/>
      <c r="C53" s="82"/>
      <c r="D53" s="83" t="n">
        <f aca="false">SUM(D22:D52)</f>
        <v>37</v>
      </c>
      <c r="E53" s="84" t="s">
        <v>46</v>
      </c>
      <c r="F53" s="85"/>
      <c r="G53" s="83" t="n">
        <f aca="false">+AF22+AF23</f>
        <v>37</v>
      </c>
      <c r="H53" s="86" t="n">
        <f aca="false">+AF24</f>
        <v>110</v>
      </c>
      <c r="I53" s="87" t="n">
        <f aca="false">+I51+AF25+AF26</f>
        <v>170</v>
      </c>
      <c r="J53" s="87" t="n">
        <f aca="false">+J51+AF27+AF28</f>
        <v>155</v>
      </c>
      <c r="K53" s="87" t="n">
        <f aca="false">+AF29+K51+AF30</f>
        <v>96</v>
      </c>
      <c r="L53" s="87" t="n">
        <f aca="false">AF31+L51</f>
        <v>32</v>
      </c>
      <c r="M53" s="87" t="n">
        <f aca="false">+AF32+M51</f>
        <v>12</v>
      </c>
      <c r="N53" s="87" t="n">
        <f aca="false">+N51+AF33+AF34</f>
        <v>25</v>
      </c>
      <c r="O53" s="87" t="n">
        <f aca="false">+AF35+O51+AF36</f>
        <v>30</v>
      </c>
      <c r="P53" s="87" t="n">
        <f aca="false">+P51+AF37+AF38</f>
        <v>26</v>
      </c>
      <c r="Q53" s="87" t="n">
        <f aca="false">+AF39+AF40</f>
        <v>23</v>
      </c>
      <c r="R53" s="88" t="n">
        <f aca="false">+AF41</f>
        <v>13</v>
      </c>
      <c r="S53" s="88" t="n">
        <f aca="false">+AF42</f>
        <v>19</v>
      </c>
      <c r="T53" s="88" t="n">
        <f aca="false">+T51</f>
        <v>3</v>
      </c>
      <c r="U53" s="88" t="n">
        <f aca="false">+AF43</f>
        <v>13</v>
      </c>
      <c r="V53" s="88" t="n">
        <f aca="false">+V51+AF44+AF45</f>
        <v>15</v>
      </c>
      <c r="W53" s="88" t="n">
        <f aca="false">+AF46+AF47+W51</f>
        <v>14</v>
      </c>
      <c r="X53" s="88" t="n">
        <f aca="false">+X51+AF48</f>
        <v>11</v>
      </c>
      <c r="Y53" s="88" t="n">
        <f aca="false">+AF49</f>
        <v>5</v>
      </c>
      <c r="Z53" s="88" t="n">
        <f aca="false">+Z51</f>
        <v>1</v>
      </c>
      <c r="AA53" s="88" t="n">
        <f aca="false">+AF50</f>
        <v>8</v>
      </c>
      <c r="AB53" s="89"/>
      <c r="AC53" s="89"/>
      <c r="AD53" s="89"/>
      <c r="AE53" s="87"/>
      <c r="AF53" s="87" t="n">
        <f aca="false">SUM(AF22:AF52)</f>
        <v>818</v>
      </c>
      <c r="AG53" s="87" t="s">
        <v>38</v>
      </c>
      <c r="AH53" s="84"/>
    </row>
    <row r="54" customFormat="false" ht="16.5" hidden="false" customHeight="true" outlineLevel="0" collapsed="false">
      <c r="A54" s="90"/>
      <c r="B54" s="90"/>
      <c r="C54" s="90"/>
      <c r="D54" s="90"/>
      <c r="E54" s="90"/>
      <c r="F54" s="91"/>
      <c r="G54" s="90"/>
      <c r="H54" s="92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</row>
    <row r="55" customFormat="false" ht="16.5" hidden="false" customHeight="true" outlineLevel="0" collapsed="false">
      <c r="A55" s="93"/>
      <c r="B55" s="93"/>
      <c r="C55" s="93"/>
      <c r="D55" s="93"/>
      <c r="E55" s="94" t="s">
        <v>71</v>
      </c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3"/>
      <c r="AH55" s="93"/>
    </row>
    <row r="56" customFormat="false" ht="16.5" hidden="false" customHeight="true" outlineLevel="0" collapsed="false">
      <c r="A56" s="93"/>
      <c r="B56" s="93"/>
      <c r="C56" s="93"/>
      <c r="D56" s="93"/>
      <c r="E56" s="95" t="s">
        <v>4</v>
      </c>
      <c r="F56" s="95"/>
      <c r="G56" s="96" t="str">
        <f aca="false">+G21</f>
        <v>XS</v>
      </c>
      <c r="H56" s="96" t="str">
        <f aca="false">+H21</f>
        <v>S</v>
      </c>
      <c r="I56" s="96" t="str">
        <f aca="false">+I21</f>
        <v>M</v>
      </c>
      <c r="J56" s="96" t="str">
        <f aca="false">+J21</f>
        <v>L</v>
      </c>
      <c r="K56" s="96" t="str">
        <f aca="false">+K21</f>
        <v>XL</v>
      </c>
      <c r="L56" s="96" t="str">
        <f aca="false">+L21</f>
        <v>XXL</v>
      </c>
      <c r="M56" s="96" t="str">
        <f aca="false">+M21</f>
        <v>S/T</v>
      </c>
      <c r="N56" s="96" t="str">
        <f aca="false">+N21</f>
        <v>M/T</v>
      </c>
      <c r="O56" s="96" t="str">
        <f aca="false">+O21</f>
        <v>L/T</v>
      </c>
      <c r="P56" s="96" t="str">
        <f aca="false">+P21</f>
        <v>XL/T</v>
      </c>
      <c r="Q56" s="96" t="str">
        <f aca="false">+Q21</f>
        <v>XXL+</v>
      </c>
      <c r="R56" s="96" t="str">
        <f aca="false">+R21</f>
        <v>XXL/T</v>
      </c>
      <c r="S56" s="96" t="str">
        <f aca="false">+S21</f>
        <v>XXXL+</v>
      </c>
      <c r="T56" s="63" t="s">
        <v>18</v>
      </c>
      <c r="U56" s="96" t="str">
        <f aca="false">+U21</f>
        <v>XS/P</v>
      </c>
      <c r="V56" s="96" t="str">
        <f aca="false">+V21</f>
        <v>S/P</v>
      </c>
      <c r="W56" s="96" t="str">
        <f aca="false">+W21</f>
        <v>M/P</v>
      </c>
      <c r="X56" s="96" t="str">
        <f aca="false">+X21</f>
        <v>L/P</v>
      </c>
      <c r="Y56" s="96" t="str">
        <f aca="false">+Y21</f>
        <v>XL/P</v>
      </c>
      <c r="Z56" s="96" t="str">
        <f aca="false">+Z21</f>
        <v>XXL/P</v>
      </c>
      <c r="AA56" s="96" t="str">
        <f aca="false">+AA21</f>
        <v>XXXXL+</v>
      </c>
      <c r="AB56" s="97"/>
      <c r="AC56" s="97"/>
      <c r="AD56" s="97"/>
      <c r="AE56" s="97"/>
      <c r="AF56" s="98" t="s">
        <v>70</v>
      </c>
      <c r="AG56" s="93"/>
      <c r="AH56" s="93"/>
    </row>
    <row r="57" customFormat="false" ht="16.5" hidden="false" customHeight="true" outlineLevel="0" collapsed="false">
      <c r="A57" s="93"/>
      <c r="B57" s="93"/>
      <c r="C57" s="93"/>
      <c r="D57" s="93"/>
      <c r="E57" s="99" t="s">
        <v>72</v>
      </c>
      <c r="F57" s="99"/>
      <c r="G57" s="63" t="n">
        <v>37</v>
      </c>
      <c r="H57" s="63" t="n">
        <v>110</v>
      </c>
      <c r="I57" s="63" t="n">
        <v>168</v>
      </c>
      <c r="J57" s="63" t="n">
        <v>153</v>
      </c>
      <c r="K57" s="63" t="n">
        <v>96</v>
      </c>
      <c r="L57" s="63" t="n">
        <v>32</v>
      </c>
      <c r="M57" s="63" t="n">
        <v>12</v>
      </c>
      <c r="N57" s="63" t="n">
        <v>25</v>
      </c>
      <c r="O57" s="63" t="n">
        <v>30</v>
      </c>
      <c r="P57" s="63" t="n">
        <v>26</v>
      </c>
      <c r="Q57" s="63" t="n">
        <v>23</v>
      </c>
      <c r="R57" s="63" t="n">
        <v>13</v>
      </c>
      <c r="S57" s="63" t="n">
        <v>19</v>
      </c>
      <c r="T57" s="100" t="n">
        <v>3</v>
      </c>
      <c r="U57" s="100" t="n">
        <v>13</v>
      </c>
      <c r="V57" s="100" t="n">
        <v>15</v>
      </c>
      <c r="W57" s="100" t="n">
        <v>14</v>
      </c>
      <c r="X57" s="100" t="n">
        <v>11</v>
      </c>
      <c r="Y57" s="100" t="n">
        <v>5</v>
      </c>
      <c r="Z57" s="100" t="n">
        <v>1</v>
      </c>
      <c r="AA57" s="100" t="n">
        <v>8</v>
      </c>
      <c r="AB57" s="52"/>
      <c r="AC57" s="52"/>
      <c r="AD57" s="52"/>
      <c r="AE57" s="61"/>
      <c r="AF57" s="101" t="n">
        <f aca="false">SUM(G57:AE57)</f>
        <v>814</v>
      </c>
      <c r="AG57" s="93"/>
      <c r="AH57" s="93"/>
    </row>
    <row r="58" customFormat="false" ht="16.5" hidden="false" customHeight="true" outlineLevel="0" collapsed="false">
      <c r="A58" s="93"/>
      <c r="B58" s="93"/>
      <c r="C58" s="93"/>
      <c r="D58" s="93"/>
      <c r="E58" s="102" t="s">
        <v>73</v>
      </c>
      <c r="F58" s="102"/>
      <c r="G58" s="46" t="n">
        <f aca="false">+G53</f>
        <v>37</v>
      </c>
      <c r="H58" s="46" t="n">
        <f aca="false">+H53</f>
        <v>110</v>
      </c>
      <c r="I58" s="46" t="n">
        <f aca="false">+I53</f>
        <v>170</v>
      </c>
      <c r="J58" s="46" t="n">
        <f aca="false">+J53</f>
        <v>155</v>
      </c>
      <c r="K58" s="46" t="n">
        <f aca="false">+K53</f>
        <v>96</v>
      </c>
      <c r="L58" s="46" t="n">
        <f aca="false">+L53</f>
        <v>32</v>
      </c>
      <c r="M58" s="46" t="n">
        <f aca="false">+M53</f>
        <v>12</v>
      </c>
      <c r="N58" s="46" t="n">
        <f aca="false">+N53</f>
        <v>25</v>
      </c>
      <c r="O58" s="46" t="n">
        <f aca="false">+O53</f>
        <v>30</v>
      </c>
      <c r="P58" s="46" t="n">
        <f aca="false">+P53</f>
        <v>26</v>
      </c>
      <c r="Q58" s="46" t="n">
        <f aca="false">+Q53</f>
        <v>23</v>
      </c>
      <c r="R58" s="46" t="n">
        <f aca="false">+R53</f>
        <v>13</v>
      </c>
      <c r="S58" s="46" t="n">
        <f aca="false">+S53</f>
        <v>19</v>
      </c>
      <c r="T58" s="46" t="n">
        <f aca="false">+T53</f>
        <v>3</v>
      </c>
      <c r="U58" s="46" t="n">
        <f aca="false">+U53</f>
        <v>13</v>
      </c>
      <c r="V58" s="46" t="n">
        <f aca="false">+V53</f>
        <v>15</v>
      </c>
      <c r="W58" s="46" t="n">
        <f aca="false">+W53</f>
        <v>14</v>
      </c>
      <c r="X58" s="46" t="n">
        <f aca="false">+X53</f>
        <v>11</v>
      </c>
      <c r="Y58" s="46" t="n">
        <f aca="false">+Y53</f>
        <v>5</v>
      </c>
      <c r="Z58" s="46" t="n">
        <f aca="false">+Z53</f>
        <v>1</v>
      </c>
      <c r="AA58" s="46" t="n">
        <f aca="false">+AA53</f>
        <v>8</v>
      </c>
      <c r="AB58" s="52"/>
      <c r="AC58" s="52"/>
      <c r="AD58" s="52"/>
      <c r="AE58" s="52"/>
      <c r="AF58" s="103" t="n">
        <f aca="false">SUM(G58:AE58)</f>
        <v>818</v>
      </c>
      <c r="AG58" s="93"/>
      <c r="AH58" s="93"/>
    </row>
    <row r="59" customFormat="false" ht="16.5" hidden="false" customHeight="true" outlineLevel="0" collapsed="false">
      <c r="A59" s="93"/>
      <c r="B59" s="93"/>
      <c r="C59" s="93"/>
      <c r="D59" s="93"/>
      <c r="E59" s="102" t="s">
        <v>74</v>
      </c>
      <c r="F59" s="102"/>
      <c r="G59" s="63" t="n">
        <f aca="false">G58-G57</f>
        <v>0</v>
      </c>
      <c r="H59" s="63" t="n">
        <f aca="false">H58-H57</f>
        <v>0</v>
      </c>
      <c r="I59" s="63" t="n">
        <f aca="false">I58-I57</f>
        <v>2</v>
      </c>
      <c r="J59" s="63" t="n">
        <f aca="false">J58-J57</f>
        <v>2</v>
      </c>
      <c r="K59" s="63" t="n">
        <f aca="false">K58-K57</f>
        <v>0</v>
      </c>
      <c r="L59" s="63" t="n">
        <f aca="false">L58-L57</f>
        <v>0</v>
      </c>
      <c r="M59" s="63" t="n">
        <f aca="false">M58-M57</f>
        <v>0</v>
      </c>
      <c r="N59" s="63" t="n">
        <f aca="false">N58-N57</f>
        <v>0</v>
      </c>
      <c r="O59" s="63" t="n">
        <f aca="false">O58-O57</f>
        <v>0</v>
      </c>
      <c r="P59" s="63" t="n">
        <f aca="false">P58-P57</f>
        <v>0</v>
      </c>
      <c r="Q59" s="63" t="n">
        <f aca="false">Q58-Q57</f>
        <v>0</v>
      </c>
      <c r="R59" s="63" t="n">
        <f aca="false">R58-R57</f>
        <v>0</v>
      </c>
      <c r="S59" s="63" t="n">
        <f aca="false">S58-S57</f>
        <v>0</v>
      </c>
      <c r="T59" s="63" t="n">
        <f aca="false">T58-T57</f>
        <v>0</v>
      </c>
      <c r="U59" s="63" t="n">
        <f aca="false">U58-U57</f>
        <v>0</v>
      </c>
      <c r="V59" s="63" t="n">
        <f aca="false">V58-V57</f>
        <v>0</v>
      </c>
      <c r="W59" s="63" t="n">
        <f aca="false">W58-W57</f>
        <v>0</v>
      </c>
      <c r="X59" s="63" t="n">
        <f aca="false">X58-X57</f>
        <v>0</v>
      </c>
      <c r="Y59" s="63" t="n">
        <f aca="false">Y58-Y57</f>
        <v>0</v>
      </c>
      <c r="Z59" s="63" t="n">
        <f aca="false">Z58-Z57</f>
        <v>0</v>
      </c>
      <c r="AA59" s="63" t="n">
        <f aca="false">AA58-AA57</f>
        <v>0</v>
      </c>
      <c r="AB59" s="52"/>
      <c r="AC59" s="52"/>
      <c r="AD59" s="52"/>
      <c r="AE59" s="52"/>
      <c r="AF59" s="103" t="n">
        <f aca="false">SUM(G59:AE59)</f>
        <v>4</v>
      </c>
      <c r="AG59" s="93"/>
      <c r="AH59" s="93"/>
    </row>
    <row r="60" customFormat="false" ht="16.5" hidden="false" customHeight="true" outlineLevel="0" collapsed="false">
      <c r="A60" s="93"/>
      <c r="B60" s="93"/>
      <c r="C60" s="93"/>
      <c r="D60" s="93"/>
      <c r="E60" s="104" t="s">
        <v>75</v>
      </c>
      <c r="F60" s="104"/>
      <c r="G60" s="105" t="n">
        <f aca="false">G59/G57*100</f>
        <v>0</v>
      </c>
      <c r="H60" s="105" t="n">
        <f aca="false">H59/H57*100</f>
        <v>0</v>
      </c>
      <c r="I60" s="105" t="n">
        <f aca="false">I59/I57*100</f>
        <v>1.19047619047619</v>
      </c>
      <c r="J60" s="105" t="n">
        <f aca="false">J59/J57*100</f>
        <v>1.30718954248366</v>
      </c>
      <c r="K60" s="105" t="n">
        <f aca="false">K59/K57*100</f>
        <v>0</v>
      </c>
      <c r="L60" s="105" t="n">
        <f aca="false">L59/L57*100</f>
        <v>0</v>
      </c>
      <c r="M60" s="105" t="n">
        <f aca="false">M59/M57*100</f>
        <v>0</v>
      </c>
      <c r="N60" s="105" t="n">
        <f aca="false">N59/N57*100</f>
        <v>0</v>
      </c>
      <c r="O60" s="105" t="n">
        <f aca="false">O59/O57*100</f>
        <v>0</v>
      </c>
      <c r="P60" s="105" t="n">
        <f aca="false">P59/P57*100</f>
        <v>0</v>
      </c>
      <c r="Q60" s="105" t="n">
        <f aca="false">Q59/Q57*100</f>
        <v>0</v>
      </c>
      <c r="R60" s="105" t="n">
        <f aca="false">R59/R57*100</f>
        <v>0</v>
      </c>
      <c r="S60" s="105" t="n">
        <f aca="false">S59/S57*100</f>
        <v>0</v>
      </c>
      <c r="T60" s="105" t="n">
        <f aca="false">T59/T57*100</f>
        <v>0</v>
      </c>
      <c r="U60" s="105" t="n">
        <f aca="false">U59/U57*100</f>
        <v>0</v>
      </c>
      <c r="V60" s="105" t="n">
        <f aca="false">V59/V57*100</f>
        <v>0</v>
      </c>
      <c r="W60" s="105" t="n">
        <f aca="false">W59/W57*100</f>
        <v>0</v>
      </c>
      <c r="X60" s="105" t="n">
        <f aca="false">X59/X57*100</f>
        <v>0</v>
      </c>
      <c r="Y60" s="105" t="n">
        <f aca="false">Y59/Y57*100</f>
        <v>0</v>
      </c>
      <c r="Z60" s="105" t="n">
        <f aca="false">Z59/Z57*100</f>
        <v>0</v>
      </c>
      <c r="AA60" s="105" t="n">
        <f aca="false">AA59/AA57*100</f>
        <v>0</v>
      </c>
      <c r="AB60" s="106"/>
      <c r="AC60" s="106"/>
      <c r="AD60" s="106"/>
      <c r="AE60" s="106"/>
      <c r="AF60" s="107" t="n">
        <f aca="false">AF59/AF57*100</f>
        <v>0.491400491400491</v>
      </c>
      <c r="AG60" s="93"/>
      <c r="AH60" s="93"/>
    </row>
  </sheetData>
  <mergeCells count="38">
    <mergeCell ref="A1:AH1"/>
    <mergeCell ref="A2:AH2"/>
    <mergeCell ref="A3:AH3"/>
    <mergeCell ref="A4:AH4"/>
    <mergeCell ref="E5:F5"/>
    <mergeCell ref="E6:F6"/>
    <mergeCell ref="E7:F7"/>
    <mergeCell ref="E8:F8"/>
    <mergeCell ref="G8:AA8"/>
    <mergeCell ref="D11:E11"/>
    <mergeCell ref="AF11:AG11"/>
    <mergeCell ref="AF12:AG12"/>
    <mergeCell ref="AF14:AG14"/>
    <mergeCell ref="AF15:AG15"/>
    <mergeCell ref="D20:D21"/>
    <mergeCell ref="E20:E21"/>
    <mergeCell ref="F20:F21"/>
    <mergeCell ref="G20:AD20"/>
    <mergeCell ref="AE20:AE21"/>
    <mergeCell ref="AF20:AF21"/>
    <mergeCell ref="AG20:AG21"/>
    <mergeCell ref="AH20:AH21"/>
    <mergeCell ref="AB21:AD21"/>
    <mergeCell ref="E22:E51"/>
    <mergeCell ref="AB22:AD22"/>
    <mergeCell ref="A53:C53"/>
    <mergeCell ref="AB53:AD53"/>
    <mergeCell ref="E55:AF55"/>
    <mergeCell ref="E56:F56"/>
    <mergeCell ref="AB56:AD56"/>
    <mergeCell ref="E57:F57"/>
    <mergeCell ref="AB57:AD57"/>
    <mergeCell ref="E58:F58"/>
    <mergeCell ref="AB58:AD58"/>
    <mergeCell ref="E59:F59"/>
    <mergeCell ref="AB59:AD59"/>
    <mergeCell ref="E60:F60"/>
    <mergeCell ref="AB60:AD60"/>
  </mergeCells>
  <printOptions headings="false" gridLines="false" gridLinesSet="true" horizontalCentered="true" verticalCentered="false"/>
  <pageMargins left="0" right="0" top="0" bottom="0" header="0.511811023622047" footer="0.511811023622047"/>
  <pageSetup paperSize="1" scale="4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08" width="10"/>
    <col collapsed="false" customWidth="true" hidden="false" outlineLevel="0" max="2" min="2" style="108" width="13.86"/>
    <col collapsed="false" customWidth="true" hidden="false" outlineLevel="0" max="3" min="3" style="108" width="9.86"/>
    <col collapsed="false" customWidth="true" hidden="false" outlineLevel="0" max="4" min="4" style="108" width="27.71"/>
    <col collapsed="false" customWidth="true" hidden="false" outlineLevel="0" max="5" min="5" style="108" width="11"/>
    <col collapsed="false" customWidth="true" hidden="false" outlineLevel="0" max="6" min="6" style="108" width="11.14"/>
    <col collapsed="false" customWidth="true" hidden="false" outlineLevel="0" max="7" min="7" style="108" width="8.29"/>
    <col collapsed="false" customWidth="true" hidden="false" outlineLevel="0" max="9" min="8" style="108" width="8.71"/>
    <col collapsed="false" customWidth="false" hidden="false" outlineLevel="0" max="16384" min="10" style="108" width="9.14"/>
  </cols>
  <sheetData>
    <row r="1" customFormat="false" ht="24.45" hidden="false" customHeight="false" outlineLevel="0" collapsed="false">
      <c r="A1" s="109" t="s">
        <v>76</v>
      </c>
      <c r="B1" s="109"/>
      <c r="C1" s="109"/>
      <c r="D1" s="109"/>
      <c r="E1" s="109"/>
      <c r="F1" s="109"/>
      <c r="G1" s="109"/>
      <c r="H1" s="109"/>
      <c r="I1" s="109"/>
      <c r="J1" s="109"/>
    </row>
    <row r="2" customFormat="false" ht="12.75" hidden="false" customHeight="false" outlineLevel="0" collapsed="false">
      <c r="A2" s="110" t="s">
        <v>77</v>
      </c>
      <c r="B2" s="110"/>
      <c r="C2" s="110"/>
      <c r="D2" s="110"/>
      <c r="E2" s="110"/>
      <c r="F2" s="110"/>
      <c r="G2" s="110"/>
      <c r="H2" s="110"/>
      <c r="I2" s="110"/>
      <c r="J2" s="110"/>
    </row>
    <row r="3" customFormat="false" ht="15" hidden="false" customHeight="false" outlineLevel="0" collapsed="false">
      <c r="A3" s="111" t="s">
        <v>78</v>
      </c>
      <c r="B3" s="111"/>
      <c r="C3" s="111"/>
      <c r="D3" s="111"/>
      <c r="E3" s="111"/>
      <c r="F3" s="111"/>
      <c r="G3" s="111"/>
      <c r="H3" s="111"/>
      <c r="I3" s="111"/>
      <c r="J3" s="111"/>
    </row>
    <row r="4" customFormat="false" ht="15" hidden="false" customHeight="false" outlineLevel="0" collapsed="false">
      <c r="A4" s="112"/>
      <c r="B4" s="112"/>
      <c r="C4" s="112"/>
      <c r="D4" s="112"/>
      <c r="E4" s="112"/>
      <c r="F4" s="112"/>
      <c r="G4" s="112"/>
      <c r="H4" s="112"/>
      <c r="I4" s="112"/>
      <c r="J4" s="112"/>
    </row>
    <row r="5" customFormat="false" ht="17.35" hidden="false" customHeight="false" outlineLevel="0" collapsed="false">
      <c r="A5" s="113" t="s">
        <v>79</v>
      </c>
      <c r="B5" s="114" t="s">
        <v>31</v>
      </c>
      <c r="C5" s="115"/>
      <c r="D5" s="112"/>
      <c r="E5" s="112"/>
      <c r="F5" s="112"/>
      <c r="G5" s="112"/>
      <c r="H5" s="112"/>
      <c r="I5" s="112"/>
      <c r="J5" s="112"/>
    </row>
    <row r="6" customFormat="false" ht="17.35" hidden="false" customHeight="false" outlineLevel="0" collapsed="false">
      <c r="A6" s="116" t="s">
        <v>80</v>
      </c>
      <c r="B6" s="117" t="n">
        <v>509483</v>
      </c>
      <c r="C6" s="118"/>
      <c r="D6" s="112"/>
      <c r="E6" s="112"/>
      <c r="F6" s="112"/>
      <c r="G6" s="112"/>
      <c r="H6" s="119" t="s">
        <v>81</v>
      </c>
      <c r="I6" s="120" t="n">
        <v>46260</v>
      </c>
      <c r="J6" s="120"/>
    </row>
    <row r="7" customFormat="false" ht="15" hidden="false" customHeight="false" outlineLevel="0" collapsed="false">
      <c r="A7" s="112"/>
      <c r="B7" s="112"/>
      <c r="C7" s="112"/>
      <c r="D7" s="112"/>
      <c r="E7" s="112"/>
      <c r="F7" s="112"/>
      <c r="G7" s="112"/>
      <c r="H7" s="112"/>
      <c r="I7" s="112"/>
      <c r="J7" s="112"/>
    </row>
    <row r="8" customFormat="false" ht="14.15" hidden="false" customHeight="false" outlineLevel="0" collapsed="false">
      <c r="A8" s="121" t="s">
        <v>82</v>
      </c>
      <c r="B8" s="122" t="s">
        <v>83</v>
      </c>
      <c r="C8" s="122" t="s">
        <v>84</v>
      </c>
      <c r="D8" s="122" t="s">
        <v>85</v>
      </c>
      <c r="E8" s="123" t="s">
        <v>86</v>
      </c>
      <c r="F8" s="124" t="s">
        <v>87</v>
      </c>
      <c r="G8" s="124" t="s">
        <v>88</v>
      </c>
      <c r="H8" s="124" t="s">
        <v>89</v>
      </c>
      <c r="I8" s="125" t="s">
        <v>90</v>
      </c>
      <c r="J8" s="126" t="s">
        <v>46</v>
      </c>
    </row>
    <row r="9" customFormat="false" ht="14.15" hidden="false" customHeight="false" outlineLevel="0" collapsed="false">
      <c r="A9" s="127" t="s">
        <v>91</v>
      </c>
      <c r="B9" s="128" t="n">
        <f aca="false">'PKL.'!D11</f>
        <v>62219966</v>
      </c>
      <c r="C9" s="128" t="s">
        <v>92</v>
      </c>
      <c r="D9" s="129" t="str">
        <f aca="false">+'PKL.'!E22</f>
        <v>RINSE-00-2</v>
      </c>
      <c r="E9" s="130" t="n">
        <f aca="false">+'PKL.'!AF57</f>
        <v>814</v>
      </c>
      <c r="F9" s="130" t="n">
        <f aca="false">+'PKL.'!AF58</f>
        <v>818</v>
      </c>
      <c r="G9" s="130" t="n">
        <f aca="false">+F9-E9</f>
        <v>4</v>
      </c>
      <c r="H9" s="130" t="n">
        <v>0</v>
      </c>
      <c r="I9" s="131" t="n">
        <f aca="false">+G9/E9</f>
        <v>0.00491400491400491</v>
      </c>
      <c r="J9" s="132" t="n">
        <f aca="false">+'PKL.'!D53</f>
        <v>37</v>
      </c>
    </row>
    <row r="10" customFormat="false" ht="13.8" hidden="false" customHeight="false" outlineLevel="0" collapsed="false">
      <c r="A10" s="127"/>
      <c r="B10" s="128"/>
      <c r="C10" s="128"/>
      <c r="D10" s="130"/>
      <c r="E10" s="133"/>
      <c r="F10" s="133"/>
      <c r="G10" s="133"/>
      <c r="H10" s="133"/>
      <c r="I10" s="134"/>
      <c r="J10" s="135"/>
    </row>
    <row r="11" customFormat="false" ht="13.8" hidden="false" customHeight="false" outlineLevel="0" collapsed="false">
      <c r="A11" s="136"/>
      <c r="B11" s="137"/>
      <c r="C11" s="138"/>
      <c r="D11" s="139" t="s">
        <v>70</v>
      </c>
      <c r="E11" s="140" t="n">
        <f aca="false">SUM(E9:E10)</f>
        <v>814</v>
      </c>
      <c r="F11" s="140" t="n">
        <f aca="false">SUM(F9:F10)</f>
        <v>818</v>
      </c>
      <c r="G11" s="140" t="n">
        <f aca="false">SUM(G9:G10)</f>
        <v>4</v>
      </c>
      <c r="H11" s="140" t="n">
        <f aca="false">SUM(H9:H10)</f>
        <v>0</v>
      </c>
      <c r="I11" s="141" t="n">
        <f aca="false">+G11/E11</f>
        <v>0.00491400491400491</v>
      </c>
      <c r="J11" s="142" t="n">
        <f aca="false">SUM(J9:J10)</f>
        <v>37</v>
      </c>
    </row>
    <row r="12" customFormat="false" ht="12.75" hidden="false" customHeight="false" outlineLevel="0" collapsed="false">
      <c r="A12" s="143"/>
      <c r="B12" s="143"/>
      <c r="C12" s="143"/>
      <c r="D12" s="143"/>
      <c r="E12" s="143"/>
      <c r="F12" s="143"/>
      <c r="G12" s="143"/>
      <c r="H12" s="143"/>
      <c r="I12" s="144"/>
      <c r="J12" s="143"/>
    </row>
    <row r="13" customFormat="false" ht="12.75" hidden="false" customHeight="false" outlineLevel="0" collapsed="false">
      <c r="A13" s="143"/>
      <c r="B13" s="143"/>
      <c r="C13" s="143"/>
      <c r="D13" s="143"/>
      <c r="E13" s="143"/>
      <c r="F13" s="143"/>
      <c r="G13" s="143"/>
      <c r="H13" s="143"/>
      <c r="I13" s="144"/>
      <c r="J13" s="143"/>
    </row>
    <row r="14" customFormat="false" ht="12.75" hidden="false" customHeight="false" outlineLevel="0" collapsed="false">
      <c r="A14" s="143"/>
      <c r="B14" s="143"/>
      <c r="C14" s="143"/>
      <c r="D14" s="143"/>
      <c r="E14" s="143"/>
      <c r="F14" s="143"/>
      <c r="G14" s="143"/>
      <c r="H14" s="143"/>
      <c r="I14" s="144"/>
      <c r="J14" s="143"/>
    </row>
    <row r="15" customFormat="false" ht="12.75" hidden="false" customHeight="false" outlineLevel="0" collapsed="false">
      <c r="A15" s="143"/>
      <c r="B15" s="143"/>
      <c r="C15" s="143"/>
      <c r="D15" s="143"/>
      <c r="E15" s="143"/>
      <c r="F15" s="143"/>
      <c r="G15" s="143"/>
      <c r="H15" s="143"/>
      <c r="I15" s="144"/>
      <c r="J15" s="143"/>
    </row>
    <row r="16" customFormat="false" ht="12.75" hidden="false" customHeight="false" outlineLevel="0" collapsed="false">
      <c r="A16" s="143"/>
      <c r="B16" s="143"/>
      <c r="C16" s="143"/>
      <c r="D16" s="143"/>
      <c r="E16" s="143"/>
      <c r="F16" s="143"/>
      <c r="G16" s="143"/>
      <c r="H16" s="143"/>
      <c r="I16" s="144"/>
      <c r="J16" s="143"/>
    </row>
    <row r="17" customFormat="false" ht="12.75" hidden="false" customHeight="false" outlineLevel="0" collapsed="false">
      <c r="A17" s="143"/>
      <c r="B17" s="145" t="s">
        <v>93</v>
      </c>
      <c r="C17" s="146"/>
      <c r="D17" s="147" t="s">
        <v>94</v>
      </c>
      <c r="E17" s="147" t="s">
        <v>95</v>
      </c>
      <c r="F17" s="147" t="s">
        <v>62</v>
      </c>
      <c r="G17" s="148" t="s">
        <v>96</v>
      </c>
      <c r="H17" s="148"/>
      <c r="I17" s="148"/>
      <c r="J17" s="143"/>
    </row>
    <row r="18" customFormat="false" ht="12.75" hidden="false" customHeight="false" outlineLevel="0" collapsed="false">
      <c r="A18" s="149"/>
      <c r="B18" s="150" t="n">
        <v>1</v>
      </c>
      <c r="C18" s="151"/>
      <c r="D18" s="129" t="s">
        <v>97</v>
      </c>
      <c r="E18" s="152"/>
      <c r="F18" s="152"/>
      <c r="G18" s="153"/>
      <c r="H18" s="153"/>
      <c r="I18" s="153"/>
      <c r="J18" s="143"/>
    </row>
    <row r="19" customFormat="false" ht="12.75" hidden="false" customHeight="false" outlineLevel="0" collapsed="false">
      <c r="A19" s="149"/>
      <c r="B19" s="154" t="n">
        <v>2</v>
      </c>
      <c r="C19" s="155"/>
      <c r="D19" s="156" t="s">
        <v>98</v>
      </c>
      <c r="E19" s="157"/>
      <c r="F19" s="157"/>
      <c r="G19" s="158"/>
      <c r="H19" s="158"/>
      <c r="I19" s="158"/>
      <c r="J19" s="143"/>
    </row>
    <row r="20" customFormat="false" ht="12.75" hidden="false" customHeight="false" outlineLevel="0" collapsed="false">
      <c r="A20" s="143"/>
      <c r="B20" s="154" t="n">
        <v>3</v>
      </c>
      <c r="C20" s="155"/>
      <c r="D20" s="156" t="s">
        <v>99</v>
      </c>
      <c r="E20" s="157"/>
      <c r="F20" s="157"/>
      <c r="G20" s="158"/>
      <c r="H20" s="158"/>
      <c r="I20" s="158"/>
      <c r="J20" s="143"/>
    </row>
    <row r="21" customFormat="false" ht="12.75" hidden="false" customHeight="false" outlineLevel="0" collapsed="false">
      <c r="A21" s="143"/>
      <c r="B21" s="154" t="n">
        <v>4</v>
      </c>
      <c r="C21" s="155"/>
      <c r="D21" s="156" t="s">
        <v>100</v>
      </c>
      <c r="E21" s="157"/>
      <c r="F21" s="157"/>
      <c r="G21" s="158"/>
      <c r="H21" s="158"/>
      <c r="I21" s="158"/>
      <c r="J21" s="143"/>
    </row>
    <row r="22" customFormat="false" ht="12.75" hidden="false" customHeight="false" outlineLevel="0" collapsed="false">
      <c r="A22" s="143"/>
      <c r="B22" s="154" t="n">
        <v>5</v>
      </c>
      <c r="C22" s="155"/>
      <c r="D22" s="156" t="s">
        <v>101</v>
      </c>
      <c r="E22" s="157"/>
      <c r="F22" s="157"/>
      <c r="G22" s="158"/>
      <c r="H22" s="158"/>
      <c r="I22" s="158"/>
      <c r="J22" s="143"/>
    </row>
    <row r="23" customFormat="false" ht="12.75" hidden="false" customHeight="false" outlineLevel="0" collapsed="false">
      <c r="A23" s="143"/>
      <c r="B23" s="154" t="n">
        <v>6</v>
      </c>
      <c r="C23" s="155"/>
      <c r="D23" s="156" t="s">
        <v>102</v>
      </c>
      <c r="E23" s="157"/>
      <c r="F23" s="157"/>
      <c r="G23" s="159"/>
      <c r="H23" s="160"/>
      <c r="I23" s="161"/>
      <c r="J23" s="143"/>
    </row>
    <row r="24" customFormat="false" ht="12.75" hidden="false" customHeight="false" outlineLevel="0" collapsed="false">
      <c r="A24" s="143"/>
      <c r="B24" s="154" t="n">
        <v>7</v>
      </c>
      <c r="C24" s="155"/>
      <c r="D24" s="156" t="s">
        <v>103</v>
      </c>
      <c r="E24" s="159"/>
      <c r="F24" s="157"/>
      <c r="G24" s="160"/>
      <c r="H24" s="160"/>
      <c r="I24" s="161"/>
      <c r="J24" s="143"/>
    </row>
    <row r="25" customFormat="false" ht="12.75" hidden="false" customHeight="false" outlineLevel="0" collapsed="false">
      <c r="A25" s="143"/>
      <c r="B25" s="154" t="n">
        <v>8</v>
      </c>
      <c r="C25" s="155"/>
      <c r="D25" s="156" t="s">
        <v>104</v>
      </c>
      <c r="E25" s="162"/>
      <c r="F25" s="163"/>
      <c r="G25" s="160"/>
      <c r="H25" s="160"/>
      <c r="I25" s="161"/>
      <c r="J25" s="143"/>
    </row>
    <row r="26" customFormat="false" ht="12.75" hidden="false" customHeight="false" outlineLevel="0" collapsed="false">
      <c r="A26" s="143"/>
      <c r="B26" s="154" t="n">
        <v>9</v>
      </c>
      <c r="C26" s="155"/>
      <c r="D26" s="156" t="s">
        <v>105</v>
      </c>
      <c r="E26" s="162"/>
      <c r="F26" s="163"/>
      <c r="G26" s="164"/>
      <c r="H26" s="160"/>
      <c r="I26" s="161"/>
      <c r="J26" s="143"/>
    </row>
    <row r="27" customFormat="false" ht="12.75" hidden="false" customHeight="false" outlineLevel="0" collapsed="false">
      <c r="A27" s="143"/>
      <c r="B27" s="154" t="n">
        <v>10</v>
      </c>
      <c r="C27" s="155"/>
      <c r="D27" s="156" t="s">
        <v>106</v>
      </c>
      <c r="E27" s="162"/>
      <c r="F27" s="163"/>
      <c r="G27" s="164"/>
      <c r="H27" s="164"/>
      <c r="I27" s="165"/>
      <c r="J27" s="143"/>
    </row>
    <row r="28" customFormat="false" ht="12.75" hidden="false" customHeight="false" outlineLevel="0" collapsed="false">
      <c r="A28" s="143"/>
      <c r="B28" s="166"/>
      <c r="C28" s="167"/>
      <c r="D28" s="168" t="s">
        <v>107</v>
      </c>
      <c r="E28" s="169"/>
      <c r="F28" s="170"/>
      <c r="G28" s="171"/>
      <c r="H28" s="171"/>
      <c r="I28" s="172"/>
      <c r="J28" s="143"/>
    </row>
    <row r="29" customFormat="false" ht="13.5" hidden="false" customHeight="true" outlineLevel="0" collapsed="false">
      <c r="A29" s="143"/>
      <c r="B29" s="143"/>
      <c r="C29" s="143"/>
      <c r="D29" s="149"/>
      <c r="E29" s="149"/>
      <c r="F29" s="149"/>
      <c r="G29" s="143"/>
      <c r="H29" s="143"/>
      <c r="I29" s="143"/>
      <c r="J29" s="143"/>
    </row>
    <row r="30" customFormat="false" ht="12.75" hidden="false" customHeight="false" outlineLevel="0" collapsed="false">
      <c r="A30" s="143"/>
      <c r="B30" s="143"/>
      <c r="C30" s="143"/>
      <c r="D30" s="149"/>
      <c r="E30" s="149"/>
      <c r="F30" s="149"/>
      <c r="G30" s="143"/>
      <c r="H30" s="143"/>
      <c r="I30" s="143"/>
      <c r="J30" s="143"/>
    </row>
    <row r="31" customFormat="false" ht="12.75" hidden="false" customHeight="false" outlineLevel="0" collapsed="false">
      <c r="A31" s="143"/>
      <c r="B31" s="143"/>
      <c r="C31" s="143"/>
      <c r="D31" s="149"/>
      <c r="E31" s="149"/>
      <c r="F31" s="149"/>
      <c r="G31" s="143"/>
      <c r="H31" s="143"/>
      <c r="I31" s="143"/>
      <c r="J31" s="143"/>
    </row>
    <row r="32" customFormat="false" ht="12.75" hidden="false" customHeight="false" outlineLevel="0" collapsed="false">
      <c r="A32" s="143"/>
      <c r="B32" s="143"/>
      <c r="C32" s="143"/>
      <c r="D32" s="149"/>
      <c r="E32" s="149"/>
      <c r="F32" s="149"/>
      <c r="G32" s="143"/>
      <c r="H32" s="143"/>
      <c r="I32" s="143"/>
      <c r="J32" s="143"/>
    </row>
    <row r="33" customFormat="false" ht="12.75" hidden="false" customHeight="false" outlineLevel="0" collapsed="false">
      <c r="A33" s="143"/>
      <c r="B33" s="143"/>
      <c r="C33" s="143"/>
      <c r="D33" s="149"/>
      <c r="E33" s="149"/>
      <c r="F33" s="149"/>
      <c r="G33" s="143"/>
      <c r="H33" s="143"/>
      <c r="I33" s="143"/>
      <c r="J33" s="143"/>
    </row>
    <row r="34" customFormat="false" ht="12.75" hidden="false" customHeight="false" outlineLevel="0" collapsed="false">
      <c r="A34" s="143"/>
      <c r="B34" s="143"/>
      <c r="C34" s="143"/>
      <c r="D34" s="149"/>
      <c r="E34" s="149"/>
      <c r="F34" s="149"/>
      <c r="G34" s="143"/>
      <c r="H34" s="143"/>
      <c r="I34" s="143"/>
      <c r="J34" s="143"/>
    </row>
    <row r="35" customFormat="false" ht="12.75" hidden="false" customHeight="false" outlineLevel="0" collapsed="false">
      <c r="A35" s="143"/>
      <c r="B35" s="143"/>
      <c r="C35" s="143"/>
      <c r="D35" s="149"/>
      <c r="E35" s="149"/>
      <c r="F35" s="149"/>
      <c r="G35" s="143"/>
      <c r="H35" s="143"/>
      <c r="I35" s="143"/>
      <c r="J35" s="143"/>
    </row>
    <row r="36" customFormat="false" ht="12.75" hidden="false" customHeight="false" outlineLevel="0" collapsed="false">
      <c r="A36" s="143"/>
      <c r="B36" s="143"/>
      <c r="C36" s="143"/>
      <c r="D36" s="149"/>
      <c r="E36" s="149"/>
      <c r="F36" s="149"/>
      <c r="G36" s="143"/>
      <c r="H36" s="143"/>
      <c r="I36" s="143"/>
      <c r="J36" s="143"/>
    </row>
    <row r="37" customFormat="false" ht="12.75" hidden="false" customHeight="false" outlineLevel="0" collapsed="false">
      <c r="A37" s="143"/>
      <c r="B37" s="143"/>
      <c r="C37" s="143"/>
      <c r="D37" s="149"/>
      <c r="E37" s="149"/>
      <c r="F37" s="149"/>
      <c r="G37" s="143"/>
      <c r="H37" s="143"/>
      <c r="I37" s="143"/>
      <c r="J37" s="143"/>
    </row>
    <row r="38" customFormat="false" ht="12.75" hidden="false" customHeight="false" outlineLevel="0" collapsed="false">
      <c r="A38" s="143"/>
      <c r="B38" s="143"/>
      <c r="C38" s="143"/>
      <c r="D38" s="149"/>
      <c r="E38" s="149"/>
      <c r="F38" s="149"/>
      <c r="G38" s="143"/>
      <c r="H38" s="143"/>
      <c r="I38" s="143"/>
      <c r="J38" s="143"/>
    </row>
    <row r="39" customFormat="false" ht="12.75" hidden="false" customHeight="false" outlineLevel="0" collapsed="false">
      <c r="A39" s="143"/>
      <c r="B39" s="143"/>
      <c r="C39" s="143"/>
      <c r="D39" s="149"/>
      <c r="E39" s="149"/>
      <c r="F39" s="149"/>
      <c r="G39" s="143"/>
      <c r="H39" s="143"/>
      <c r="I39" s="143"/>
      <c r="J39" s="143"/>
    </row>
    <row r="41" customFormat="false" ht="12.75" hidden="false" customHeight="false" outlineLevel="0" collapsed="false">
      <c r="A41" s="173" t="s">
        <v>108</v>
      </c>
      <c r="B41" s="173"/>
      <c r="C41" s="174"/>
      <c r="D41" s="173" t="s">
        <v>109</v>
      </c>
      <c r="E41" s="173"/>
      <c r="F41" s="174"/>
      <c r="G41" s="143"/>
      <c r="H41" s="143"/>
      <c r="I41" s="174" t="s">
        <v>110</v>
      </c>
      <c r="J41" s="143"/>
    </row>
  </sheetData>
  <mergeCells count="12">
    <mergeCell ref="A1:J1"/>
    <mergeCell ref="A2:J2"/>
    <mergeCell ref="A3:J3"/>
    <mergeCell ref="I6:J6"/>
    <mergeCell ref="G17:I17"/>
    <mergeCell ref="G18:I18"/>
    <mergeCell ref="G19:I19"/>
    <mergeCell ref="G20:I20"/>
    <mergeCell ref="G21:I21"/>
    <mergeCell ref="G22:I22"/>
    <mergeCell ref="A41:B41"/>
    <mergeCell ref="D41:E41"/>
  </mergeCells>
  <printOptions headings="false" gridLines="false" gridLinesSet="true" horizontalCentered="false" verticalCentered="false"/>
  <pageMargins left="0.3" right="0.270138888888889" top="0.340277777777778" bottom="0.24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2014-04-22T09:32:45Z</dcterms:created>
  <dc:creator>Jaman</dc:creator>
  <dc:description/>
  <dc:language>en-US</dc:language>
  <cp:lastModifiedBy/>
  <cp:lastPrinted>2026-09-02T12:12:57Z</cp:lastPrinted>
  <dcterms:modified xsi:type="dcterms:W3CDTF">2026-10-18T15:03:07Z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