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KL." sheetId="1" state="visible" r:id="rId3"/>
    <sheet name="sum" sheetId="2" state="visible" r:id="rId4"/>
  </sheets>
  <definedNames>
    <definedName function="false" hidden="false" localSheetId="0" name="_xlnm.Print_Area" vbProcedure="false">'PKL.'!$A$1:$Y$136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<sst xmlns="http://schemas.openxmlformats.org/spreadsheetml/2006/main" count="330" uniqueCount="112">
  <si>
    <t xml:space="preserve">    CREATIVE COLLECTIONS LTD-1A.</t>
  </si>
  <si>
    <t xml:space="preserve">Nishat Nagar , Tongi , Gazipur .</t>
  </si>
  <si>
    <t xml:space="preserve">SIZE</t>
  </si>
  <si>
    <t xml:space="preserve">12-18M</t>
  </si>
  <si>
    <t xml:space="preserve">18-24M</t>
  </si>
  <si>
    <t xml:space="preserve">2T</t>
  </si>
  <si>
    <t xml:space="preserve">3T</t>
  </si>
  <si>
    <t xml:space="preserve">4T</t>
  </si>
  <si>
    <t xml:space="preserve">5T</t>
  </si>
  <si>
    <t xml:space="preserve">6T</t>
  </si>
  <si>
    <t xml:space="preserve">N.W</t>
  </si>
  <si>
    <t xml:space="preserve">N.WT</t>
  </si>
  <si>
    <t xml:space="preserve">N.N.W</t>
  </si>
  <si>
    <t xml:space="preserve">N.N. WT</t>
  </si>
  <si>
    <t xml:space="preserve">EMPTY CTN WET</t>
  </si>
  <si>
    <t xml:space="preserve">MULTY PACK ( N )</t>
  </si>
  <si>
    <t xml:space="preserve">BUYER             : </t>
  </si>
  <si>
    <t xml:space="preserve">OLD NAVY</t>
  </si>
  <si>
    <t xml:space="preserve">STYLE             :</t>
  </si>
  <si>
    <t xml:space="preserve">908546-01-1</t>
  </si>
  <si>
    <t xml:space="preserve">P. O. #             :</t>
  </si>
  <si>
    <t xml:space="preserve">O/QTY              :</t>
  </si>
  <si>
    <t xml:space="preserve">PCS</t>
  </si>
  <si>
    <r>
      <rPr>
        <b val="true"/>
        <sz val="12"/>
        <rFont val="Arial"/>
        <family val="2"/>
        <charset val="1"/>
      </rPr>
      <t xml:space="preserve">PO </t>
    </r>
    <r>
      <rPr>
        <b val="true"/>
        <i val="true"/>
        <sz val="12"/>
        <rFont val="Arial"/>
        <family val="2"/>
        <charset val="1"/>
      </rPr>
      <t xml:space="preserve"># </t>
    </r>
  </si>
  <si>
    <t xml:space="preserve">SHIP QTY         :</t>
  </si>
  <si>
    <t xml:space="preserve">SKU / Item</t>
  </si>
  <si>
    <t xml:space="preserve">EX/SHORT       :</t>
  </si>
  <si>
    <t xml:space="preserve">Unit / Prepack      </t>
  </si>
  <si>
    <t xml:space="preserve">184/23</t>
  </si>
  <si>
    <t xml:space="preserve">CTN QTY          :</t>
  </si>
  <si>
    <t xml:space="preserve">CTNS</t>
  </si>
  <si>
    <t xml:space="preserve">CARTON </t>
  </si>
  <si>
    <t xml:space="preserve">01 of 177</t>
  </si>
  <si>
    <t xml:space="preserve">CTN MEAS.      :</t>
  </si>
  <si>
    <t xml:space="preserve">58.67 X 38.48 X 29.71 CM.G8_SL</t>
  </si>
  <si>
    <t xml:space="preserve">58.67 X 38.48 X 14.86 CM.G8S_SL</t>
  </si>
  <si>
    <t xml:space="preserve">38.48 X 29.33 X 14.86 CM.G-8M</t>
  </si>
  <si>
    <t xml:space="preserve">29.33 X 19.25 X 14.86 CM.G-8XS</t>
  </si>
  <si>
    <t xml:space="preserve">55.88 X 38.1 X 15.24 CM G13</t>
  </si>
  <si>
    <t xml:space="preserve">CTN</t>
  </si>
  <si>
    <t xml:space="preserve">CTN QTY</t>
  </si>
  <si>
    <t xml:space="preserve">COLOR</t>
  </si>
  <si>
    <t xml:space="preserve">PREPACK STECKER</t>
  </si>
  <si>
    <t xml:space="preserve"> PER BLST</t>
  </si>
  <si>
    <t xml:space="preserve">QTY PER CTN</t>
  </si>
  <si>
    <t xml:space="preserve">TOTAL QTY</t>
  </si>
  <si>
    <t xml:space="preserve">GROSS WEIGHT </t>
  </si>
  <si>
    <t xml:space="preserve">NET WEIGHT</t>
  </si>
  <si>
    <t xml:space="preserve">NO</t>
  </si>
  <si>
    <t xml:space="preserve">MES:</t>
  </si>
  <si>
    <t xml:space="preserve">G81</t>
  </si>
  <si>
    <t xml:space="preserve">ESPRESSO BARK</t>
  </si>
  <si>
    <t xml:space="preserve">X</t>
  </si>
  <si>
    <t xml:space="preserve">TOTAL</t>
  </si>
  <si>
    <t xml:space="preserve">908546-00-1</t>
  </si>
  <si>
    <t xml:space="preserve">63 of 177</t>
  </si>
  <si>
    <t xml:space="preserve">IN THE NAVY</t>
  </si>
  <si>
    <t xml:space="preserve">Single PACK </t>
  </si>
  <si>
    <t xml:space="preserve">80/40</t>
  </si>
  <si>
    <t xml:space="preserve">125 of 177</t>
  </si>
  <si>
    <t xml:space="preserve">G82</t>
  </si>
  <si>
    <t xml:space="preserve">G84</t>
  </si>
  <si>
    <t xml:space="preserve">G85</t>
  </si>
  <si>
    <t xml:space="preserve">BULK PACK </t>
  </si>
  <si>
    <t xml:space="preserve">129 of 177</t>
  </si>
  <si>
    <t xml:space="preserve">144 of 177</t>
  </si>
  <si>
    <t xml:space="preserve">G814</t>
  </si>
  <si>
    <t xml:space="preserve">ORDER  QTY</t>
  </si>
  <si>
    <t xml:space="preserve">SHIP  QTY</t>
  </si>
  <si>
    <t xml:space="preserve">EX/SHORT</t>
  </si>
  <si>
    <t xml:space="preserve">%</t>
  </si>
  <si>
    <t xml:space="preserve">G. Total Summery</t>
  </si>
  <si>
    <t xml:space="preserve">CREATIVE COLLECTIONS LIMITED (UNIT-1A)</t>
  </si>
  <si>
    <t xml:space="preserve">Nishatnagar,Tongi,Gazipur</t>
  </si>
  <si>
    <t xml:space="preserve">PACKING LIST SUMMARY</t>
  </si>
  <si>
    <t xml:space="preserve">BUYER</t>
  </si>
  <si>
    <t xml:space="preserve">STYLE</t>
  </si>
  <si>
    <t xml:space="preserve">DATE</t>
  </si>
  <si>
    <t xml:space="preserve">01/02/2026</t>
  </si>
  <si>
    <t xml:space="preserve">DC</t>
  </si>
  <si>
    <t xml:space="preserve">PO NO</t>
  </si>
  <si>
    <t xml:space="preserve">SEASON</t>
  </si>
  <si>
    <t xml:space="preserve">COLOR/CODE</t>
  </si>
  <si>
    <t xml:space="preserve">ORD/QTY</t>
  </si>
  <si>
    <t xml:space="preserve">SHIP/QTY</t>
  </si>
  <si>
    <t xml:space="preserve">EXCES</t>
  </si>
  <si>
    <t xml:space="preserve">SHORT</t>
  </si>
  <si>
    <t xml:space="preserve">PER (%)</t>
  </si>
  <si>
    <t xml:space="preserve">BDC</t>
  </si>
  <si>
    <t xml:space="preserve">Sum'26</t>
  </si>
  <si>
    <t xml:space="preserve">HANNAH</t>
  </si>
  <si>
    <t xml:space="preserve">CANADA</t>
  </si>
  <si>
    <t xml:space="preserve">61194786</t>
  </si>
  <si>
    <t xml:space="preserve">''</t>
  </si>
  <si>
    <t xml:space="preserve">SERIAL NO</t>
  </si>
  <si>
    <t xml:space="preserve">PENDING ISSUE</t>
  </si>
  <si>
    <t xml:space="preserve">YES</t>
  </si>
  <si>
    <t xml:space="preserve">REMARKS</t>
  </si>
  <si>
    <t xml:space="preserve">%ISSUE</t>
  </si>
  <si>
    <t xml:space="preserve">GPT</t>
  </si>
  <si>
    <t xml:space="preserve">TOP</t>
  </si>
  <si>
    <t xml:space="preserve">SHADE BAND</t>
  </si>
  <si>
    <t xml:space="preserve">GTS/YTS</t>
  </si>
  <si>
    <t xml:space="preserve">UP DATE DC PO</t>
  </si>
  <si>
    <t xml:space="preserve">TRIM CARD</t>
  </si>
  <si>
    <t xml:space="preserve">FA CTN QTY</t>
  </si>
  <si>
    <t xml:space="preserve">CHECK QTY</t>
  </si>
  <si>
    <t xml:space="preserve">VSL DATE</t>
  </si>
  <si>
    <t xml:space="preserve">ITEM</t>
  </si>
  <si>
    <t xml:space="preserve">FA AUDITOR</t>
  </si>
  <si>
    <t xml:space="preserve">PACKING INCHARGE</t>
  </si>
  <si>
    <t xml:space="preserve">FM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</si>
</sst>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"/>
    <numFmt numFmtId="167" formatCode="0"/>
    <numFmt numFmtId="168" formatCode="General"/>
    <numFmt numFmtId="169" formatCode="@"/>
    <numFmt numFmtId="170" formatCode="0.00%"/>
    <numFmt numFmtId="171" formatCode="0%"/>
  </numFmts>
  <fonts count="2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4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1"/>
      <name val="Vrinda"/>
      <family val="1"/>
      <charset val="1"/>
    </font>
    <font>
      <b val="true"/>
      <sz val="9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8"/>
      <color theme="1"/>
      <name val="Arial"/>
      <family val="2"/>
      <charset val="1"/>
    </font>
    <font>
      <b val="true"/>
      <sz val="14"/>
      <name val="Vrinda"/>
      <family val="1"/>
      <charset val="1"/>
    </font>
    <font>
      <b val="true"/>
      <sz val="12"/>
      <name val="Vrinda"/>
      <family val="1"/>
      <charset val="1"/>
    </font>
    <font>
      <b val="true"/>
      <u val="single"/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0000"/>
      <name val="Arial"/>
      <family val="0"/>
      <charset val="1"/>
    </font>
    <font>
      <b val="true"/>
      <sz val="6"/>
      <color rgb="FF000000"/>
      <name val="Arial"/>
      <family val="0"/>
      <charset val="1"/>
    </font>
    <font>
      <b val="true"/>
      <sz val="20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59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D9D9D9"/>
      </patternFill>
    </fill>
    <fill>
      <patternFill patternType="solid">
        <fgColor theme="0" tint="-0.15"/>
        <bgColor rgb="FFDCE6F2"/>
      </patternFill>
    </fill>
  </fills>
  <borders count="5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thin"/>
      <right style="double"/>
      <top style="double"/>
      <bottom style="double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/>
      <top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 style="thin"/>
      <top style="double"/>
      <bottom style="double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double"/>
      <top style="thin"/>
      <bottom style="thin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double"/>
      <top style="thin"/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2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6" borderId="4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ont>
        <b val="0"/>
        <i val="1"/>
        <strike val="1"/>
      </font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A7"/>
        </patternFill>
      </fill>
    </dxf>
    <dxf>
      <font>
        <color rgb="FFFFFFFF"/>
      </font>
      <fill>
        <patternFill>
          <bgColor theme="9" tint="-0.25"/>
        </patternFill>
      </fill>
    </dxf>
    <dxf>
      <font>
        <b val="0"/>
        <i val="1"/>
        <strike val="1"/>
      </font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A7"/>
        </patternFill>
      </fill>
    </dxf>
    <dxf>
      <font>
        <color rgb="FFFFFFFF"/>
      </font>
      <fill>
        <patternFill>
          <bgColor theme="9" tint="-0.25"/>
        </patternFill>
      </fill>
    </dxf>
    <dxf>
      <font>
        <b val="0"/>
        <i val="1"/>
        <strike val="1"/>
      </font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A7"/>
        </patternFill>
      </fill>
    </dxf>
    <dxf>
      <font>
        <color rgb="FFFFFFFF"/>
      </font>
      <fill>
        <patternFill>
          <bgColor theme="9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7"/>
      <rgbColor rgb="FF99CCFF"/>
      <rgbColor rgb="FFFF99CC"/>
      <rgbColor rgb="FFCC99FF"/>
      <rgbColor rgb="FFFCD5B5"/>
      <rgbColor rgb="FF3366FF"/>
      <rgbColor rgb="FF33CCCC"/>
      <rgbColor rgb="FF92D050"/>
      <rgbColor rgb="FFFFCC00"/>
      <rgbColor rgb="FFFF9900"/>
      <rgbColor rgb="FFE46C0A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246600</xdr:colOff>
      <xdr:row>24</xdr:row>
      <xdr:rowOff>239400</xdr:rowOff>
    </xdr:from>
    <xdr:to>
      <xdr:col>25</xdr:col>
      <xdr:colOff>50040</xdr:colOff>
      <xdr:row>41</xdr:row>
      <xdr:rowOff>201960</xdr:rowOff>
    </xdr:to>
    <xdr:pic>
      <xdr:nvPicPr>
        <xdr:cNvPr id="0" name="Picture 4" descr=""/>
        <xdr:cNvPicPr/>
      </xdr:nvPicPr>
      <xdr:blipFill>
        <a:blip r:embed="rId1"/>
        <a:stretch/>
      </xdr:blipFill>
      <xdr:spPr>
        <a:xfrm>
          <a:off x="12607560" y="5548680"/>
          <a:ext cx="3026160" cy="3543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414720</xdr:colOff>
      <xdr:row>56</xdr:row>
      <xdr:rowOff>138240</xdr:rowOff>
    </xdr:from>
    <xdr:to>
      <xdr:col>25</xdr:col>
      <xdr:colOff>103680</xdr:colOff>
      <xdr:row>64</xdr:row>
      <xdr:rowOff>27000</xdr:rowOff>
    </xdr:to>
    <xdr:pic>
      <xdr:nvPicPr>
        <xdr:cNvPr id="1" name="Picture 5" descr=""/>
        <xdr:cNvPicPr/>
      </xdr:nvPicPr>
      <xdr:blipFill>
        <a:blip r:embed="rId2"/>
        <a:stretch/>
      </xdr:blipFill>
      <xdr:spPr>
        <a:xfrm>
          <a:off x="12775680" y="12534120"/>
          <a:ext cx="2911680" cy="2222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89640</xdr:colOff>
      <xdr:row>102</xdr:row>
      <xdr:rowOff>116280</xdr:rowOff>
    </xdr:from>
    <xdr:to>
      <xdr:col>27</xdr:col>
      <xdr:colOff>545400</xdr:colOff>
      <xdr:row>110</xdr:row>
      <xdr:rowOff>78480</xdr:rowOff>
    </xdr:to>
    <xdr:pic>
      <xdr:nvPicPr>
        <xdr:cNvPr id="2" name="Picture 1" descr=""/>
        <xdr:cNvPicPr/>
      </xdr:nvPicPr>
      <xdr:blipFill>
        <a:blip r:embed="rId3"/>
        <a:stretch/>
      </xdr:blipFill>
      <xdr:spPr>
        <a:xfrm>
          <a:off x="13095000" y="23932440"/>
          <a:ext cx="4322880" cy="2772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6"/>
  <sheetViews>
    <sheetView showFormulas="false" showGridLines="true" showRowColHeaders="true" showZeros="true" rightToLeft="false" tabSelected="true" showOutlineSymbols="true" defaultGridColor="true" view="pageBreakPreview" topLeftCell="A1" colorId="64" zoomScale="85" zoomScaleNormal="100" zoomScalePageLayoutView="85" workbookViewId="0">
      <pane xSplit="0" ySplit="5" topLeftCell="A24" activePane="bottomLeft" state="frozen"/>
      <selection pane="topLeft" activeCell="A1" activeCellId="0" sqref="A1"/>
      <selection pane="bottomLeft" activeCell="N41" activeCellId="0" sqref="N4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7.57"/>
    <col collapsed="false" customWidth="true" hidden="false" outlineLevel="0" max="3" min="3" style="1" width="7.86"/>
    <col collapsed="false" customWidth="true" hidden="false" outlineLevel="0" max="4" min="4" style="1" width="7.57"/>
    <col collapsed="false" customWidth="true" hidden="false" outlineLevel="0" max="5" min="5" style="1" width="12.57"/>
    <col collapsed="false" customWidth="true" hidden="false" outlineLevel="0" max="6" min="6" style="1" width="17"/>
    <col collapsed="false" customWidth="true" hidden="false" outlineLevel="0" max="13" min="7" style="1" width="10.42"/>
    <col collapsed="false" customWidth="true" hidden="false" outlineLevel="0" max="14" min="14" style="1" width="7"/>
    <col collapsed="false" customWidth="true" hidden="false" outlineLevel="0" max="15" min="15" style="1" width="2.86"/>
    <col collapsed="false" customWidth="true" hidden="false" outlineLevel="0" max="16" min="16" style="1" width="4.86"/>
    <col collapsed="false" customWidth="true" hidden="false" outlineLevel="0" max="17" min="17" style="1" width="5.57"/>
    <col collapsed="false" customWidth="true" hidden="false" outlineLevel="0" max="18" min="18" style="1" width="9.42"/>
    <col collapsed="false" customWidth="true" hidden="false" outlineLevel="0" max="19" min="19" style="1" width="6.71"/>
    <col collapsed="false" customWidth="true" hidden="false" outlineLevel="0" max="20" min="20" style="1" width="7.15"/>
    <col collapsed="false" customWidth="false" hidden="false" outlineLevel="0" max="16384" min="21" style="1" width="9.14"/>
  </cols>
  <sheetData>
    <row r="1" customFormat="false" ht="22.0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6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6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6.5" hidden="false" customHeight="true" outlineLevel="0" collapsed="false">
      <c r="A4" s="4"/>
      <c r="B4" s="4"/>
      <c r="C4" s="4"/>
      <c r="D4" s="5" t="s">
        <v>2</v>
      </c>
      <c r="E4" s="5"/>
      <c r="F4" s="6" t="s">
        <v>2</v>
      </c>
      <c r="G4" s="7" t="s">
        <v>3</v>
      </c>
      <c r="H4" s="7" t="s">
        <v>4</v>
      </c>
      <c r="I4" s="7" t="s">
        <v>5</v>
      </c>
      <c r="J4" s="7" t="s">
        <v>6</v>
      </c>
      <c r="K4" s="7" t="s">
        <v>7</v>
      </c>
      <c r="L4" s="7" t="s">
        <v>8</v>
      </c>
      <c r="M4" s="7" t="s">
        <v>9</v>
      </c>
      <c r="N4" s="8"/>
      <c r="O4" s="8"/>
      <c r="P4" s="8"/>
      <c r="Q4" s="4"/>
      <c r="R4" s="4"/>
      <c r="S4" s="4"/>
      <c r="T4" s="4"/>
    </row>
    <row r="5" customFormat="false" ht="16.5" hidden="false" customHeight="true" outlineLevel="0" collapsed="false">
      <c r="A5" s="4"/>
      <c r="B5" s="4"/>
      <c r="C5" s="4"/>
      <c r="D5" s="5" t="s">
        <v>10</v>
      </c>
      <c r="E5" s="5"/>
      <c r="F5" s="6" t="s">
        <v>11</v>
      </c>
      <c r="G5" s="9" t="n">
        <v>0.17</v>
      </c>
      <c r="H5" s="9" t="n">
        <v>0.19</v>
      </c>
      <c r="I5" s="9" t="n">
        <v>0.21</v>
      </c>
      <c r="J5" s="9" t="n">
        <v>0.22</v>
      </c>
      <c r="K5" s="9" t="n">
        <v>0.25</v>
      </c>
      <c r="L5" s="9" t="n">
        <v>0.26</v>
      </c>
      <c r="M5" s="9" t="n">
        <v>0.28</v>
      </c>
      <c r="N5" s="8"/>
      <c r="O5" s="8"/>
      <c r="P5" s="8"/>
      <c r="Q5" s="4"/>
      <c r="R5" s="4"/>
      <c r="S5" s="4"/>
      <c r="T5" s="4"/>
    </row>
    <row r="6" customFormat="false" ht="16.5" hidden="false" customHeight="true" outlineLevel="0" collapsed="false">
      <c r="A6" s="4"/>
      <c r="B6" s="4"/>
      <c r="C6" s="4"/>
      <c r="D6" s="5" t="s">
        <v>12</v>
      </c>
      <c r="E6" s="5"/>
      <c r="F6" s="6" t="s">
        <v>13</v>
      </c>
      <c r="G6" s="10" t="n">
        <f aca="false">+G5-0.02</f>
        <v>0.15</v>
      </c>
      <c r="H6" s="10" t="n">
        <f aca="false">+H5-0.02</f>
        <v>0.17</v>
      </c>
      <c r="I6" s="10" t="n">
        <f aca="false">+I5-0.02</f>
        <v>0.19</v>
      </c>
      <c r="J6" s="10" t="n">
        <f aca="false">+J5-0.02</f>
        <v>0.2</v>
      </c>
      <c r="K6" s="10" t="n">
        <f aca="false">+K5-0.02</f>
        <v>0.23</v>
      </c>
      <c r="L6" s="10" t="n">
        <f aca="false">+L5-0.02</f>
        <v>0.24</v>
      </c>
      <c r="M6" s="10" t="n">
        <f aca="false">+M5-0.02</f>
        <v>0.26</v>
      </c>
      <c r="N6" s="8"/>
      <c r="O6" s="8"/>
      <c r="P6" s="8"/>
      <c r="Q6" s="4"/>
      <c r="R6" s="4"/>
      <c r="S6" s="4"/>
      <c r="T6" s="4"/>
    </row>
    <row r="7" customFormat="false" ht="16.5" hidden="false" customHeight="true" outlineLevel="0" collapsed="false">
      <c r="A7" s="4"/>
      <c r="B7" s="4"/>
      <c r="C7" s="4"/>
      <c r="D7" s="5" t="s">
        <v>14</v>
      </c>
      <c r="E7" s="5"/>
      <c r="F7" s="11"/>
      <c r="G7" s="11"/>
      <c r="H7" s="11"/>
      <c r="I7" s="11"/>
      <c r="J7" s="11"/>
      <c r="K7" s="11"/>
      <c r="L7" s="11"/>
      <c r="M7" s="11"/>
      <c r="N7" s="12"/>
      <c r="O7" s="12"/>
      <c r="P7" s="12"/>
      <c r="Q7" s="4"/>
      <c r="R7" s="4"/>
      <c r="S7" s="4"/>
      <c r="T7" s="4"/>
    </row>
    <row r="8" customFormat="false" ht="16.5" hidden="false" customHeight="true" outlineLevel="0" collapsed="false">
      <c r="A8" s="4"/>
      <c r="B8" s="4"/>
      <c r="C8" s="4"/>
      <c r="D8" s="13"/>
      <c r="E8" s="13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4"/>
      <c r="R8" s="4"/>
      <c r="S8" s="4"/>
      <c r="T8" s="4"/>
    </row>
    <row r="9" customFormat="false" ht="16.5" hidden="false" customHeight="true" outlineLevel="0" collapsed="false">
      <c r="A9" s="14" t="s">
        <v>15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7" customFormat="true" ht="16.5" hidden="false" customHeight="true" outlineLevel="0" collapsed="false">
      <c r="A10" s="15" t="s">
        <v>16</v>
      </c>
      <c r="B10" s="15"/>
      <c r="C10" s="15"/>
      <c r="D10" s="15" t="s">
        <v>17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="17" customFormat="true" ht="16.5" hidden="false" customHeight="true" outlineLevel="0" collapsed="false">
      <c r="A11" s="15" t="s">
        <v>18</v>
      </c>
      <c r="B11" s="15"/>
      <c r="C11" s="15"/>
      <c r="D11" s="18" t="s">
        <v>19</v>
      </c>
      <c r="E11" s="18"/>
      <c r="H11" s="19"/>
      <c r="I11" s="19"/>
      <c r="J11" s="19"/>
      <c r="N11" s="20"/>
      <c r="O11" s="20"/>
      <c r="P11" s="20"/>
      <c r="Q11" s="20"/>
      <c r="R11" s="20"/>
      <c r="S11" s="20"/>
    </row>
    <row r="12" s="17" customFormat="true" ht="16.5" hidden="false" customHeight="true" outlineLevel="0" collapsed="false">
      <c r="A12" s="15" t="s">
        <v>20</v>
      </c>
      <c r="B12" s="15"/>
      <c r="C12" s="15"/>
      <c r="D12" s="21" t="n">
        <v>61429740</v>
      </c>
      <c r="E12" s="21"/>
    </row>
    <row r="13" s="17" customFormat="true" ht="16.5" hidden="false" customHeight="true" outlineLevel="0" collapsed="false">
      <c r="A13" s="15" t="s">
        <v>21</v>
      </c>
      <c r="B13" s="15"/>
      <c r="C13" s="15"/>
      <c r="D13" s="20" t="n">
        <v>2223</v>
      </c>
      <c r="E13" s="17" t="s">
        <v>22</v>
      </c>
      <c r="N13" s="17" t="s">
        <v>23</v>
      </c>
      <c r="R13" s="22" t="n">
        <f aca="false">D12</f>
        <v>61429740</v>
      </c>
      <c r="S13" s="22"/>
    </row>
    <row r="14" s="17" customFormat="true" ht="16.5" hidden="false" customHeight="true" outlineLevel="0" collapsed="false">
      <c r="A14" s="15" t="s">
        <v>24</v>
      </c>
      <c r="B14" s="15"/>
      <c r="C14" s="15"/>
      <c r="D14" s="20" t="n">
        <f aca="false">+R26</f>
        <v>2223</v>
      </c>
      <c r="E14" s="17" t="s">
        <v>22</v>
      </c>
      <c r="N14" s="17" t="s">
        <v>25</v>
      </c>
      <c r="R14" s="23" t="str">
        <f aca="false">D11</f>
        <v>908546-01-1</v>
      </c>
      <c r="S14" s="23"/>
      <c r="T14" s="24"/>
    </row>
    <row r="15" s="17" customFormat="true" ht="16.5" hidden="false" customHeight="true" outlineLevel="0" collapsed="false">
      <c r="A15" s="15" t="s">
        <v>26</v>
      </c>
      <c r="B15" s="15"/>
      <c r="C15" s="15"/>
      <c r="D15" s="20" t="n">
        <f aca="false">D14-D13</f>
        <v>0</v>
      </c>
      <c r="E15" s="17" t="s">
        <v>22</v>
      </c>
      <c r="N15" s="17" t="s">
        <v>27</v>
      </c>
      <c r="R15" s="25" t="s">
        <v>28</v>
      </c>
      <c r="S15" s="25"/>
      <c r="T15" s="24"/>
    </row>
    <row r="16" s="17" customFormat="true" ht="16.5" hidden="false" customHeight="true" outlineLevel="0" collapsed="false">
      <c r="A16" s="15" t="s">
        <v>29</v>
      </c>
      <c r="B16" s="15"/>
      <c r="C16" s="15"/>
      <c r="D16" s="20" t="n">
        <f aca="false">D26</f>
        <v>62</v>
      </c>
      <c r="E16" s="17" t="s">
        <v>30</v>
      </c>
      <c r="N16" s="17" t="s">
        <v>31</v>
      </c>
      <c r="R16" s="25" t="s">
        <v>32</v>
      </c>
      <c r="S16" s="25"/>
    </row>
    <row r="17" s="17" customFormat="true" ht="15" hidden="false" customHeight="true" outlineLevel="0" collapsed="false">
      <c r="A17" s="15" t="s">
        <v>33</v>
      </c>
      <c r="B17" s="15"/>
      <c r="C17" s="15"/>
      <c r="D17" s="17" t="s">
        <v>34</v>
      </c>
    </row>
    <row r="18" s="17" customFormat="true" ht="15" hidden="false" customHeight="true" outlineLevel="0" collapsed="false">
      <c r="A18" s="15" t="s">
        <v>33</v>
      </c>
      <c r="B18" s="15"/>
      <c r="C18" s="15"/>
      <c r="D18" s="17" t="s">
        <v>35</v>
      </c>
    </row>
    <row r="19" s="17" customFormat="true" ht="15" hidden="false" customHeight="true" outlineLevel="0" collapsed="false">
      <c r="A19" s="15" t="s">
        <v>33</v>
      </c>
      <c r="B19" s="15"/>
      <c r="C19" s="15"/>
      <c r="D19" s="17" t="s">
        <v>36</v>
      </c>
    </row>
    <row r="20" s="17" customFormat="true" ht="15" hidden="false" customHeight="true" outlineLevel="0" collapsed="false">
      <c r="A20" s="15" t="s">
        <v>33</v>
      </c>
      <c r="B20" s="15"/>
      <c r="C20" s="15"/>
      <c r="D20" s="17" t="s">
        <v>37</v>
      </c>
    </row>
    <row r="21" s="17" customFormat="true" ht="15" hidden="false" customHeight="true" outlineLevel="0" collapsed="false">
      <c r="A21" s="15" t="s">
        <v>33</v>
      </c>
      <c r="B21" s="15"/>
      <c r="C21" s="15"/>
      <c r="D21" s="17" t="s">
        <v>38</v>
      </c>
    </row>
    <row r="22" customFormat="false" ht="16.5" hidden="false" customHeight="true" outlineLevel="0" collapsed="false">
      <c r="A22" s="26" t="s">
        <v>39</v>
      </c>
      <c r="B22" s="27"/>
      <c r="C22" s="28" t="s">
        <v>39</v>
      </c>
      <c r="D22" s="29" t="s">
        <v>40</v>
      </c>
      <c r="E22" s="29" t="s">
        <v>41</v>
      </c>
      <c r="F22" s="30" t="s">
        <v>42</v>
      </c>
      <c r="G22" s="31" t="s">
        <v>2</v>
      </c>
      <c r="H22" s="31"/>
      <c r="I22" s="31"/>
      <c r="J22" s="31"/>
      <c r="K22" s="31"/>
      <c r="L22" s="31"/>
      <c r="M22" s="31"/>
      <c r="N22" s="32" t="s">
        <v>43</v>
      </c>
      <c r="O22" s="32"/>
      <c r="P22" s="32"/>
      <c r="Q22" s="32" t="s">
        <v>44</v>
      </c>
      <c r="R22" s="30" t="s">
        <v>45</v>
      </c>
      <c r="S22" s="33" t="s">
        <v>46</v>
      </c>
      <c r="T22" s="34" t="s">
        <v>47</v>
      </c>
    </row>
    <row r="23" customFormat="false" ht="31.5" hidden="false" customHeight="true" outlineLevel="0" collapsed="false">
      <c r="A23" s="35" t="s">
        <v>48</v>
      </c>
      <c r="B23" s="36"/>
      <c r="C23" s="37" t="s">
        <v>49</v>
      </c>
      <c r="D23" s="29"/>
      <c r="E23" s="29"/>
      <c r="F23" s="30"/>
      <c r="G23" s="38" t="str">
        <f aca="false">G4</f>
        <v>12-18M</v>
      </c>
      <c r="H23" s="38" t="str">
        <f aca="false">H4</f>
        <v>18-24M</v>
      </c>
      <c r="I23" s="38" t="str">
        <f aca="false">I4</f>
        <v>2T</v>
      </c>
      <c r="J23" s="38" t="str">
        <f aca="false">J4</f>
        <v>3T</v>
      </c>
      <c r="K23" s="38" t="str">
        <f aca="false">K4</f>
        <v>4T</v>
      </c>
      <c r="L23" s="38" t="str">
        <f aca="false">L4</f>
        <v>5T</v>
      </c>
      <c r="M23" s="38" t="str">
        <f aca="false">M4</f>
        <v>6T</v>
      </c>
      <c r="N23" s="32"/>
      <c r="O23" s="32"/>
      <c r="P23" s="32"/>
      <c r="Q23" s="32"/>
      <c r="R23" s="30"/>
      <c r="S23" s="33"/>
      <c r="T23" s="34"/>
    </row>
    <row r="24" customFormat="false" ht="25.5" hidden="false" customHeight="true" outlineLevel="0" collapsed="false">
      <c r="A24" s="39" t="n">
        <v>1</v>
      </c>
      <c r="B24" s="40" t="n">
        <f aca="false">+D24</f>
        <v>61</v>
      </c>
      <c r="C24" s="41" t="s">
        <v>50</v>
      </c>
      <c r="D24" s="39" t="n">
        <v>61</v>
      </c>
      <c r="E24" s="42" t="s">
        <v>51</v>
      </c>
      <c r="F24" s="43" t="n">
        <v>8655475</v>
      </c>
      <c r="G24" s="44" t="n">
        <v>1</v>
      </c>
      <c r="H24" s="44" t="n">
        <v>1</v>
      </c>
      <c r="I24" s="44" t="n">
        <v>1</v>
      </c>
      <c r="J24" s="44" t="n">
        <v>2</v>
      </c>
      <c r="K24" s="44" t="n">
        <v>2</v>
      </c>
      <c r="L24" s="44" t="n">
        <v>2</v>
      </c>
      <c r="M24" s="44"/>
      <c r="N24" s="45" t="n">
        <f aca="false">SUM(G24:M24)</f>
        <v>9</v>
      </c>
      <c r="O24" s="46" t="s">
        <v>52</v>
      </c>
      <c r="P24" s="47" t="n">
        <v>4</v>
      </c>
      <c r="Q24" s="47" t="n">
        <f aca="false">+P24*N24</f>
        <v>36</v>
      </c>
      <c r="R24" s="48" t="n">
        <f aca="false">Q24*D24</f>
        <v>2196</v>
      </c>
      <c r="S24" s="49" t="n">
        <f aca="false">(G24*G5+H24*H5+I24*I5+J24*J5+L24*L5+M24*M5)*P24+0.71</f>
        <v>6.83</v>
      </c>
      <c r="T24" s="50" t="n">
        <f aca="false">S24-0.42</f>
        <v>6.41</v>
      </c>
    </row>
    <row r="25" customFormat="false" ht="25.5" hidden="false" customHeight="true" outlineLevel="0" collapsed="false">
      <c r="A25" s="39" t="n">
        <f aca="false">+B24+1</f>
        <v>62</v>
      </c>
      <c r="B25" s="40" t="n">
        <f aca="false">+B24+D25</f>
        <v>62</v>
      </c>
      <c r="C25" s="41" t="s">
        <v>50</v>
      </c>
      <c r="D25" s="39" t="n">
        <v>1</v>
      </c>
      <c r="E25" s="42"/>
      <c r="F25" s="43"/>
      <c r="G25" s="44" t="n">
        <v>1</v>
      </c>
      <c r="H25" s="44" t="n">
        <v>1</v>
      </c>
      <c r="I25" s="44" t="n">
        <v>1</v>
      </c>
      <c r="J25" s="44" t="n">
        <v>2</v>
      </c>
      <c r="K25" s="44" t="n">
        <v>2</v>
      </c>
      <c r="L25" s="44" t="n">
        <v>2</v>
      </c>
      <c r="M25" s="44"/>
      <c r="N25" s="45" t="n">
        <f aca="false">SUM(G25:M25)</f>
        <v>9</v>
      </c>
      <c r="O25" s="46" t="s">
        <v>52</v>
      </c>
      <c r="P25" s="47" t="n">
        <v>3</v>
      </c>
      <c r="Q25" s="47" t="n">
        <f aca="false">+P25*N25</f>
        <v>27</v>
      </c>
      <c r="R25" s="48" t="n">
        <f aca="false">Q25*D25</f>
        <v>27</v>
      </c>
      <c r="S25" s="49" t="n">
        <f aca="false">(G25*G6+H25*H6+I25*I6+J25*J6+L25*L6+M25*M6)*P25+0.71</f>
        <v>4.88</v>
      </c>
      <c r="T25" s="50" t="n">
        <f aca="false">S25-0.42</f>
        <v>4.46</v>
      </c>
    </row>
    <row r="26" customFormat="false" ht="16.5" hidden="false" customHeight="true" outlineLevel="0" collapsed="false">
      <c r="A26" s="51" t="s">
        <v>53</v>
      </c>
      <c r="B26" s="51"/>
      <c r="C26" s="51"/>
      <c r="D26" s="52" t="n">
        <f aca="false">SUM(D24:D25)</f>
        <v>62</v>
      </c>
      <c r="E26" s="53" t="s">
        <v>30</v>
      </c>
      <c r="F26" s="54"/>
      <c r="G26" s="55" t="n">
        <v>247</v>
      </c>
      <c r="H26" s="55" t="n">
        <v>247</v>
      </c>
      <c r="I26" s="55" t="n">
        <v>247</v>
      </c>
      <c r="J26" s="55" t="n">
        <v>494</v>
      </c>
      <c r="K26" s="55" t="n">
        <v>494</v>
      </c>
      <c r="L26" s="55" t="n">
        <v>494</v>
      </c>
      <c r="M26" s="55"/>
      <c r="N26" s="56"/>
      <c r="O26" s="56"/>
      <c r="P26" s="56"/>
      <c r="Q26" s="56"/>
      <c r="R26" s="55" t="n">
        <f aca="false">SUM(R24:R25)</f>
        <v>2223</v>
      </c>
      <c r="S26" s="56" t="s">
        <v>22</v>
      </c>
      <c r="T26" s="53"/>
    </row>
    <row r="27" customFormat="false" ht="16.5" hidden="false" customHeight="true" outlineLevel="0" collapsed="false">
      <c r="A27" s="57"/>
      <c r="B27" s="57"/>
      <c r="C27" s="57"/>
      <c r="D27" s="58"/>
      <c r="E27" s="57"/>
      <c r="F27" s="59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7"/>
      <c r="T27" s="57"/>
    </row>
    <row r="28" customFormat="false" ht="16.5" hidden="false" customHeight="true" outlineLevel="0" collapsed="false">
      <c r="A28" s="14" t="s">
        <v>15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="17" customFormat="true" ht="16.5" hidden="false" customHeight="true" outlineLevel="0" collapsed="false">
      <c r="A29" s="15" t="s">
        <v>16</v>
      </c>
      <c r="B29" s="15"/>
      <c r="C29" s="15"/>
      <c r="D29" s="15" t="str">
        <f aca="false">+D10</f>
        <v>OLD NAVY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="17" customFormat="true" ht="16.5" hidden="false" customHeight="true" outlineLevel="0" collapsed="false">
      <c r="A30" s="15" t="s">
        <v>18</v>
      </c>
      <c r="B30" s="15"/>
      <c r="C30" s="15"/>
      <c r="D30" s="18" t="s">
        <v>54</v>
      </c>
      <c r="E30" s="18"/>
      <c r="H30" s="19"/>
      <c r="I30" s="19"/>
      <c r="J30" s="19"/>
      <c r="N30" s="20"/>
      <c r="O30" s="20"/>
      <c r="P30" s="20"/>
      <c r="Q30" s="20"/>
      <c r="R30" s="20"/>
      <c r="S30" s="20"/>
    </row>
    <row r="31" s="17" customFormat="true" ht="16.5" hidden="false" customHeight="true" outlineLevel="0" collapsed="false">
      <c r="A31" s="15" t="s">
        <v>20</v>
      </c>
      <c r="B31" s="15"/>
      <c r="C31" s="15"/>
      <c r="D31" s="21" t="n">
        <f aca="false">+D12</f>
        <v>61429740</v>
      </c>
      <c r="E31" s="21"/>
    </row>
    <row r="32" s="17" customFormat="true" ht="16.5" hidden="false" customHeight="true" outlineLevel="0" collapsed="false">
      <c r="A32" s="15" t="s">
        <v>21</v>
      </c>
      <c r="B32" s="15"/>
      <c r="C32" s="15"/>
      <c r="D32" s="20" t="n">
        <v>2223</v>
      </c>
      <c r="E32" s="17" t="s">
        <v>22</v>
      </c>
      <c r="N32" s="17" t="s">
        <v>23</v>
      </c>
      <c r="R32" s="22" t="n">
        <f aca="false">D31</f>
        <v>61429740</v>
      </c>
      <c r="S32" s="22"/>
    </row>
    <row r="33" s="17" customFormat="true" ht="16.5" hidden="false" customHeight="true" outlineLevel="0" collapsed="false">
      <c r="A33" s="15" t="s">
        <v>24</v>
      </c>
      <c r="B33" s="15"/>
      <c r="C33" s="15"/>
      <c r="D33" s="20" t="n">
        <f aca="false">+R45</f>
        <v>2223</v>
      </c>
      <c r="E33" s="17" t="s">
        <v>22</v>
      </c>
      <c r="N33" s="17" t="s">
        <v>25</v>
      </c>
      <c r="R33" s="23" t="str">
        <f aca="false">D30</f>
        <v>908546-00-1</v>
      </c>
      <c r="S33" s="23"/>
      <c r="T33" s="24"/>
    </row>
    <row r="34" s="17" customFormat="true" ht="16.5" hidden="false" customHeight="true" outlineLevel="0" collapsed="false">
      <c r="A34" s="15" t="s">
        <v>26</v>
      </c>
      <c r="B34" s="15"/>
      <c r="C34" s="15"/>
      <c r="D34" s="20" t="n">
        <f aca="false">D33-D32</f>
        <v>0</v>
      </c>
      <c r="E34" s="17" t="s">
        <v>22</v>
      </c>
      <c r="N34" s="17" t="s">
        <v>27</v>
      </c>
      <c r="R34" s="25" t="s">
        <v>28</v>
      </c>
      <c r="S34" s="25"/>
      <c r="T34" s="24"/>
    </row>
    <row r="35" s="17" customFormat="true" ht="16.5" hidden="false" customHeight="true" outlineLevel="0" collapsed="false">
      <c r="A35" s="15" t="s">
        <v>29</v>
      </c>
      <c r="B35" s="15"/>
      <c r="C35" s="15"/>
      <c r="D35" s="20" t="n">
        <f aca="false">D45</f>
        <v>62</v>
      </c>
      <c r="E35" s="17" t="s">
        <v>30</v>
      </c>
      <c r="N35" s="17" t="s">
        <v>31</v>
      </c>
      <c r="R35" s="25" t="s">
        <v>55</v>
      </c>
      <c r="S35" s="25"/>
    </row>
    <row r="36" s="17" customFormat="true" ht="15" hidden="false" customHeight="true" outlineLevel="0" collapsed="false">
      <c r="A36" s="15" t="s">
        <v>33</v>
      </c>
      <c r="B36" s="15"/>
      <c r="C36" s="15"/>
      <c r="D36" s="17" t="s">
        <v>34</v>
      </c>
    </row>
    <row r="37" s="17" customFormat="true" ht="15" hidden="false" customHeight="true" outlineLevel="0" collapsed="false">
      <c r="A37" s="15" t="s">
        <v>33</v>
      </c>
      <c r="B37" s="15"/>
      <c r="C37" s="15"/>
      <c r="D37" s="17" t="s">
        <v>35</v>
      </c>
    </row>
    <row r="38" s="17" customFormat="true" ht="15" hidden="false" customHeight="true" outlineLevel="0" collapsed="false">
      <c r="A38" s="15" t="s">
        <v>33</v>
      </c>
      <c r="B38" s="15"/>
      <c r="C38" s="15"/>
      <c r="D38" s="17" t="s">
        <v>36</v>
      </c>
    </row>
    <row r="39" s="17" customFormat="true" ht="15" hidden="false" customHeight="true" outlineLevel="0" collapsed="false">
      <c r="A39" s="15" t="s">
        <v>33</v>
      </c>
      <c r="B39" s="15"/>
      <c r="C39" s="15"/>
      <c r="D39" s="17" t="s">
        <v>37</v>
      </c>
    </row>
    <row r="40" s="17" customFormat="true" ht="15" hidden="false" customHeight="true" outlineLevel="0" collapsed="false">
      <c r="A40" s="15" t="s">
        <v>33</v>
      </c>
      <c r="B40" s="15"/>
      <c r="C40" s="15"/>
      <c r="D40" s="17" t="s">
        <v>38</v>
      </c>
    </row>
    <row r="41" customFormat="false" ht="16.5" hidden="false" customHeight="true" outlineLevel="0" collapsed="false">
      <c r="A41" s="26" t="s">
        <v>39</v>
      </c>
      <c r="B41" s="27"/>
      <c r="C41" s="28" t="s">
        <v>39</v>
      </c>
      <c r="D41" s="29" t="s">
        <v>40</v>
      </c>
      <c r="E41" s="29" t="s">
        <v>41</v>
      </c>
      <c r="F41" s="30" t="s">
        <v>42</v>
      </c>
      <c r="G41" s="31" t="s">
        <v>2</v>
      </c>
      <c r="H41" s="31"/>
      <c r="I41" s="31"/>
      <c r="J41" s="31"/>
      <c r="K41" s="31"/>
      <c r="L41" s="31"/>
      <c r="M41" s="31"/>
      <c r="N41" s="32" t="s">
        <v>43</v>
      </c>
      <c r="O41" s="32"/>
      <c r="P41" s="32"/>
      <c r="Q41" s="32" t="s">
        <v>44</v>
      </c>
      <c r="R41" s="30" t="s">
        <v>45</v>
      </c>
      <c r="S41" s="33" t="s">
        <v>46</v>
      </c>
      <c r="T41" s="34" t="s">
        <v>47</v>
      </c>
    </row>
    <row r="42" customFormat="false" ht="31.5" hidden="false" customHeight="true" outlineLevel="0" collapsed="false">
      <c r="A42" s="35" t="s">
        <v>48</v>
      </c>
      <c r="B42" s="36"/>
      <c r="C42" s="37" t="s">
        <v>49</v>
      </c>
      <c r="D42" s="29"/>
      <c r="E42" s="29"/>
      <c r="F42" s="30"/>
      <c r="G42" s="38" t="str">
        <f aca="false">+G4</f>
        <v>12-18M</v>
      </c>
      <c r="H42" s="38" t="str">
        <f aca="false">+H4</f>
        <v>18-24M</v>
      </c>
      <c r="I42" s="38" t="str">
        <f aca="false">+I4</f>
        <v>2T</v>
      </c>
      <c r="J42" s="38" t="str">
        <f aca="false">+J4</f>
        <v>3T</v>
      </c>
      <c r="K42" s="38" t="str">
        <f aca="false">+K4</f>
        <v>4T</v>
      </c>
      <c r="L42" s="38" t="str">
        <f aca="false">+L4</f>
        <v>5T</v>
      </c>
      <c r="M42" s="38" t="str">
        <f aca="false">+M4</f>
        <v>6T</v>
      </c>
      <c r="N42" s="32"/>
      <c r="O42" s="32"/>
      <c r="P42" s="32"/>
      <c r="Q42" s="32"/>
      <c r="R42" s="30"/>
      <c r="S42" s="33"/>
      <c r="T42" s="34"/>
    </row>
    <row r="43" customFormat="false" ht="25.5" hidden="false" customHeight="true" outlineLevel="0" collapsed="false">
      <c r="A43" s="39" t="n">
        <f aca="false">+B25+1</f>
        <v>63</v>
      </c>
      <c r="B43" s="40" t="n">
        <f aca="false">+B25+D43</f>
        <v>123</v>
      </c>
      <c r="C43" s="41" t="s">
        <v>50</v>
      </c>
      <c r="D43" s="39" t="n">
        <v>61</v>
      </c>
      <c r="E43" s="42" t="s">
        <v>56</v>
      </c>
      <c r="F43" s="43" t="n">
        <v>8655476</v>
      </c>
      <c r="G43" s="44" t="n">
        <v>1</v>
      </c>
      <c r="H43" s="44" t="n">
        <v>1</v>
      </c>
      <c r="I43" s="44" t="n">
        <v>1</v>
      </c>
      <c r="J43" s="44" t="n">
        <v>2</v>
      </c>
      <c r="K43" s="44" t="n">
        <v>2</v>
      </c>
      <c r="L43" s="44" t="n">
        <v>2</v>
      </c>
      <c r="M43" s="44"/>
      <c r="N43" s="45" t="n">
        <f aca="false">SUM(G43:M43)</f>
        <v>9</v>
      </c>
      <c r="O43" s="46" t="s">
        <v>52</v>
      </c>
      <c r="P43" s="47" t="n">
        <v>4</v>
      </c>
      <c r="Q43" s="47" t="n">
        <f aca="false">+P43*N43</f>
        <v>36</v>
      </c>
      <c r="R43" s="48" t="n">
        <f aca="false">Q43*D43</f>
        <v>2196</v>
      </c>
      <c r="S43" s="49" t="n">
        <f aca="false">(G43*G5+H43*H5+I43*I5+J43*J5+L43*L5+M43*M5)*P43+0.71</f>
        <v>6.83</v>
      </c>
      <c r="T43" s="50" t="n">
        <f aca="false">S43-0.42</f>
        <v>6.41</v>
      </c>
    </row>
    <row r="44" customFormat="false" ht="25.5" hidden="false" customHeight="true" outlineLevel="0" collapsed="false">
      <c r="A44" s="39" t="n">
        <f aca="false">+B43+1</f>
        <v>124</v>
      </c>
      <c r="B44" s="40" t="n">
        <f aca="false">+B43+D44</f>
        <v>124</v>
      </c>
      <c r="C44" s="41" t="s">
        <v>50</v>
      </c>
      <c r="D44" s="39" t="n">
        <v>1</v>
      </c>
      <c r="E44" s="42"/>
      <c r="F44" s="43"/>
      <c r="G44" s="44" t="n">
        <v>1</v>
      </c>
      <c r="H44" s="44" t="n">
        <v>1</v>
      </c>
      <c r="I44" s="44" t="n">
        <v>1</v>
      </c>
      <c r="J44" s="44" t="n">
        <v>2</v>
      </c>
      <c r="K44" s="44" t="n">
        <v>2</v>
      </c>
      <c r="L44" s="44" t="n">
        <v>2</v>
      </c>
      <c r="M44" s="44"/>
      <c r="N44" s="45" t="n">
        <f aca="false">SUM(G44:M44)</f>
        <v>9</v>
      </c>
      <c r="O44" s="46" t="s">
        <v>52</v>
      </c>
      <c r="P44" s="47" t="n">
        <v>3</v>
      </c>
      <c r="Q44" s="47" t="n">
        <f aca="false">+P44*N44</f>
        <v>27</v>
      </c>
      <c r="R44" s="48" t="n">
        <f aca="false">Q44*D44</f>
        <v>27</v>
      </c>
      <c r="S44" s="49" t="n">
        <f aca="false">(G44*G6+H44*H6+I44*I6+J44*J6+L44*L6+M44*M6)*P44+0.71</f>
        <v>4.88</v>
      </c>
      <c r="T44" s="50" t="n">
        <f aca="false">S44-0.42</f>
        <v>4.46</v>
      </c>
    </row>
    <row r="45" customFormat="false" ht="16.5" hidden="false" customHeight="true" outlineLevel="0" collapsed="false">
      <c r="A45" s="51" t="s">
        <v>53</v>
      </c>
      <c r="B45" s="51"/>
      <c r="C45" s="51"/>
      <c r="D45" s="52" t="n">
        <f aca="false">SUM(D43:D44)</f>
        <v>62</v>
      </c>
      <c r="E45" s="53" t="s">
        <v>30</v>
      </c>
      <c r="F45" s="54"/>
      <c r="G45" s="55" t="n">
        <v>247</v>
      </c>
      <c r="H45" s="55" t="n">
        <v>247</v>
      </c>
      <c r="I45" s="55" t="n">
        <v>247</v>
      </c>
      <c r="J45" s="55" t="n">
        <v>494</v>
      </c>
      <c r="K45" s="55" t="n">
        <v>494</v>
      </c>
      <c r="L45" s="55" t="n">
        <v>494</v>
      </c>
      <c r="M45" s="55"/>
      <c r="N45" s="56"/>
      <c r="O45" s="56"/>
      <c r="P45" s="56"/>
      <c r="Q45" s="56"/>
      <c r="R45" s="55" t="n">
        <f aca="false">SUM(R43:R44)</f>
        <v>2223</v>
      </c>
      <c r="S45" s="56" t="s">
        <v>22</v>
      </c>
      <c r="T45" s="53"/>
    </row>
    <row r="46" customFormat="false" ht="16.5" hidden="false" customHeight="true" outlineLevel="0" collapsed="false">
      <c r="A46" s="57"/>
      <c r="B46" s="57"/>
      <c r="C46" s="57"/>
      <c r="D46" s="58"/>
      <c r="E46" s="57"/>
      <c r="F46" s="59"/>
      <c r="G46" s="58"/>
      <c r="H46" s="58"/>
      <c r="I46" s="58"/>
      <c r="J46" s="58"/>
      <c r="K46" s="58"/>
      <c r="L46" s="58"/>
      <c r="M46" s="58"/>
      <c r="N46" s="57"/>
      <c r="O46" s="57"/>
      <c r="P46" s="57"/>
      <c r="Q46" s="57"/>
      <c r="R46" s="58"/>
      <c r="S46" s="57"/>
      <c r="T46" s="57"/>
    </row>
    <row r="47" customFormat="false" ht="16.5" hidden="false" customHeight="true" outlineLevel="0" collapsed="false">
      <c r="A47" s="60" t="s">
        <v>57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</row>
    <row r="48" s="17" customFormat="true" ht="16.5" hidden="false" customHeight="true" outlineLevel="0" collapsed="false">
      <c r="A48" s="15" t="s">
        <v>16</v>
      </c>
      <c r="B48" s="15"/>
      <c r="C48" s="15"/>
      <c r="D48" s="15" t="str">
        <f aca="false">D10</f>
        <v>OLD NAVY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s="17" customFormat="true" ht="16.5" hidden="false" customHeight="true" outlineLevel="0" collapsed="false">
      <c r="A49" s="15" t="s">
        <v>18</v>
      </c>
      <c r="B49" s="15"/>
      <c r="C49" s="15"/>
      <c r="D49" s="61" t="str">
        <f aca="false">D11</f>
        <v>908546-01-1</v>
      </c>
      <c r="H49" s="19"/>
      <c r="I49" s="19"/>
      <c r="J49" s="19"/>
      <c r="N49" s="20"/>
      <c r="O49" s="20"/>
      <c r="P49" s="20"/>
      <c r="Q49" s="20"/>
      <c r="R49" s="20"/>
      <c r="S49" s="20"/>
    </row>
    <row r="50" s="17" customFormat="true" ht="16.5" hidden="false" customHeight="true" outlineLevel="0" collapsed="false">
      <c r="A50" s="15" t="s">
        <v>20</v>
      </c>
      <c r="B50" s="15"/>
      <c r="C50" s="15"/>
      <c r="D50" s="21" t="n">
        <f aca="false">D12</f>
        <v>61429740</v>
      </c>
      <c r="E50" s="21"/>
    </row>
    <row r="51" s="17" customFormat="true" ht="15" hidden="false" customHeight="true" outlineLevel="0" collapsed="false">
      <c r="A51" s="15" t="s">
        <v>21</v>
      </c>
      <c r="B51" s="15"/>
      <c r="C51" s="15"/>
      <c r="D51" s="20" t="n">
        <v>66</v>
      </c>
      <c r="E51" s="17" t="s">
        <v>22</v>
      </c>
      <c r="N51" s="17" t="s">
        <v>23</v>
      </c>
      <c r="R51" s="22" t="n">
        <f aca="false">D50</f>
        <v>61429740</v>
      </c>
      <c r="S51" s="22"/>
    </row>
    <row r="52" s="17" customFormat="true" ht="15" hidden="false" customHeight="true" outlineLevel="0" collapsed="false">
      <c r="A52" s="15" t="s">
        <v>24</v>
      </c>
      <c r="B52" s="15"/>
      <c r="C52" s="15"/>
      <c r="D52" s="20" t="n">
        <f aca="false">R65</f>
        <v>66</v>
      </c>
      <c r="E52" s="17" t="s">
        <v>22</v>
      </c>
      <c r="N52" s="17" t="s">
        <v>25</v>
      </c>
      <c r="R52" s="23" t="str">
        <f aca="false">D49</f>
        <v>908546-01-1</v>
      </c>
      <c r="S52" s="23"/>
      <c r="T52" s="24"/>
    </row>
    <row r="53" s="17" customFormat="true" ht="15" hidden="false" customHeight="true" outlineLevel="0" collapsed="false">
      <c r="A53" s="15" t="s">
        <v>26</v>
      </c>
      <c r="B53" s="15"/>
      <c r="C53" s="15"/>
      <c r="D53" s="20" t="n">
        <f aca="false">D52-D51</f>
        <v>0</v>
      </c>
      <c r="E53" s="17" t="s">
        <v>22</v>
      </c>
      <c r="N53" s="17" t="s">
        <v>27</v>
      </c>
      <c r="R53" s="25" t="s">
        <v>58</v>
      </c>
      <c r="S53" s="25"/>
      <c r="T53" s="24"/>
    </row>
    <row r="54" s="17" customFormat="true" ht="16.5" hidden="false" customHeight="true" outlineLevel="0" collapsed="false">
      <c r="A54" s="15" t="s">
        <v>29</v>
      </c>
      <c r="B54" s="15"/>
      <c r="C54" s="15"/>
      <c r="D54" s="20" t="n">
        <f aca="false">D65</f>
        <v>4</v>
      </c>
      <c r="E54" s="17" t="s">
        <v>30</v>
      </c>
      <c r="N54" s="17" t="s">
        <v>31</v>
      </c>
      <c r="R54" s="25" t="s">
        <v>59</v>
      </c>
      <c r="S54" s="25"/>
    </row>
    <row r="55" s="17" customFormat="true" ht="16.5" hidden="false" customHeight="true" outlineLevel="0" collapsed="false">
      <c r="A55" s="15" t="s">
        <v>33</v>
      </c>
      <c r="B55" s="15"/>
      <c r="C55" s="15"/>
      <c r="D55" s="17" t="s">
        <v>34</v>
      </c>
    </row>
    <row r="56" s="17" customFormat="true" ht="16.5" hidden="false" customHeight="true" outlineLevel="0" collapsed="false">
      <c r="A56" s="15" t="s">
        <v>33</v>
      </c>
      <c r="B56" s="15"/>
      <c r="C56" s="15"/>
      <c r="D56" s="17" t="s">
        <v>35</v>
      </c>
    </row>
    <row r="57" s="17" customFormat="true" ht="16.5" hidden="false" customHeight="true" outlineLevel="0" collapsed="false">
      <c r="A57" s="15" t="s">
        <v>33</v>
      </c>
      <c r="B57" s="15"/>
      <c r="C57" s="15"/>
      <c r="D57" s="17" t="s">
        <v>36</v>
      </c>
    </row>
    <row r="58" s="17" customFormat="true" ht="15" hidden="false" customHeight="true" outlineLevel="0" collapsed="false">
      <c r="A58" s="15" t="s">
        <v>33</v>
      </c>
      <c r="B58" s="15"/>
      <c r="C58" s="15"/>
      <c r="D58" s="17" t="s">
        <v>37</v>
      </c>
    </row>
    <row r="59" customFormat="false" ht="16.5" hidden="false" customHeight="true" outlineLevel="0" collapsed="false">
      <c r="A59" s="26" t="s">
        <v>39</v>
      </c>
      <c r="B59" s="27"/>
      <c r="C59" s="28" t="s">
        <v>39</v>
      </c>
      <c r="D59" s="32" t="s">
        <v>40</v>
      </c>
      <c r="E59" s="32" t="s">
        <v>41</v>
      </c>
      <c r="F59" s="30" t="s">
        <v>42</v>
      </c>
      <c r="G59" s="62" t="s">
        <v>2</v>
      </c>
      <c r="H59" s="62"/>
      <c r="I59" s="62"/>
      <c r="J59" s="62"/>
      <c r="K59" s="62"/>
      <c r="L59" s="62"/>
      <c r="M59" s="62"/>
      <c r="N59" s="62"/>
      <c r="O59" s="62"/>
      <c r="P59" s="62"/>
      <c r="Q59" s="32" t="s">
        <v>44</v>
      </c>
      <c r="R59" s="30" t="s">
        <v>45</v>
      </c>
      <c r="S59" s="33" t="s">
        <v>46</v>
      </c>
      <c r="T59" s="34" t="s">
        <v>47</v>
      </c>
    </row>
    <row r="60" customFormat="false" ht="21.75" hidden="false" customHeight="true" outlineLevel="0" collapsed="false">
      <c r="A60" s="63" t="s">
        <v>48</v>
      </c>
      <c r="B60" s="64"/>
      <c r="C60" s="65" t="s">
        <v>49</v>
      </c>
      <c r="D60" s="32"/>
      <c r="E60" s="32"/>
      <c r="F60" s="30"/>
      <c r="G60" s="66" t="str">
        <f aca="false">G4</f>
        <v>12-18M</v>
      </c>
      <c r="H60" s="66" t="str">
        <f aca="false">H4</f>
        <v>18-24M</v>
      </c>
      <c r="I60" s="66" t="str">
        <f aca="false">I4</f>
        <v>2T</v>
      </c>
      <c r="J60" s="66" t="str">
        <f aca="false">J4</f>
        <v>3T</v>
      </c>
      <c r="K60" s="66" t="str">
        <f aca="false">K4</f>
        <v>4T</v>
      </c>
      <c r="L60" s="66" t="str">
        <f aca="false">L4</f>
        <v>5T</v>
      </c>
      <c r="M60" s="66" t="str">
        <f aca="false">M4</f>
        <v>6T</v>
      </c>
      <c r="N60" s="67"/>
      <c r="O60" s="67"/>
      <c r="P60" s="67"/>
      <c r="Q60" s="32"/>
      <c r="R60" s="30"/>
      <c r="S60" s="33"/>
      <c r="T60" s="34"/>
    </row>
    <row r="61" customFormat="false" ht="28.5" hidden="false" customHeight="true" outlineLevel="0" collapsed="false">
      <c r="A61" s="68" t="n">
        <f aca="false">+B44+1</f>
        <v>125</v>
      </c>
      <c r="B61" s="69" t="n">
        <f aca="false">+B44+D61</f>
        <v>125</v>
      </c>
      <c r="C61" s="70" t="s">
        <v>60</v>
      </c>
      <c r="D61" s="71" t="n">
        <v>1</v>
      </c>
      <c r="E61" s="42" t="str">
        <f aca="false">+E24</f>
        <v>ESPRESSO BARK</v>
      </c>
      <c r="F61" s="72" t="n">
        <v>8655486</v>
      </c>
      <c r="G61" s="72"/>
      <c r="H61" s="72"/>
      <c r="I61" s="72" t="n">
        <v>12</v>
      </c>
      <c r="J61" s="72"/>
      <c r="K61" s="72"/>
      <c r="L61" s="72"/>
      <c r="M61" s="72"/>
      <c r="N61" s="73"/>
      <c r="O61" s="74"/>
      <c r="P61" s="75"/>
      <c r="Q61" s="47" t="n">
        <f aca="false">SUM(G61:P61)*2</f>
        <v>24</v>
      </c>
      <c r="R61" s="76" t="n">
        <f aca="false">Q61*D61</f>
        <v>24</v>
      </c>
      <c r="S61" s="77" t="n">
        <f aca="false">+Q61*I5+0.42</f>
        <v>5.46</v>
      </c>
      <c r="T61" s="78" t="n">
        <f aca="false">S61-0.24</f>
        <v>5.22</v>
      </c>
    </row>
    <row r="62" customFormat="false" ht="28.5" hidden="false" customHeight="true" outlineLevel="0" collapsed="false">
      <c r="A62" s="68" t="n">
        <f aca="false">+B61+1</f>
        <v>126</v>
      </c>
      <c r="B62" s="69" t="n">
        <f aca="false">+B61+D62</f>
        <v>126</v>
      </c>
      <c r="C62" s="70" t="s">
        <v>61</v>
      </c>
      <c r="D62" s="71" t="n">
        <v>1</v>
      </c>
      <c r="E62" s="42"/>
      <c r="F62" s="72" t="n">
        <v>8655498</v>
      </c>
      <c r="G62" s="72"/>
      <c r="H62" s="72"/>
      <c r="I62" s="72"/>
      <c r="J62" s="72" t="n">
        <v>6</v>
      </c>
      <c r="K62" s="72"/>
      <c r="L62" s="72"/>
      <c r="M62" s="72"/>
      <c r="N62" s="73"/>
      <c r="O62" s="74"/>
      <c r="P62" s="75"/>
      <c r="Q62" s="47" t="n">
        <f aca="false">SUM(G62:P62)*2</f>
        <v>12</v>
      </c>
      <c r="R62" s="76" t="n">
        <f aca="false">Q62*D62</f>
        <v>12</v>
      </c>
      <c r="S62" s="77" t="n">
        <f aca="false">+Q62*L5+0.89</f>
        <v>4.01</v>
      </c>
      <c r="T62" s="78" t="n">
        <f aca="false">S62-0.24</f>
        <v>3.77</v>
      </c>
    </row>
    <row r="63" customFormat="false" ht="28.5" hidden="false" customHeight="true" outlineLevel="0" collapsed="false">
      <c r="A63" s="68" t="n">
        <f aca="false">+B62+1</f>
        <v>127</v>
      </c>
      <c r="B63" s="69" t="n">
        <f aca="false">+B62+D63</f>
        <v>127</v>
      </c>
      <c r="C63" s="70" t="s">
        <v>60</v>
      </c>
      <c r="D63" s="71" t="n">
        <v>1</v>
      </c>
      <c r="E63" s="42"/>
      <c r="F63" s="72" t="n">
        <v>8655494</v>
      </c>
      <c r="G63" s="72"/>
      <c r="H63" s="72"/>
      <c r="I63" s="72"/>
      <c r="J63" s="72"/>
      <c r="K63" s="72" t="n">
        <v>11</v>
      </c>
      <c r="L63" s="72"/>
      <c r="M63" s="72"/>
      <c r="N63" s="73"/>
      <c r="O63" s="74"/>
      <c r="P63" s="75"/>
      <c r="Q63" s="47" t="n">
        <f aca="false">SUM(G63:P63)*2</f>
        <v>22</v>
      </c>
      <c r="R63" s="76" t="n">
        <f aca="false">Q63*D63</f>
        <v>22</v>
      </c>
      <c r="S63" s="77" t="n">
        <f aca="false">+Q63*K5+0.42</f>
        <v>5.92</v>
      </c>
      <c r="T63" s="78" t="n">
        <f aca="false">S63-0.24</f>
        <v>5.68</v>
      </c>
    </row>
    <row r="64" customFormat="false" ht="28.5" hidden="false" customHeight="true" outlineLevel="0" collapsed="false">
      <c r="A64" s="68" t="n">
        <f aca="false">+B63+1</f>
        <v>128</v>
      </c>
      <c r="B64" s="69" t="n">
        <f aca="false">+B63+D64</f>
        <v>128</v>
      </c>
      <c r="C64" s="70" t="s">
        <v>62</v>
      </c>
      <c r="D64" s="71" t="n">
        <v>1</v>
      </c>
      <c r="E64" s="42"/>
      <c r="F64" s="72" t="n">
        <v>8655488</v>
      </c>
      <c r="G64" s="72"/>
      <c r="H64" s="72"/>
      <c r="I64" s="72"/>
      <c r="J64" s="72"/>
      <c r="K64" s="72"/>
      <c r="L64" s="72" t="n">
        <v>4</v>
      </c>
      <c r="M64" s="72"/>
      <c r="N64" s="73"/>
      <c r="O64" s="74"/>
      <c r="P64" s="75"/>
      <c r="Q64" s="47" t="n">
        <f aca="false">SUM(G64:P64)*2</f>
        <v>8</v>
      </c>
      <c r="R64" s="76" t="n">
        <f aca="false">Q64*D64</f>
        <v>8</v>
      </c>
      <c r="S64" s="77" t="n">
        <f aca="false">+Q64*M5+0.71</f>
        <v>2.95</v>
      </c>
      <c r="T64" s="78" t="n">
        <f aca="false">S64-0.24</f>
        <v>2.71</v>
      </c>
    </row>
    <row r="65" customFormat="false" ht="16.5" hidden="false" customHeight="true" outlineLevel="0" collapsed="false">
      <c r="A65" s="79" t="s">
        <v>53</v>
      </c>
      <c r="B65" s="79"/>
      <c r="C65" s="79"/>
      <c r="D65" s="22" t="n">
        <f aca="false">SUM(D61:D64)</f>
        <v>4</v>
      </c>
      <c r="E65" s="80" t="s">
        <v>39</v>
      </c>
      <c r="F65" s="72"/>
      <c r="G65" s="81"/>
      <c r="H65" s="81"/>
      <c r="I65" s="81" t="n">
        <v>24</v>
      </c>
      <c r="J65" s="81" t="n">
        <v>12</v>
      </c>
      <c r="K65" s="81" t="n">
        <v>22</v>
      </c>
      <c r="L65" s="81" t="n">
        <v>8</v>
      </c>
      <c r="M65" s="81"/>
      <c r="N65" s="82"/>
      <c r="O65" s="82"/>
      <c r="P65" s="82"/>
      <c r="Q65" s="83"/>
      <c r="R65" s="84" t="n">
        <f aca="false">SUM(R61:R64)</f>
        <v>66</v>
      </c>
      <c r="S65" s="85" t="s">
        <v>22</v>
      </c>
      <c r="T65" s="86"/>
    </row>
    <row r="66" customFormat="false" ht="16.5" hidden="false" customHeight="true" outlineLevel="0" collapsed="false">
      <c r="A66" s="87"/>
      <c r="B66" s="87"/>
      <c r="C66" s="87"/>
      <c r="D66" s="88"/>
      <c r="E66" s="87"/>
      <c r="F66" s="89"/>
      <c r="G66" s="90"/>
      <c r="H66" s="90"/>
      <c r="I66" s="90"/>
      <c r="J66" s="90"/>
      <c r="K66" s="90"/>
      <c r="L66" s="90"/>
      <c r="M66" s="90"/>
      <c r="N66" s="87"/>
      <c r="O66" s="87"/>
      <c r="P66" s="87"/>
      <c r="Q66" s="87"/>
      <c r="R66" s="88"/>
      <c r="S66" s="91"/>
      <c r="T66" s="91"/>
    </row>
    <row r="67" customFormat="false" ht="16.5" hidden="false" customHeight="true" outlineLevel="0" collapsed="false">
      <c r="A67" s="60" t="s">
        <v>63</v>
      </c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</row>
    <row r="68" s="17" customFormat="true" ht="16.5" hidden="false" customHeight="true" outlineLevel="0" collapsed="false">
      <c r="A68" s="15" t="s">
        <v>16</v>
      </c>
      <c r="B68" s="15"/>
      <c r="C68" s="15"/>
      <c r="D68" s="15" t="str">
        <f aca="false">+D10</f>
        <v>OLD NAVY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s="17" customFormat="true" ht="16.5" hidden="false" customHeight="true" outlineLevel="0" collapsed="false">
      <c r="A69" s="15" t="s">
        <v>18</v>
      </c>
      <c r="B69" s="15"/>
      <c r="C69" s="15"/>
      <c r="D69" s="61" t="str">
        <f aca="false">+D11</f>
        <v>908546-01-1</v>
      </c>
      <c r="H69" s="19"/>
      <c r="I69" s="19"/>
      <c r="J69" s="19"/>
      <c r="N69" s="20"/>
      <c r="O69" s="20"/>
      <c r="P69" s="20"/>
      <c r="Q69" s="20"/>
      <c r="R69" s="20"/>
      <c r="S69" s="20"/>
    </row>
    <row r="70" s="17" customFormat="true" ht="16.5" hidden="false" customHeight="true" outlineLevel="0" collapsed="false">
      <c r="A70" s="15" t="s">
        <v>20</v>
      </c>
      <c r="B70" s="15"/>
      <c r="C70" s="15"/>
      <c r="D70" s="21" t="n">
        <f aca="false">+D50</f>
        <v>61429740</v>
      </c>
      <c r="E70" s="21"/>
    </row>
    <row r="71" s="17" customFormat="true" ht="15" hidden="false" customHeight="true" outlineLevel="0" collapsed="false">
      <c r="A71" s="15" t="s">
        <v>21</v>
      </c>
      <c r="B71" s="15"/>
      <c r="C71" s="15"/>
      <c r="D71" s="20" t="n">
        <v>546</v>
      </c>
      <c r="E71" s="17" t="s">
        <v>22</v>
      </c>
      <c r="N71" s="17" t="s">
        <v>23</v>
      </c>
      <c r="R71" s="22" t="n">
        <f aca="false">D70</f>
        <v>61429740</v>
      </c>
      <c r="S71" s="22"/>
    </row>
    <row r="72" s="17" customFormat="true" ht="15" hidden="false" customHeight="true" outlineLevel="0" collapsed="false">
      <c r="A72" s="15" t="s">
        <v>24</v>
      </c>
      <c r="B72" s="15"/>
      <c r="C72" s="15"/>
      <c r="D72" s="20" t="n">
        <f aca="false">R89</f>
        <v>622</v>
      </c>
      <c r="E72" s="17" t="s">
        <v>22</v>
      </c>
      <c r="N72" s="17" t="s">
        <v>25</v>
      </c>
      <c r="R72" s="23" t="str">
        <f aca="false">D69</f>
        <v>908546-01-1</v>
      </c>
      <c r="S72" s="23"/>
      <c r="T72" s="24"/>
    </row>
    <row r="73" s="17" customFormat="true" ht="15" hidden="false" customHeight="true" outlineLevel="0" collapsed="false">
      <c r="A73" s="15" t="s">
        <v>26</v>
      </c>
      <c r="B73" s="15"/>
      <c r="C73" s="15"/>
      <c r="D73" s="20" t="n">
        <f aca="false">D72-D71</f>
        <v>76</v>
      </c>
      <c r="E73" s="17" t="s">
        <v>22</v>
      </c>
      <c r="N73" s="17" t="s">
        <v>27</v>
      </c>
      <c r="R73" s="25" t="s">
        <v>58</v>
      </c>
      <c r="S73" s="25"/>
      <c r="T73" s="24"/>
    </row>
    <row r="74" s="17" customFormat="true" ht="16.5" hidden="false" customHeight="true" outlineLevel="0" collapsed="false">
      <c r="A74" s="15" t="s">
        <v>29</v>
      </c>
      <c r="B74" s="15"/>
      <c r="C74" s="15"/>
      <c r="D74" s="20" t="n">
        <f aca="false">D89</f>
        <v>15</v>
      </c>
      <c r="E74" s="17" t="s">
        <v>30</v>
      </c>
      <c r="N74" s="17" t="s">
        <v>31</v>
      </c>
      <c r="R74" s="25" t="s">
        <v>64</v>
      </c>
      <c r="S74" s="25"/>
    </row>
    <row r="75" s="17" customFormat="true" ht="16.5" hidden="false" customHeight="true" outlineLevel="0" collapsed="false">
      <c r="A75" s="15" t="s">
        <v>33</v>
      </c>
      <c r="B75" s="15"/>
      <c r="C75" s="15"/>
      <c r="D75" s="17" t="s">
        <v>34</v>
      </c>
    </row>
    <row r="76" s="17" customFormat="true" ht="16.5" hidden="false" customHeight="true" outlineLevel="0" collapsed="false">
      <c r="A76" s="15" t="s">
        <v>33</v>
      </c>
      <c r="B76" s="15"/>
      <c r="C76" s="15"/>
      <c r="D76" s="17" t="s">
        <v>35</v>
      </c>
    </row>
    <row r="77" s="17" customFormat="true" ht="16.5" hidden="false" customHeight="true" outlineLevel="0" collapsed="false">
      <c r="A77" s="15" t="s">
        <v>33</v>
      </c>
      <c r="B77" s="15"/>
      <c r="C77" s="15"/>
      <c r="D77" s="17" t="s">
        <v>36</v>
      </c>
    </row>
    <row r="78" s="17" customFormat="true" ht="15" hidden="false" customHeight="true" outlineLevel="0" collapsed="false">
      <c r="A78" s="15" t="s">
        <v>33</v>
      </c>
      <c r="B78" s="15"/>
      <c r="C78" s="15"/>
      <c r="D78" s="17" t="s">
        <v>37</v>
      </c>
    </row>
    <row r="79" customFormat="false" ht="16.5" hidden="false" customHeight="true" outlineLevel="0" collapsed="false">
      <c r="A79" s="26" t="s">
        <v>39</v>
      </c>
      <c r="B79" s="27"/>
      <c r="C79" s="28" t="s">
        <v>39</v>
      </c>
      <c r="D79" s="32" t="s">
        <v>40</v>
      </c>
      <c r="E79" s="32" t="s">
        <v>41</v>
      </c>
      <c r="F79" s="30" t="s">
        <v>42</v>
      </c>
      <c r="G79" s="62" t="s">
        <v>2</v>
      </c>
      <c r="H79" s="62"/>
      <c r="I79" s="62"/>
      <c r="J79" s="62"/>
      <c r="K79" s="62"/>
      <c r="L79" s="62"/>
      <c r="M79" s="62"/>
      <c r="N79" s="62"/>
      <c r="O79" s="62"/>
      <c r="P79" s="62"/>
      <c r="Q79" s="32" t="s">
        <v>44</v>
      </c>
      <c r="R79" s="30" t="s">
        <v>45</v>
      </c>
      <c r="S79" s="33" t="s">
        <v>46</v>
      </c>
      <c r="T79" s="34" t="s">
        <v>47</v>
      </c>
    </row>
    <row r="80" customFormat="false" ht="21.75" hidden="false" customHeight="true" outlineLevel="0" collapsed="false">
      <c r="A80" s="63" t="s">
        <v>48</v>
      </c>
      <c r="B80" s="64"/>
      <c r="C80" s="65" t="s">
        <v>49</v>
      </c>
      <c r="D80" s="32"/>
      <c r="E80" s="32"/>
      <c r="F80" s="30"/>
      <c r="G80" s="66" t="str">
        <f aca="false">+G4</f>
        <v>12-18M</v>
      </c>
      <c r="H80" s="66" t="str">
        <f aca="false">+H4</f>
        <v>18-24M</v>
      </c>
      <c r="I80" s="66" t="str">
        <f aca="false">+I4</f>
        <v>2T</v>
      </c>
      <c r="J80" s="66" t="str">
        <f aca="false">+J4</f>
        <v>3T</v>
      </c>
      <c r="K80" s="66" t="str">
        <f aca="false">+K4</f>
        <v>4T</v>
      </c>
      <c r="L80" s="66" t="str">
        <f aca="false">+L4</f>
        <v>5T</v>
      </c>
      <c r="M80" s="66" t="str">
        <f aca="false">+M4</f>
        <v>6T</v>
      </c>
      <c r="N80" s="67"/>
      <c r="O80" s="67"/>
      <c r="P80" s="67"/>
      <c r="Q80" s="32"/>
      <c r="R80" s="30"/>
      <c r="S80" s="33"/>
      <c r="T80" s="34"/>
    </row>
    <row r="81" customFormat="false" ht="28.5" hidden="false" customHeight="true" outlineLevel="0" collapsed="false">
      <c r="A81" s="68" t="n">
        <f aca="false">+B64+1</f>
        <v>129</v>
      </c>
      <c r="B81" s="69" t="n">
        <f aca="false">+B64+D81</f>
        <v>129</v>
      </c>
      <c r="C81" s="70" t="s">
        <v>61</v>
      </c>
      <c r="D81" s="71" t="n">
        <v>1</v>
      </c>
      <c r="E81" s="42" t="s">
        <v>51</v>
      </c>
      <c r="F81" s="72"/>
      <c r="G81" s="72" t="n">
        <v>12</v>
      </c>
      <c r="H81" s="72"/>
      <c r="I81" s="72"/>
      <c r="J81" s="72"/>
      <c r="K81" s="72"/>
      <c r="L81" s="72"/>
      <c r="M81" s="72"/>
      <c r="N81" s="73"/>
      <c r="O81" s="74"/>
      <c r="P81" s="75"/>
      <c r="Q81" s="47" t="n">
        <f aca="false">SUM(G81:P81)</f>
        <v>12</v>
      </c>
      <c r="R81" s="76" t="n">
        <f aca="false">Q81*D81</f>
        <v>12</v>
      </c>
      <c r="S81" s="77" t="n">
        <f aca="false">+Q81*G5+0.89</f>
        <v>2.93</v>
      </c>
      <c r="T81" s="78" t="n">
        <f aca="false">S81-0.24</f>
        <v>2.69</v>
      </c>
    </row>
    <row r="82" customFormat="false" ht="28.5" hidden="false" customHeight="true" outlineLevel="0" collapsed="false">
      <c r="A82" s="68" t="n">
        <f aca="false">+B81+1</f>
        <v>130</v>
      </c>
      <c r="B82" s="69" t="n">
        <f aca="false">+B81+D82</f>
        <v>130</v>
      </c>
      <c r="C82" s="70" t="s">
        <v>60</v>
      </c>
      <c r="D82" s="71" t="n">
        <v>1</v>
      </c>
      <c r="E82" s="42"/>
      <c r="F82" s="72"/>
      <c r="G82" s="72"/>
      <c r="H82" s="72" t="n">
        <v>26</v>
      </c>
      <c r="I82" s="72"/>
      <c r="J82" s="72"/>
      <c r="K82" s="72"/>
      <c r="L82" s="72"/>
      <c r="M82" s="72"/>
      <c r="N82" s="73"/>
      <c r="O82" s="74"/>
      <c r="P82" s="75"/>
      <c r="Q82" s="47" t="n">
        <f aca="false">SUM(G82:P82)</f>
        <v>26</v>
      </c>
      <c r="R82" s="76" t="n">
        <f aca="false">Q82*D82</f>
        <v>26</v>
      </c>
      <c r="S82" s="77" t="n">
        <f aca="false">+Q82*H5+0.71</f>
        <v>5.65</v>
      </c>
      <c r="T82" s="78" t="n">
        <f aca="false">S82-0.24</f>
        <v>5.41</v>
      </c>
    </row>
    <row r="83" customFormat="false" ht="28.5" hidden="false" customHeight="true" outlineLevel="0" collapsed="false">
      <c r="A83" s="68" t="n">
        <f aca="false">+B82+1</f>
        <v>131</v>
      </c>
      <c r="B83" s="69" t="n">
        <f aca="false">+B82+D83</f>
        <v>132</v>
      </c>
      <c r="C83" s="70" t="s">
        <v>50</v>
      </c>
      <c r="D83" s="71" t="n">
        <v>2</v>
      </c>
      <c r="E83" s="42"/>
      <c r="F83" s="72"/>
      <c r="G83" s="72"/>
      <c r="H83" s="72"/>
      <c r="I83" s="72" t="n">
        <v>50</v>
      </c>
      <c r="J83" s="72"/>
      <c r="K83" s="72"/>
      <c r="L83" s="72"/>
      <c r="M83" s="72"/>
      <c r="N83" s="73"/>
      <c r="O83" s="74"/>
      <c r="P83" s="75"/>
      <c r="Q83" s="47" t="n">
        <f aca="false">SUM(G83:P83)</f>
        <v>50</v>
      </c>
      <c r="R83" s="76" t="n">
        <f aca="false">Q83*D83</f>
        <v>100</v>
      </c>
      <c r="S83" s="77" t="n">
        <f aca="false">+Q83*H5+0.89</f>
        <v>10.39</v>
      </c>
      <c r="T83" s="78" t="n">
        <f aca="false">S83-0.24</f>
        <v>10.15</v>
      </c>
    </row>
    <row r="84" customFormat="false" ht="28.5" hidden="false" customHeight="true" outlineLevel="0" collapsed="false">
      <c r="A84" s="68" t="n">
        <f aca="false">+B83+1</f>
        <v>133</v>
      </c>
      <c r="B84" s="69" t="n">
        <f aca="false">+B83+D84</f>
        <v>133</v>
      </c>
      <c r="C84" s="70" t="s">
        <v>60</v>
      </c>
      <c r="D84" s="71" t="n">
        <v>1</v>
      </c>
      <c r="E84" s="42"/>
      <c r="F84" s="72"/>
      <c r="G84" s="72"/>
      <c r="H84" s="72"/>
      <c r="I84" s="72" t="n">
        <v>28</v>
      </c>
      <c r="J84" s="72"/>
      <c r="K84" s="72"/>
      <c r="L84" s="72"/>
      <c r="M84" s="72"/>
      <c r="N84" s="73"/>
      <c r="O84" s="74"/>
      <c r="P84" s="75"/>
      <c r="Q84" s="47" t="n">
        <f aca="false">SUM(G84:P84)</f>
        <v>28</v>
      </c>
      <c r="R84" s="76" t="n">
        <f aca="false">Q84*D84</f>
        <v>28</v>
      </c>
      <c r="S84" s="77" t="n">
        <f aca="false">+Q84*H5+0.42</f>
        <v>5.74</v>
      </c>
      <c r="T84" s="78" t="n">
        <f aca="false">S84-0.24</f>
        <v>5.5</v>
      </c>
    </row>
    <row r="85" customFormat="false" ht="28.5" hidden="false" customHeight="true" outlineLevel="0" collapsed="false">
      <c r="A85" s="68" t="n">
        <f aca="false">+B84+1</f>
        <v>134</v>
      </c>
      <c r="B85" s="69" t="n">
        <f aca="false">+B84+D85</f>
        <v>135</v>
      </c>
      <c r="C85" s="70" t="s">
        <v>50</v>
      </c>
      <c r="D85" s="71" t="n">
        <v>2</v>
      </c>
      <c r="E85" s="42"/>
      <c r="F85" s="72"/>
      <c r="G85" s="72"/>
      <c r="H85" s="72"/>
      <c r="I85" s="72"/>
      <c r="J85" s="72" t="n">
        <v>50</v>
      </c>
      <c r="K85" s="72"/>
      <c r="L85" s="72"/>
      <c r="M85" s="72"/>
      <c r="N85" s="73"/>
      <c r="O85" s="74"/>
      <c r="P85" s="75"/>
      <c r="Q85" s="47" t="n">
        <f aca="false">SUM(G85:P85)</f>
        <v>50</v>
      </c>
      <c r="R85" s="76" t="n">
        <f aca="false">Q85*D85</f>
        <v>100</v>
      </c>
      <c r="S85" s="77" t="n">
        <f aca="false">+Q85*I5+0.89</f>
        <v>11.39</v>
      </c>
      <c r="T85" s="78" t="n">
        <f aca="false">S85-0.24</f>
        <v>11.15</v>
      </c>
    </row>
    <row r="86" customFormat="false" ht="28.5" hidden="false" customHeight="true" outlineLevel="0" collapsed="false">
      <c r="A86" s="68" t="n">
        <f aca="false">+B85+1</f>
        <v>136</v>
      </c>
      <c r="B86" s="69" t="n">
        <f aca="false">+B85+D86</f>
        <v>136</v>
      </c>
      <c r="C86" s="70" t="s">
        <v>50</v>
      </c>
      <c r="D86" s="71" t="n">
        <v>1</v>
      </c>
      <c r="E86" s="42"/>
      <c r="F86" s="72"/>
      <c r="G86" s="72"/>
      <c r="H86" s="72"/>
      <c r="I86" s="72"/>
      <c r="J86" s="72" t="n">
        <v>48</v>
      </c>
      <c r="K86" s="72"/>
      <c r="L86" s="72"/>
      <c r="M86" s="72"/>
      <c r="N86" s="73"/>
      <c r="O86" s="74"/>
      <c r="P86" s="75"/>
      <c r="Q86" s="47" t="n">
        <f aca="false">SUM(G86:P86)</f>
        <v>48</v>
      </c>
      <c r="R86" s="76" t="n">
        <f aca="false">Q86*D86</f>
        <v>48</v>
      </c>
      <c r="S86" s="77" t="n">
        <f aca="false">+Q86*I5+0.89</f>
        <v>10.97</v>
      </c>
      <c r="T86" s="78" t="n">
        <f aca="false">S86-0.24</f>
        <v>10.73</v>
      </c>
    </row>
    <row r="87" customFormat="false" ht="28.5" hidden="false" customHeight="true" outlineLevel="0" collapsed="false">
      <c r="A87" s="68" t="n">
        <f aca="false">+B86+1</f>
        <v>137</v>
      </c>
      <c r="B87" s="69" t="n">
        <f aca="false">+B86+D87</f>
        <v>140</v>
      </c>
      <c r="C87" s="70" t="s">
        <v>50</v>
      </c>
      <c r="D87" s="71" t="n">
        <v>4</v>
      </c>
      <c r="E87" s="42"/>
      <c r="F87" s="72"/>
      <c r="G87" s="72"/>
      <c r="H87" s="72"/>
      <c r="I87" s="72"/>
      <c r="J87" s="72"/>
      <c r="K87" s="72" t="n">
        <v>44</v>
      </c>
      <c r="L87" s="72"/>
      <c r="M87" s="72"/>
      <c r="N87" s="73"/>
      <c r="O87" s="74"/>
      <c r="P87" s="75"/>
      <c r="Q87" s="47" t="n">
        <f aca="false">SUM(G87:P87)</f>
        <v>44</v>
      </c>
      <c r="R87" s="76" t="n">
        <f aca="false">Q87*D87</f>
        <v>176</v>
      </c>
      <c r="S87" s="77" t="n">
        <f aca="false">+Q87*J5+0.89</f>
        <v>10.57</v>
      </c>
      <c r="T87" s="78" t="n">
        <f aca="false">S87-0.24</f>
        <v>10.33</v>
      </c>
    </row>
    <row r="88" customFormat="false" ht="28.5" hidden="false" customHeight="true" outlineLevel="0" collapsed="false">
      <c r="A88" s="68" t="n">
        <f aca="false">+B87+1</f>
        <v>141</v>
      </c>
      <c r="B88" s="69" t="n">
        <f aca="false">+B87+D88</f>
        <v>143</v>
      </c>
      <c r="C88" s="70" t="s">
        <v>50</v>
      </c>
      <c r="D88" s="71" t="n">
        <v>3</v>
      </c>
      <c r="E88" s="42"/>
      <c r="F88" s="72"/>
      <c r="G88" s="72"/>
      <c r="H88" s="72"/>
      <c r="I88" s="72"/>
      <c r="J88" s="72"/>
      <c r="K88" s="72"/>
      <c r="L88" s="72" t="n">
        <v>44</v>
      </c>
      <c r="M88" s="72"/>
      <c r="N88" s="73"/>
      <c r="O88" s="74"/>
      <c r="P88" s="75"/>
      <c r="Q88" s="47" t="n">
        <f aca="false">SUM(G88:P88)</f>
        <v>44</v>
      </c>
      <c r="R88" s="76" t="n">
        <f aca="false">Q88*D88</f>
        <v>132</v>
      </c>
      <c r="S88" s="77" t="n">
        <f aca="false">+Q88*L5+0.89</f>
        <v>12.33</v>
      </c>
      <c r="T88" s="78" t="n">
        <f aca="false">S88-0.24</f>
        <v>12.09</v>
      </c>
    </row>
    <row r="89" customFormat="false" ht="15.75" hidden="false" customHeight="true" outlineLevel="0" collapsed="false">
      <c r="A89" s="79" t="s">
        <v>53</v>
      </c>
      <c r="B89" s="79"/>
      <c r="C89" s="79"/>
      <c r="D89" s="22" t="n">
        <f aca="false">SUM(D81:D88)</f>
        <v>15</v>
      </c>
      <c r="E89" s="80" t="s">
        <v>39</v>
      </c>
      <c r="F89" s="92"/>
      <c r="G89" s="81" t="n">
        <f aca="false">+R81</f>
        <v>12</v>
      </c>
      <c r="H89" s="81" t="n">
        <f aca="false">+R82</f>
        <v>26</v>
      </c>
      <c r="I89" s="81" t="n">
        <f aca="false">+R83+R84</f>
        <v>128</v>
      </c>
      <c r="J89" s="81" t="n">
        <f aca="false">+R85+R86</f>
        <v>148</v>
      </c>
      <c r="K89" s="81" t="n">
        <f aca="false">+R87</f>
        <v>176</v>
      </c>
      <c r="L89" s="81" t="n">
        <f aca="false">+R88</f>
        <v>132</v>
      </c>
      <c r="M89" s="81"/>
      <c r="N89" s="82"/>
      <c r="O89" s="82"/>
      <c r="P89" s="82"/>
      <c r="Q89" s="83"/>
      <c r="R89" s="84" t="n">
        <f aca="false">SUM(R81:R88)</f>
        <v>622</v>
      </c>
      <c r="S89" s="85" t="s">
        <v>22</v>
      </c>
      <c r="T89" s="86"/>
    </row>
    <row r="90" customFormat="false" ht="16.5" hidden="false" customHeight="true" outlineLevel="0" collapsed="false">
      <c r="A90" s="60" t="s">
        <v>63</v>
      </c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</row>
    <row r="91" s="17" customFormat="true" ht="16.5" hidden="false" customHeight="true" outlineLevel="0" collapsed="false">
      <c r="A91" s="15" t="s">
        <v>16</v>
      </c>
      <c r="B91" s="15"/>
      <c r="C91" s="15"/>
      <c r="D91" s="15" t="str">
        <f aca="false">+D68</f>
        <v>OLD NAVY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s="17" customFormat="true" ht="16.5" hidden="false" customHeight="true" outlineLevel="0" collapsed="false">
      <c r="A92" s="15" t="s">
        <v>18</v>
      </c>
      <c r="B92" s="15"/>
      <c r="C92" s="15"/>
      <c r="D92" s="61" t="str">
        <f aca="false">+D30</f>
        <v>908546-00-1</v>
      </c>
      <c r="H92" s="19"/>
      <c r="I92" s="19"/>
      <c r="J92" s="19"/>
      <c r="N92" s="20"/>
      <c r="O92" s="20"/>
      <c r="P92" s="20"/>
      <c r="Q92" s="20"/>
      <c r="R92" s="20"/>
      <c r="S92" s="20"/>
    </row>
    <row r="93" s="17" customFormat="true" ht="16.5" hidden="false" customHeight="true" outlineLevel="0" collapsed="false">
      <c r="A93" s="15" t="s">
        <v>20</v>
      </c>
      <c r="B93" s="15"/>
      <c r="C93" s="15"/>
      <c r="D93" s="21" t="n">
        <f aca="false">+D70</f>
        <v>61429740</v>
      </c>
      <c r="E93" s="21"/>
    </row>
    <row r="94" s="17" customFormat="true" ht="15" hidden="false" customHeight="true" outlineLevel="0" collapsed="false">
      <c r="A94" s="15" t="s">
        <v>21</v>
      </c>
      <c r="B94" s="15"/>
      <c r="C94" s="15"/>
      <c r="D94" s="20" t="n">
        <v>1373</v>
      </c>
      <c r="E94" s="17" t="s">
        <v>22</v>
      </c>
      <c r="N94" s="17" t="s">
        <v>23</v>
      </c>
      <c r="R94" s="22" t="n">
        <f aca="false">D93</f>
        <v>61429740</v>
      </c>
      <c r="S94" s="22"/>
    </row>
    <row r="95" s="17" customFormat="true" ht="15" hidden="false" customHeight="true" outlineLevel="0" collapsed="false">
      <c r="A95" s="15" t="s">
        <v>24</v>
      </c>
      <c r="B95" s="15"/>
      <c r="C95" s="15"/>
      <c r="D95" s="20" t="n">
        <f aca="false">R115</f>
        <v>1471</v>
      </c>
      <c r="E95" s="17" t="s">
        <v>22</v>
      </c>
      <c r="N95" s="17" t="s">
        <v>25</v>
      </c>
      <c r="R95" s="23" t="str">
        <f aca="false">D92</f>
        <v>908546-00-1</v>
      </c>
      <c r="S95" s="23"/>
      <c r="T95" s="24"/>
    </row>
    <row r="96" s="17" customFormat="true" ht="15" hidden="false" customHeight="true" outlineLevel="0" collapsed="false">
      <c r="A96" s="15" t="s">
        <v>26</v>
      </c>
      <c r="B96" s="15"/>
      <c r="C96" s="15"/>
      <c r="D96" s="20" t="n">
        <f aca="false">D95-D94</f>
        <v>98</v>
      </c>
      <c r="E96" s="17" t="s">
        <v>22</v>
      </c>
      <c r="N96" s="17" t="s">
        <v>27</v>
      </c>
      <c r="R96" s="25" t="s">
        <v>58</v>
      </c>
      <c r="S96" s="25"/>
      <c r="T96" s="24"/>
    </row>
    <row r="97" s="17" customFormat="true" ht="16.5" hidden="false" customHeight="true" outlineLevel="0" collapsed="false">
      <c r="A97" s="15" t="s">
        <v>29</v>
      </c>
      <c r="B97" s="15"/>
      <c r="C97" s="15"/>
      <c r="D97" s="20" t="n">
        <f aca="false">D115</f>
        <v>34</v>
      </c>
      <c r="E97" s="17" t="s">
        <v>30</v>
      </c>
      <c r="N97" s="17" t="s">
        <v>31</v>
      </c>
      <c r="R97" s="25" t="s">
        <v>65</v>
      </c>
      <c r="S97" s="25"/>
    </row>
    <row r="98" s="17" customFormat="true" ht="16.5" hidden="false" customHeight="true" outlineLevel="0" collapsed="false">
      <c r="A98" s="15" t="s">
        <v>33</v>
      </c>
      <c r="B98" s="15"/>
      <c r="C98" s="15"/>
      <c r="D98" s="17" t="s">
        <v>34</v>
      </c>
    </row>
    <row r="99" s="17" customFormat="true" ht="16.5" hidden="false" customHeight="true" outlineLevel="0" collapsed="false">
      <c r="A99" s="15" t="s">
        <v>33</v>
      </c>
      <c r="B99" s="15"/>
      <c r="C99" s="15"/>
      <c r="D99" s="17" t="s">
        <v>35</v>
      </c>
    </row>
    <row r="100" s="17" customFormat="true" ht="16.5" hidden="false" customHeight="true" outlineLevel="0" collapsed="false">
      <c r="A100" s="15" t="s">
        <v>33</v>
      </c>
      <c r="B100" s="15"/>
      <c r="C100" s="15"/>
      <c r="D100" s="17" t="s">
        <v>36</v>
      </c>
    </row>
    <row r="101" s="17" customFormat="true" ht="15" hidden="false" customHeight="true" outlineLevel="0" collapsed="false">
      <c r="A101" s="15" t="s">
        <v>33</v>
      </c>
      <c r="B101" s="15"/>
      <c r="C101" s="15"/>
      <c r="D101" s="17" t="s">
        <v>37</v>
      </c>
    </row>
    <row r="102" customFormat="false" ht="16.5" hidden="false" customHeight="true" outlineLevel="0" collapsed="false">
      <c r="A102" s="26" t="s">
        <v>39</v>
      </c>
      <c r="B102" s="27"/>
      <c r="C102" s="28" t="s">
        <v>39</v>
      </c>
      <c r="D102" s="32" t="s">
        <v>40</v>
      </c>
      <c r="E102" s="32" t="s">
        <v>41</v>
      </c>
      <c r="F102" s="30" t="s">
        <v>42</v>
      </c>
      <c r="G102" s="62" t="s">
        <v>2</v>
      </c>
      <c r="H102" s="62"/>
      <c r="I102" s="62"/>
      <c r="J102" s="62"/>
      <c r="K102" s="62"/>
      <c r="L102" s="62"/>
      <c r="M102" s="62"/>
      <c r="N102" s="62"/>
      <c r="O102" s="62"/>
      <c r="P102" s="62"/>
      <c r="Q102" s="32" t="s">
        <v>44</v>
      </c>
      <c r="R102" s="30" t="s">
        <v>45</v>
      </c>
      <c r="S102" s="33" t="s">
        <v>46</v>
      </c>
      <c r="T102" s="34" t="s">
        <v>47</v>
      </c>
    </row>
    <row r="103" customFormat="false" ht="21.75" hidden="false" customHeight="true" outlineLevel="0" collapsed="false">
      <c r="A103" s="63" t="s">
        <v>48</v>
      </c>
      <c r="B103" s="64"/>
      <c r="C103" s="65" t="s">
        <v>49</v>
      </c>
      <c r="D103" s="32"/>
      <c r="E103" s="32"/>
      <c r="F103" s="30"/>
      <c r="G103" s="66" t="str">
        <f aca="false">+G4</f>
        <v>12-18M</v>
      </c>
      <c r="H103" s="66" t="str">
        <f aca="false">+H4</f>
        <v>18-24M</v>
      </c>
      <c r="I103" s="66" t="str">
        <f aca="false">+I4</f>
        <v>2T</v>
      </c>
      <c r="J103" s="66" t="str">
        <f aca="false">+J4</f>
        <v>3T</v>
      </c>
      <c r="K103" s="66" t="str">
        <f aca="false">+K4</f>
        <v>4T</v>
      </c>
      <c r="L103" s="66" t="str">
        <f aca="false">+L4</f>
        <v>5T</v>
      </c>
      <c r="M103" s="66" t="str">
        <f aca="false">+M4</f>
        <v>6T</v>
      </c>
      <c r="N103" s="67"/>
      <c r="O103" s="67"/>
      <c r="P103" s="67"/>
      <c r="Q103" s="32"/>
      <c r="R103" s="30"/>
      <c r="S103" s="33"/>
      <c r="T103" s="34"/>
    </row>
    <row r="104" customFormat="false" ht="28.5" hidden="false" customHeight="true" outlineLevel="0" collapsed="false">
      <c r="A104" s="68" t="n">
        <f aca="false">+B88+1</f>
        <v>144</v>
      </c>
      <c r="B104" s="69" t="n">
        <f aca="false">+B88+D104</f>
        <v>144</v>
      </c>
      <c r="C104" s="70" t="s">
        <v>66</v>
      </c>
      <c r="D104" s="71" t="n">
        <v>1</v>
      </c>
      <c r="E104" s="42" t="s">
        <v>56</v>
      </c>
      <c r="F104" s="72"/>
      <c r="G104" s="72" t="n">
        <v>13</v>
      </c>
      <c r="H104" s="72"/>
      <c r="I104" s="72"/>
      <c r="J104" s="72"/>
      <c r="K104" s="72"/>
      <c r="L104" s="72"/>
      <c r="M104" s="72"/>
      <c r="N104" s="73"/>
      <c r="O104" s="74"/>
      <c r="P104" s="75"/>
      <c r="Q104" s="47" t="n">
        <f aca="false">SUM(G104:P104)</f>
        <v>13</v>
      </c>
      <c r="R104" s="76" t="n">
        <f aca="false">Q104*D104</f>
        <v>13</v>
      </c>
      <c r="S104" s="77" t="n">
        <f aca="false">+Q104*G5+0.42</f>
        <v>2.63</v>
      </c>
      <c r="T104" s="78" t="n">
        <f aca="false">S104-0.24</f>
        <v>2.39</v>
      </c>
    </row>
    <row r="105" customFormat="false" ht="28.5" hidden="false" customHeight="true" outlineLevel="0" collapsed="false">
      <c r="A105" s="68" t="n">
        <f aca="false">+B104+1</f>
        <v>145</v>
      </c>
      <c r="B105" s="69" t="n">
        <f aca="false">+B104+D105</f>
        <v>145</v>
      </c>
      <c r="C105" s="70" t="s">
        <v>50</v>
      </c>
      <c r="D105" s="71" t="n">
        <v>1</v>
      </c>
      <c r="E105" s="42"/>
      <c r="F105" s="72"/>
      <c r="G105" s="72"/>
      <c r="H105" s="72" t="n">
        <v>60</v>
      </c>
      <c r="I105" s="72"/>
      <c r="J105" s="72"/>
      <c r="K105" s="72"/>
      <c r="L105" s="72"/>
      <c r="M105" s="72"/>
      <c r="N105" s="73"/>
      <c r="O105" s="74"/>
      <c r="P105" s="75"/>
      <c r="Q105" s="47" t="n">
        <f aca="false">SUM(G105:P105)</f>
        <v>60</v>
      </c>
      <c r="R105" s="76" t="n">
        <f aca="false">Q105*D105</f>
        <v>60</v>
      </c>
      <c r="S105" s="77" t="n">
        <f aca="false">+Q105*G6+0.42</f>
        <v>9.42</v>
      </c>
      <c r="T105" s="78" t="n">
        <f aca="false">S105-0.24</f>
        <v>9.18</v>
      </c>
    </row>
    <row r="106" customFormat="false" ht="28.5" hidden="false" customHeight="true" outlineLevel="0" collapsed="false">
      <c r="A106" s="68" t="n">
        <f aca="false">+B105+1</f>
        <v>146</v>
      </c>
      <c r="B106" s="69" t="n">
        <f aca="false">+B105+D106</f>
        <v>146</v>
      </c>
      <c r="C106" s="70" t="s">
        <v>61</v>
      </c>
      <c r="D106" s="71" t="n">
        <v>1</v>
      </c>
      <c r="E106" s="42"/>
      <c r="F106" s="72"/>
      <c r="G106" s="72"/>
      <c r="H106" s="72" t="n">
        <v>21</v>
      </c>
      <c r="I106" s="72"/>
      <c r="J106" s="72"/>
      <c r="K106" s="72"/>
      <c r="L106" s="72"/>
      <c r="M106" s="72"/>
      <c r="N106" s="73"/>
      <c r="O106" s="74"/>
      <c r="P106" s="75"/>
      <c r="Q106" s="47" t="n">
        <f aca="false">SUM(G106:P106)</f>
        <v>21</v>
      </c>
      <c r="R106" s="76" t="n">
        <f aca="false">Q106*D106</f>
        <v>21</v>
      </c>
      <c r="S106" s="77" t="n">
        <f aca="false">+Q106*H5+0.71</f>
        <v>4.7</v>
      </c>
      <c r="T106" s="78" t="n">
        <f aca="false">S106-0.24</f>
        <v>4.46</v>
      </c>
    </row>
    <row r="107" customFormat="false" ht="28.5" hidden="false" customHeight="true" outlineLevel="0" collapsed="false">
      <c r="A107" s="68" t="n">
        <f aca="false">+B106+1</f>
        <v>147</v>
      </c>
      <c r="B107" s="69" t="n">
        <f aca="false">+B106+D107</f>
        <v>151</v>
      </c>
      <c r="C107" s="70" t="s">
        <v>50</v>
      </c>
      <c r="D107" s="71" t="n">
        <v>5</v>
      </c>
      <c r="E107" s="42"/>
      <c r="F107" s="72"/>
      <c r="G107" s="72"/>
      <c r="H107" s="72"/>
      <c r="I107" s="72" t="n">
        <v>50</v>
      </c>
      <c r="J107" s="72"/>
      <c r="K107" s="72"/>
      <c r="L107" s="72"/>
      <c r="M107" s="72"/>
      <c r="N107" s="73"/>
      <c r="O107" s="74"/>
      <c r="P107" s="75"/>
      <c r="Q107" s="47" t="n">
        <f aca="false">SUM(G107:P107)</f>
        <v>50</v>
      </c>
      <c r="R107" s="76" t="n">
        <f aca="false">Q107*D107</f>
        <v>250</v>
      </c>
      <c r="S107" s="77" t="n">
        <f aca="false">+Q107*I5+0.89</f>
        <v>11.39</v>
      </c>
      <c r="T107" s="78" t="n">
        <f aca="false">S107-0.24</f>
        <v>11.15</v>
      </c>
    </row>
    <row r="108" customFormat="false" ht="28.5" hidden="false" customHeight="true" outlineLevel="0" collapsed="false">
      <c r="A108" s="68" t="n">
        <f aca="false">+B107+1</f>
        <v>152</v>
      </c>
      <c r="B108" s="69" t="n">
        <f aca="false">+B107+D108</f>
        <v>152</v>
      </c>
      <c r="C108" s="70" t="s">
        <v>50</v>
      </c>
      <c r="D108" s="71" t="n">
        <v>1</v>
      </c>
      <c r="E108" s="42"/>
      <c r="F108" s="72"/>
      <c r="G108" s="72"/>
      <c r="H108" s="72"/>
      <c r="I108" s="72" t="n">
        <v>48</v>
      </c>
      <c r="J108" s="72"/>
      <c r="K108" s="72"/>
      <c r="L108" s="72"/>
      <c r="M108" s="72"/>
      <c r="N108" s="73"/>
      <c r="O108" s="74"/>
      <c r="P108" s="75"/>
      <c r="Q108" s="47" t="n">
        <f aca="false">SUM(G108:P108)</f>
        <v>48</v>
      </c>
      <c r="R108" s="76" t="n">
        <f aca="false">Q108*D108</f>
        <v>48</v>
      </c>
      <c r="S108" s="77" t="n">
        <f aca="false">+Q108*I6+0.89</f>
        <v>10.01</v>
      </c>
      <c r="T108" s="78" t="n">
        <f aca="false">S108-0.24</f>
        <v>9.77</v>
      </c>
    </row>
    <row r="109" customFormat="false" ht="28.5" hidden="false" customHeight="true" outlineLevel="0" collapsed="false">
      <c r="A109" s="68" t="n">
        <f aca="false">+B108+1</f>
        <v>153</v>
      </c>
      <c r="B109" s="69" t="n">
        <f aca="false">+B108+D109</f>
        <v>158</v>
      </c>
      <c r="C109" s="70" t="s">
        <v>50</v>
      </c>
      <c r="D109" s="71" t="n">
        <v>6</v>
      </c>
      <c r="E109" s="42"/>
      <c r="F109" s="72"/>
      <c r="G109" s="72"/>
      <c r="H109" s="72"/>
      <c r="I109" s="72"/>
      <c r="J109" s="72" t="n">
        <v>50</v>
      </c>
      <c r="K109" s="72"/>
      <c r="L109" s="72"/>
      <c r="M109" s="72"/>
      <c r="N109" s="73"/>
      <c r="O109" s="74"/>
      <c r="P109" s="75"/>
      <c r="Q109" s="47" t="n">
        <f aca="false">SUM(G109:P109)</f>
        <v>50</v>
      </c>
      <c r="R109" s="76" t="n">
        <f aca="false">Q109*D109</f>
        <v>300</v>
      </c>
      <c r="S109" s="77" t="n">
        <f aca="false">+Q109*J5+0.8</f>
        <v>11.8</v>
      </c>
      <c r="T109" s="78" t="n">
        <f aca="false">S109-0.24</f>
        <v>11.56</v>
      </c>
    </row>
    <row r="110" customFormat="false" ht="28.5" hidden="false" customHeight="true" outlineLevel="0" collapsed="false">
      <c r="A110" s="68" t="n">
        <f aca="false">+B109+1</f>
        <v>159</v>
      </c>
      <c r="B110" s="69" t="n">
        <f aca="false">+B109+D110</f>
        <v>159</v>
      </c>
      <c r="C110" s="70" t="s">
        <v>50</v>
      </c>
      <c r="D110" s="71" t="n">
        <v>1</v>
      </c>
      <c r="E110" s="42"/>
      <c r="F110" s="72"/>
      <c r="G110" s="72"/>
      <c r="H110" s="72"/>
      <c r="I110" s="72"/>
      <c r="J110" s="72" t="n">
        <v>43</v>
      </c>
      <c r="K110" s="72"/>
      <c r="L110" s="72"/>
      <c r="M110" s="72"/>
      <c r="N110" s="73"/>
      <c r="O110" s="74"/>
      <c r="P110" s="75"/>
      <c r="Q110" s="47" t="n">
        <f aca="false">SUM(G110:P110)</f>
        <v>43</v>
      </c>
      <c r="R110" s="76" t="n">
        <f aca="false">Q110*D110</f>
        <v>43</v>
      </c>
      <c r="S110" s="77" t="n">
        <f aca="false">+Q110*J5+0.89</f>
        <v>10.35</v>
      </c>
      <c r="T110" s="78" t="n">
        <f aca="false">S110-0.24</f>
        <v>10.11</v>
      </c>
    </row>
    <row r="111" customFormat="false" ht="28.5" hidden="false" customHeight="true" outlineLevel="0" collapsed="false">
      <c r="A111" s="68" t="n">
        <f aca="false">+B110+1</f>
        <v>160</v>
      </c>
      <c r="B111" s="69" t="n">
        <f aca="false">+B110+D111</f>
        <v>168</v>
      </c>
      <c r="C111" s="70" t="s">
        <v>50</v>
      </c>
      <c r="D111" s="71" t="n">
        <v>9</v>
      </c>
      <c r="E111" s="42"/>
      <c r="F111" s="72"/>
      <c r="G111" s="72"/>
      <c r="H111" s="72"/>
      <c r="I111" s="72"/>
      <c r="J111" s="72"/>
      <c r="K111" s="72" t="n">
        <v>44</v>
      </c>
      <c r="L111" s="72"/>
      <c r="M111" s="72"/>
      <c r="N111" s="73"/>
      <c r="O111" s="74"/>
      <c r="P111" s="75"/>
      <c r="Q111" s="47" t="n">
        <f aca="false">SUM(G111:P111)</f>
        <v>44</v>
      </c>
      <c r="R111" s="76" t="n">
        <f aca="false">Q111*D111</f>
        <v>396</v>
      </c>
      <c r="S111" s="77" t="n">
        <f aca="false">+Q111*K5+0.89</f>
        <v>11.89</v>
      </c>
      <c r="T111" s="78" t="n">
        <f aca="false">S111-0.24</f>
        <v>11.65</v>
      </c>
    </row>
    <row r="112" customFormat="false" ht="28.5" hidden="false" customHeight="true" outlineLevel="0" collapsed="false">
      <c r="A112" s="68" t="n">
        <f aca="false">+B111+1</f>
        <v>169</v>
      </c>
      <c r="B112" s="69" t="n">
        <f aca="false">+B111+D112</f>
        <v>169</v>
      </c>
      <c r="C112" s="70" t="s">
        <v>60</v>
      </c>
      <c r="D112" s="71" t="n">
        <v>1</v>
      </c>
      <c r="E112" s="42"/>
      <c r="F112" s="72"/>
      <c r="G112" s="72"/>
      <c r="H112" s="72"/>
      <c r="I112" s="72"/>
      <c r="J112" s="72"/>
      <c r="K112" s="72" t="n">
        <v>22</v>
      </c>
      <c r="L112" s="72"/>
      <c r="M112" s="72"/>
      <c r="N112" s="73"/>
      <c r="O112" s="74"/>
      <c r="P112" s="75"/>
      <c r="Q112" s="47" t="n">
        <f aca="false">SUM(G112:P112)</f>
        <v>22</v>
      </c>
      <c r="R112" s="76" t="n">
        <f aca="false">Q112*D112</f>
        <v>22</v>
      </c>
      <c r="S112" s="77" t="n">
        <f aca="false">+Q112*K6+0.89</f>
        <v>5.95</v>
      </c>
      <c r="T112" s="78" t="n">
        <f aca="false">S112-0.24</f>
        <v>5.71</v>
      </c>
    </row>
    <row r="113" customFormat="false" ht="28.5" hidden="false" customHeight="true" outlineLevel="0" collapsed="false">
      <c r="A113" s="68" t="n">
        <f aca="false">+B112+1</f>
        <v>170</v>
      </c>
      <c r="B113" s="69" t="n">
        <f aca="false">+B112+D113</f>
        <v>176</v>
      </c>
      <c r="C113" s="70" t="s">
        <v>50</v>
      </c>
      <c r="D113" s="71" t="n">
        <v>7</v>
      </c>
      <c r="E113" s="42"/>
      <c r="F113" s="72"/>
      <c r="G113" s="72"/>
      <c r="H113" s="72"/>
      <c r="I113" s="72"/>
      <c r="J113" s="72"/>
      <c r="K113" s="72"/>
      <c r="L113" s="72" t="n">
        <v>44</v>
      </c>
      <c r="M113" s="72"/>
      <c r="N113" s="73"/>
      <c r="O113" s="74"/>
      <c r="P113" s="75"/>
      <c r="Q113" s="47" t="n">
        <f aca="false">SUM(G113:P113)</f>
        <v>44</v>
      </c>
      <c r="R113" s="76" t="n">
        <f aca="false">Q113*D113</f>
        <v>308</v>
      </c>
      <c r="S113" s="77" t="n">
        <f aca="false">+Q113*L5+0.89</f>
        <v>12.33</v>
      </c>
      <c r="T113" s="78" t="n">
        <f aca="false">S113-0.24</f>
        <v>12.09</v>
      </c>
    </row>
    <row r="114" customFormat="false" ht="28.5" hidden="false" customHeight="true" outlineLevel="0" collapsed="false">
      <c r="A114" s="68" t="n">
        <f aca="false">+B113+1</f>
        <v>177</v>
      </c>
      <c r="B114" s="69" t="n">
        <f aca="false">+B113+D114</f>
        <v>177</v>
      </c>
      <c r="C114" s="70" t="s">
        <v>61</v>
      </c>
      <c r="D114" s="71" t="n">
        <v>1</v>
      </c>
      <c r="E114" s="42"/>
      <c r="F114" s="72"/>
      <c r="G114" s="72"/>
      <c r="H114" s="72"/>
      <c r="I114" s="72"/>
      <c r="J114" s="72"/>
      <c r="K114" s="72"/>
      <c r="L114" s="72" t="n">
        <v>10</v>
      </c>
      <c r="M114" s="72"/>
      <c r="N114" s="73"/>
      <c r="O114" s="74"/>
      <c r="P114" s="75"/>
      <c r="Q114" s="47" t="n">
        <f aca="false">SUM(G114:P114)</f>
        <v>10</v>
      </c>
      <c r="R114" s="76" t="n">
        <f aca="false">Q114*D114</f>
        <v>10</v>
      </c>
      <c r="S114" s="77" t="n">
        <f aca="false">+Q114*L5+0.89</f>
        <v>3.49</v>
      </c>
      <c r="T114" s="78" t="n">
        <f aca="false">S114-0.24</f>
        <v>3.25</v>
      </c>
    </row>
    <row r="115" customFormat="false" ht="15.75" hidden="false" customHeight="true" outlineLevel="0" collapsed="false">
      <c r="A115" s="79" t="s">
        <v>53</v>
      </c>
      <c r="B115" s="79"/>
      <c r="C115" s="79"/>
      <c r="D115" s="22" t="n">
        <f aca="false">SUM(D104:D114)</f>
        <v>34</v>
      </c>
      <c r="E115" s="80" t="s">
        <v>39</v>
      </c>
      <c r="F115" s="92"/>
      <c r="G115" s="81" t="n">
        <f aca="false">+R104</f>
        <v>13</v>
      </c>
      <c r="H115" s="81" t="n">
        <f aca="false">+R105+R106</f>
        <v>81</v>
      </c>
      <c r="I115" s="81" t="n">
        <f aca="false">+R107+R108</f>
        <v>298</v>
      </c>
      <c r="J115" s="81" t="n">
        <f aca="false">+R109+R110</f>
        <v>343</v>
      </c>
      <c r="K115" s="81" t="n">
        <f aca="false">+R111+R112</f>
        <v>418</v>
      </c>
      <c r="L115" s="81" t="n">
        <f aca="false">+R113+R114</f>
        <v>318</v>
      </c>
      <c r="M115" s="81"/>
      <c r="N115" s="82"/>
      <c r="O115" s="82"/>
      <c r="P115" s="82"/>
      <c r="Q115" s="83"/>
      <c r="R115" s="84" t="n">
        <f aca="false">SUM(R104:R114)</f>
        <v>1471</v>
      </c>
      <c r="S115" s="85" t="s">
        <v>22</v>
      </c>
      <c r="T115" s="86"/>
    </row>
    <row r="116" customFormat="false" ht="16.5" hidden="false" customHeight="true" outlineLevel="0" collapsed="false">
      <c r="A116" s="87"/>
      <c r="B116" s="87"/>
      <c r="C116" s="87"/>
      <c r="D116" s="88"/>
      <c r="E116" s="87"/>
      <c r="F116" s="89"/>
      <c r="G116" s="90"/>
      <c r="H116" s="90"/>
      <c r="I116" s="90"/>
      <c r="J116" s="90"/>
      <c r="K116" s="90"/>
      <c r="L116" s="90"/>
      <c r="M116" s="90"/>
      <c r="N116" s="87"/>
      <c r="O116" s="87"/>
      <c r="P116" s="87"/>
      <c r="Q116" s="87"/>
      <c r="R116" s="88"/>
      <c r="S116" s="91"/>
      <c r="T116" s="91"/>
    </row>
    <row r="117" customFormat="false" ht="20.25" hidden="false" customHeight="true" outlineLevel="0" collapsed="false">
      <c r="A117" s="93"/>
      <c r="B117" s="93"/>
      <c r="C117" s="94"/>
      <c r="D117" s="93"/>
      <c r="E117" s="95" t="s">
        <v>51</v>
      </c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3"/>
      <c r="T117" s="93"/>
    </row>
    <row r="118" customFormat="false" ht="20.25" hidden="false" customHeight="true" outlineLevel="0" collapsed="false">
      <c r="A118" s="93"/>
      <c r="B118" s="93"/>
      <c r="C118" s="96"/>
      <c r="D118" s="93"/>
      <c r="E118" s="97" t="s">
        <v>2</v>
      </c>
      <c r="F118" s="97"/>
      <c r="G118" s="98" t="str">
        <f aca="false">G4</f>
        <v>12-18M</v>
      </c>
      <c r="H118" s="98" t="str">
        <f aca="false">H4</f>
        <v>18-24M</v>
      </c>
      <c r="I118" s="98" t="str">
        <f aca="false">I4</f>
        <v>2T</v>
      </c>
      <c r="J118" s="98" t="str">
        <f aca="false">J4</f>
        <v>3T</v>
      </c>
      <c r="K118" s="98" t="str">
        <f aca="false">K4</f>
        <v>4T</v>
      </c>
      <c r="L118" s="98" t="str">
        <f aca="false">L4</f>
        <v>5T</v>
      </c>
      <c r="M118" s="98" t="str">
        <f aca="false">M4</f>
        <v>6T</v>
      </c>
      <c r="N118" s="99"/>
      <c r="O118" s="99"/>
      <c r="P118" s="99"/>
      <c r="Q118" s="98"/>
      <c r="R118" s="100" t="s">
        <v>53</v>
      </c>
      <c r="S118" s="93"/>
      <c r="T118" s="93"/>
    </row>
    <row r="119" customFormat="false" ht="20.25" hidden="false" customHeight="true" outlineLevel="0" collapsed="false">
      <c r="A119" s="93"/>
      <c r="B119" s="93"/>
      <c r="C119" s="93"/>
      <c r="D119" s="93"/>
      <c r="E119" s="97" t="s">
        <v>67</v>
      </c>
      <c r="F119" s="97"/>
      <c r="G119" s="101" t="n">
        <v>252</v>
      </c>
      <c r="H119" s="101" t="n">
        <v>266</v>
      </c>
      <c r="I119" s="101" t="n">
        <v>388</v>
      </c>
      <c r="J119" s="101" t="n">
        <v>635</v>
      </c>
      <c r="K119" s="101" t="n">
        <v>676</v>
      </c>
      <c r="L119" s="101" t="n">
        <v>618</v>
      </c>
      <c r="M119" s="101"/>
      <c r="N119" s="102"/>
      <c r="O119" s="102"/>
      <c r="P119" s="102"/>
      <c r="Q119" s="43"/>
      <c r="R119" s="103" t="n">
        <f aca="false">SUM(G119:Q119)</f>
        <v>2835</v>
      </c>
      <c r="S119" s="93"/>
      <c r="T119" s="93"/>
    </row>
    <row r="120" customFormat="false" ht="20.25" hidden="false" customHeight="true" outlineLevel="0" collapsed="false">
      <c r="A120" s="93"/>
      <c r="B120" s="93"/>
      <c r="C120" s="93"/>
      <c r="D120" s="93"/>
      <c r="E120" s="97" t="s">
        <v>68</v>
      </c>
      <c r="F120" s="97"/>
      <c r="G120" s="104" t="n">
        <f aca="false">+G89+G65+G26</f>
        <v>259</v>
      </c>
      <c r="H120" s="104" t="n">
        <f aca="false">+H89+H65+H26</f>
        <v>273</v>
      </c>
      <c r="I120" s="104" t="n">
        <f aca="false">+I89+I65+I26</f>
        <v>399</v>
      </c>
      <c r="J120" s="104" t="n">
        <f aca="false">+J89+J65+J26</f>
        <v>654</v>
      </c>
      <c r="K120" s="104" t="n">
        <f aca="false">+K89+K65+K26</f>
        <v>692</v>
      </c>
      <c r="L120" s="104" t="n">
        <f aca="false">+L89+L65+L26</f>
        <v>634</v>
      </c>
      <c r="M120" s="104"/>
      <c r="N120" s="102"/>
      <c r="O120" s="102"/>
      <c r="P120" s="102"/>
      <c r="Q120" s="102"/>
      <c r="R120" s="105" t="n">
        <f aca="false">SUM(G120:Q120)</f>
        <v>2911</v>
      </c>
      <c r="S120" s="93"/>
      <c r="T120" s="93"/>
    </row>
    <row r="121" customFormat="false" ht="20.25" hidden="false" customHeight="true" outlineLevel="0" collapsed="false">
      <c r="A121" s="93"/>
      <c r="B121" s="93"/>
      <c r="C121" s="93"/>
      <c r="D121" s="93"/>
      <c r="E121" s="97" t="s">
        <v>69</v>
      </c>
      <c r="F121" s="97"/>
      <c r="G121" s="106" t="n">
        <f aca="false">G120-G119</f>
        <v>7</v>
      </c>
      <c r="H121" s="106" t="n">
        <f aca="false">H120-H119</f>
        <v>7</v>
      </c>
      <c r="I121" s="106" t="n">
        <f aca="false">I120-I119</f>
        <v>11</v>
      </c>
      <c r="J121" s="106" t="n">
        <f aca="false">J120-J119</f>
        <v>19</v>
      </c>
      <c r="K121" s="106" t="n">
        <f aca="false">K120-K119</f>
        <v>16</v>
      </c>
      <c r="L121" s="106" t="n">
        <f aca="false">L120-L119</f>
        <v>16</v>
      </c>
      <c r="M121" s="106"/>
      <c r="N121" s="102"/>
      <c r="O121" s="102"/>
      <c r="P121" s="102"/>
      <c r="Q121" s="102"/>
      <c r="R121" s="105" t="n">
        <f aca="false">SUM(G121:Q121)</f>
        <v>76</v>
      </c>
      <c r="S121" s="93"/>
      <c r="T121" s="93"/>
    </row>
    <row r="122" customFormat="false" ht="20.25" hidden="false" customHeight="true" outlineLevel="0" collapsed="false">
      <c r="A122" s="93"/>
      <c r="B122" s="93"/>
      <c r="C122" s="93"/>
      <c r="D122" s="93"/>
      <c r="E122" s="107" t="s">
        <v>70</v>
      </c>
      <c r="F122" s="107"/>
      <c r="G122" s="108" t="n">
        <f aca="false">G121/G119*100</f>
        <v>2.77777777777778</v>
      </c>
      <c r="H122" s="108" t="n">
        <f aca="false">H121/H119*100</f>
        <v>2.63157894736842</v>
      </c>
      <c r="I122" s="108" t="n">
        <f aca="false">I121/I119*100</f>
        <v>2.83505154639175</v>
      </c>
      <c r="J122" s="108" t="n">
        <f aca="false">J121/J119*100</f>
        <v>2.99212598425197</v>
      </c>
      <c r="K122" s="108" t="n">
        <f aca="false">K121/K119*100</f>
        <v>2.36686390532544</v>
      </c>
      <c r="L122" s="108" t="n">
        <f aca="false">L121/L119*100</f>
        <v>2.58899676375405</v>
      </c>
      <c r="M122" s="108"/>
      <c r="N122" s="99"/>
      <c r="O122" s="99"/>
      <c r="P122" s="99"/>
      <c r="Q122" s="99"/>
      <c r="R122" s="109" t="n">
        <f aca="false">R121/R119*100</f>
        <v>2.68077601410935</v>
      </c>
      <c r="S122" s="93"/>
      <c r="T122" s="93"/>
    </row>
    <row r="124" customFormat="false" ht="20.25" hidden="false" customHeight="true" outlineLevel="0" collapsed="false">
      <c r="A124" s="93"/>
      <c r="B124" s="93"/>
      <c r="C124" s="94"/>
      <c r="D124" s="93"/>
      <c r="E124" s="95" t="s">
        <v>56</v>
      </c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3"/>
      <c r="T124" s="93"/>
    </row>
    <row r="125" customFormat="false" ht="20.25" hidden="false" customHeight="true" outlineLevel="0" collapsed="false">
      <c r="A125" s="93"/>
      <c r="B125" s="93"/>
      <c r="C125" s="96"/>
      <c r="D125" s="93"/>
      <c r="E125" s="97" t="s">
        <v>2</v>
      </c>
      <c r="F125" s="97"/>
      <c r="G125" s="98" t="str">
        <f aca="false">+G4</f>
        <v>12-18M</v>
      </c>
      <c r="H125" s="98" t="str">
        <f aca="false">+H4</f>
        <v>18-24M</v>
      </c>
      <c r="I125" s="98" t="str">
        <f aca="false">+I4</f>
        <v>2T</v>
      </c>
      <c r="J125" s="98" t="str">
        <f aca="false">+J4</f>
        <v>3T</v>
      </c>
      <c r="K125" s="98" t="str">
        <f aca="false">+K4</f>
        <v>4T</v>
      </c>
      <c r="L125" s="98" t="str">
        <f aca="false">+L4</f>
        <v>5T</v>
      </c>
      <c r="M125" s="98" t="str">
        <f aca="false">+M4</f>
        <v>6T</v>
      </c>
      <c r="N125" s="99"/>
      <c r="O125" s="99"/>
      <c r="P125" s="99"/>
      <c r="Q125" s="98"/>
      <c r="R125" s="100" t="s">
        <v>53</v>
      </c>
      <c r="S125" s="93"/>
      <c r="T125" s="93"/>
    </row>
    <row r="126" customFormat="false" ht="20.25" hidden="false" customHeight="true" outlineLevel="0" collapsed="false">
      <c r="A126" s="93"/>
      <c r="B126" s="93"/>
      <c r="C126" s="93"/>
      <c r="D126" s="93"/>
      <c r="E126" s="97" t="s">
        <v>67</v>
      </c>
      <c r="F126" s="97"/>
      <c r="G126" s="101" t="n">
        <v>253</v>
      </c>
      <c r="H126" s="101" t="n">
        <v>319</v>
      </c>
      <c r="I126" s="101" t="n">
        <v>530</v>
      </c>
      <c r="J126" s="101" t="n">
        <v>813</v>
      </c>
      <c r="K126" s="101" t="n">
        <v>892</v>
      </c>
      <c r="L126" s="101" t="n">
        <v>789</v>
      </c>
      <c r="M126" s="101"/>
      <c r="N126" s="102"/>
      <c r="O126" s="102"/>
      <c r="P126" s="102"/>
      <c r="Q126" s="43"/>
      <c r="R126" s="103" t="n">
        <f aca="false">SUM(G126:Q126)</f>
        <v>3596</v>
      </c>
      <c r="S126" s="93"/>
      <c r="T126" s="93"/>
    </row>
    <row r="127" customFormat="false" ht="20.25" hidden="false" customHeight="true" outlineLevel="0" collapsed="false">
      <c r="A127" s="93"/>
      <c r="B127" s="93"/>
      <c r="C127" s="93"/>
      <c r="D127" s="93"/>
      <c r="E127" s="97" t="s">
        <v>68</v>
      </c>
      <c r="F127" s="97"/>
      <c r="G127" s="104" t="n">
        <f aca="false">+G115+G45</f>
        <v>260</v>
      </c>
      <c r="H127" s="104" t="n">
        <f aca="false">+H115+H45</f>
        <v>328</v>
      </c>
      <c r="I127" s="104" t="n">
        <f aca="false">+I115+I45</f>
        <v>545</v>
      </c>
      <c r="J127" s="104" t="n">
        <f aca="false">+J115+J45</f>
        <v>837</v>
      </c>
      <c r="K127" s="104" t="n">
        <f aca="false">+K115+K45</f>
        <v>912</v>
      </c>
      <c r="L127" s="104" t="n">
        <f aca="false">+L115+L45</f>
        <v>812</v>
      </c>
      <c r="M127" s="104"/>
      <c r="N127" s="102"/>
      <c r="O127" s="102"/>
      <c r="P127" s="102"/>
      <c r="Q127" s="102"/>
      <c r="R127" s="105" t="n">
        <f aca="false">SUM(G127:Q127)</f>
        <v>3694</v>
      </c>
      <c r="S127" s="93"/>
      <c r="T127" s="93"/>
    </row>
    <row r="128" customFormat="false" ht="20.25" hidden="false" customHeight="true" outlineLevel="0" collapsed="false">
      <c r="A128" s="93"/>
      <c r="B128" s="93"/>
      <c r="C128" s="93"/>
      <c r="D128" s="93"/>
      <c r="E128" s="97" t="s">
        <v>69</v>
      </c>
      <c r="F128" s="97"/>
      <c r="G128" s="106" t="n">
        <f aca="false">G127-G126</f>
        <v>7</v>
      </c>
      <c r="H128" s="106" t="n">
        <f aca="false">H127-H126</f>
        <v>9</v>
      </c>
      <c r="I128" s="106" t="n">
        <f aca="false">I127-I126</f>
        <v>15</v>
      </c>
      <c r="J128" s="106" t="n">
        <f aca="false">J127-J126</f>
        <v>24</v>
      </c>
      <c r="K128" s="106" t="n">
        <f aca="false">K127-K126</f>
        <v>20</v>
      </c>
      <c r="L128" s="106" t="n">
        <f aca="false">L127-L126</f>
        <v>23</v>
      </c>
      <c r="M128" s="106"/>
      <c r="N128" s="102"/>
      <c r="O128" s="102"/>
      <c r="P128" s="102"/>
      <c r="Q128" s="102"/>
      <c r="R128" s="105" t="n">
        <f aca="false">SUM(G128:Q128)</f>
        <v>98</v>
      </c>
      <c r="S128" s="93"/>
      <c r="T128" s="93"/>
    </row>
    <row r="129" customFormat="false" ht="20.25" hidden="false" customHeight="true" outlineLevel="0" collapsed="false">
      <c r="A129" s="93"/>
      <c r="B129" s="93"/>
      <c r="C129" s="93"/>
      <c r="D129" s="93"/>
      <c r="E129" s="107" t="s">
        <v>70</v>
      </c>
      <c r="F129" s="107"/>
      <c r="G129" s="108" t="n">
        <f aca="false">G128/G126*100</f>
        <v>2.76679841897233</v>
      </c>
      <c r="H129" s="108" t="n">
        <f aca="false">H128/H126*100</f>
        <v>2.82131661442006</v>
      </c>
      <c r="I129" s="108" t="n">
        <f aca="false">I128/I126*100</f>
        <v>2.83018867924528</v>
      </c>
      <c r="J129" s="108" t="n">
        <f aca="false">J128/J126*100</f>
        <v>2.9520295202952</v>
      </c>
      <c r="K129" s="108" t="n">
        <f aca="false">K128/K126*100</f>
        <v>2.24215246636771</v>
      </c>
      <c r="L129" s="108" t="n">
        <f aca="false">L128/L126*100</f>
        <v>2.91508238276299</v>
      </c>
      <c r="M129" s="108"/>
      <c r="N129" s="99"/>
      <c r="O129" s="99"/>
      <c r="P129" s="99"/>
      <c r="Q129" s="99"/>
      <c r="R129" s="109" t="n">
        <f aca="false">R128/R126*100</f>
        <v>2.72525027808676</v>
      </c>
      <c r="S129" s="93"/>
      <c r="T129" s="93"/>
    </row>
    <row r="131" customFormat="false" ht="20.25" hidden="false" customHeight="true" outlineLevel="0" collapsed="false">
      <c r="A131" s="93"/>
      <c r="B131" s="93"/>
      <c r="C131" s="94"/>
      <c r="D131" s="93"/>
      <c r="E131" s="95" t="s">
        <v>71</v>
      </c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3"/>
      <c r="T131" s="93"/>
    </row>
    <row r="132" customFormat="false" ht="20.25" hidden="false" customHeight="true" outlineLevel="0" collapsed="false">
      <c r="A132" s="93"/>
      <c r="B132" s="93"/>
      <c r="C132" s="96"/>
      <c r="D132" s="93"/>
      <c r="E132" s="97" t="s">
        <v>2</v>
      </c>
      <c r="F132" s="97"/>
      <c r="G132" s="98" t="str">
        <f aca="false">+G4</f>
        <v>12-18M</v>
      </c>
      <c r="H132" s="98" t="str">
        <f aca="false">+H4</f>
        <v>18-24M</v>
      </c>
      <c r="I132" s="98" t="str">
        <f aca="false">+I4</f>
        <v>2T</v>
      </c>
      <c r="J132" s="98" t="str">
        <f aca="false">+J4</f>
        <v>3T</v>
      </c>
      <c r="K132" s="98" t="str">
        <f aca="false">+K4</f>
        <v>4T</v>
      </c>
      <c r="L132" s="98" t="str">
        <f aca="false">+L4</f>
        <v>5T</v>
      </c>
      <c r="M132" s="98" t="str">
        <f aca="false">+M4</f>
        <v>6T</v>
      </c>
      <c r="N132" s="99"/>
      <c r="O132" s="99"/>
      <c r="P132" s="99"/>
      <c r="Q132" s="98"/>
      <c r="R132" s="100" t="s">
        <v>53</v>
      </c>
      <c r="S132" s="93"/>
      <c r="T132" s="93"/>
    </row>
    <row r="133" customFormat="false" ht="20.25" hidden="false" customHeight="true" outlineLevel="0" collapsed="false">
      <c r="A133" s="93"/>
      <c r="B133" s="93"/>
      <c r="C133" s="93"/>
      <c r="D133" s="93"/>
      <c r="E133" s="97" t="s">
        <v>67</v>
      </c>
      <c r="F133" s="97"/>
      <c r="G133" s="106" t="n">
        <f aca="false">+G126+G119</f>
        <v>505</v>
      </c>
      <c r="H133" s="106" t="n">
        <f aca="false">+H126+H119</f>
        <v>585</v>
      </c>
      <c r="I133" s="106" t="n">
        <f aca="false">+I126+I119</f>
        <v>918</v>
      </c>
      <c r="J133" s="106" t="n">
        <f aca="false">+J126+J119</f>
        <v>1448</v>
      </c>
      <c r="K133" s="106" t="n">
        <f aca="false">+K126+K119</f>
        <v>1568</v>
      </c>
      <c r="L133" s="106" t="n">
        <f aca="false">+L126+L119</f>
        <v>1407</v>
      </c>
      <c r="M133" s="106"/>
      <c r="N133" s="102"/>
      <c r="O133" s="102"/>
      <c r="P133" s="102"/>
      <c r="Q133" s="43"/>
      <c r="R133" s="103" t="n">
        <f aca="false">SUM(G133:Q133)</f>
        <v>6431</v>
      </c>
      <c r="S133" s="93"/>
      <c r="T133" s="93"/>
    </row>
    <row r="134" customFormat="false" ht="20.25" hidden="false" customHeight="true" outlineLevel="0" collapsed="false">
      <c r="A134" s="93"/>
      <c r="B134" s="93"/>
      <c r="C134" s="93"/>
      <c r="D134" s="93"/>
      <c r="E134" s="97" t="s">
        <v>68</v>
      </c>
      <c r="F134" s="97"/>
      <c r="G134" s="104" t="n">
        <f aca="false">+G127+G120</f>
        <v>519</v>
      </c>
      <c r="H134" s="104" t="n">
        <f aca="false">+H127+H120</f>
        <v>601</v>
      </c>
      <c r="I134" s="104" t="n">
        <f aca="false">+I127+I120</f>
        <v>944</v>
      </c>
      <c r="J134" s="104" t="n">
        <f aca="false">+J127+J120</f>
        <v>1491</v>
      </c>
      <c r="K134" s="104" t="n">
        <f aca="false">+K127+K120</f>
        <v>1604</v>
      </c>
      <c r="L134" s="104" t="n">
        <f aca="false">+L127+L120</f>
        <v>1446</v>
      </c>
      <c r="M134" s="104"/>
      <c r="N134" s="102"/>
      <c r="O134" s="102"/>
      <c r="P134" s="102"/>
      <c r="Q134" s="102"/>
      <c r="R134" s="105" t="n">
        <f aca="false">SUM(G134:Q134)</f>
        <v>6605</v>
      </c>
      <c r="S134" s="93"/>
      <c r="T134" s="93"/>
    </row>
    <row r="135" customFormat="false" ht="20.25" hidden="false" customHeight="true" outlineLevel="0" collapsed="false">
      <c r="A135" s="93"/>
      <c r="B135" s="93"/>
      <c r="C135" s="93"/>
      <c r="D135" s="93"/>
      <c r="E135" s="97" t="s">
        <v>69</v>
      </c>
      <c r="F135" s="97"/>
      <c r="G135" s="106" t="n">
        <f aca="false">G134-G133</f>
        <v>14</v>
      </c>
      <c r="H135" s="106" t="n">
        <f aca="false">H134-H133</f>
        <v>16</v>
      </c>
      <c r="I135" s="106" t="n">
        <f aca="false">I134-I133</f>
        <v>26</v>
      </c>
      <c r="J135" s="106" t="n">
        <f aca="false">J134-J133</f>
        <v>43</v>
      </c>
      <c r="K135" s="106" t="n">
        <f aca="false">K134-K133</f>
        <v>36</v>
      </c>
      <c r="L135" s="106" t="n">
        <f aca="false">L134-L133</f>
        <v>39</v>
      </c>
      <c r="M135" s="106"/>
      <c r="N135" s="102"/>
      <c r="O135" s="102"/>
      <c r="P135" s="102"/>
      <c r="Q135" s="102"/>
      <c r="R135" s="105" t="n">
        <f aca="false">SUM(G135:Q135)</f>
        <v>174</v>
      </c>
      <c r="S135" s="93"/>
      <c r="T135" s="93"/>
    </row>
    <row r="136" customFormat="false" ht="20.25" hidden="false" customHeight="true" outlineLevel="0" collapsed="false">
      <c r="A136" s="93"/>
      <c r="B136" s="93"/>
      <c r="C136" s="93"/>
      <c r="D136" s="93"/>
      <c r="E136" s="107" t="s">
        <v>70</v>
      </c>
      <c r="F136" s="107"/>
      <c r="G136" s="108" t="n">
        <f aca="false">G135/G133*100</f>
        <v>2.77227722772277</v>
      </c>
      <c r="H136" s="108" t="n">
        <f aca="false">H135/H133*100</f>
        <v>2.73504273504274</v>
      </c>
      <c r="I136" s="108" t="n">
        <f aca="false">I135/I133*100</f>
        <v>2.8322440087146</v>
      </c>
      <c r="J136" s="108" t="n">
        <f aca="false">J135/J133*100</f>
        <v>2.96961325966851</v>
      </c>
      <c r="K136" s="108" t="n">
        <f aca="false">K135/K133*100</f>
        <v>2.29591836734694</v>
      </c>
      <c r="L136" s="108" t="n">
        <f aca="false">L135/L133*100</f>
        <v>2.77185501066098</v>
      </c>
      <c r="M136" s="108"/>
      <c r="N136" s="99"/>
      <c r="O136" s="99"/>
      <c r="P136" s="99"/>
      <c r="Q136" s="99"/>
      <c r="R136" s="109" t="n">
        <f aca="false">R135/R133*100</f>
        <v>2.70564453428705</v>
      </c>
      <c r="S136" s="93"/>
      <c r="T136" s="93"/>
    </row>
  </sheetData>
  <mergeCells count="123">
    <mergeCell ref="A1:T1"/>
    <mergeCell ref="A2:T2"/>
    <mergeCell ref="D7:E7"/>
    <mergeCell ref="A9:T9"/>
    <mergeCell ref="D11:E11"/>
    <mergeCell ref="D12:E12"/>
    <mergeCell ref="R13:S13"/>
    <mergeCell ref="R14:S14"/>
    <mergeCell ref="R15:S15"/>
    <mergeCell ref="R16:S16"/>
    <mergeCell ref="D22:D23"/>
    <mergeCell ref="E22:E23"/>
    <mergeCell ref="F22:F23"/>
    <mergeCell ref="G22:M22"/>
    <mergeCell ref="N22:P23"/>
    <mergeCell ref="Q22:Q23"/>
    <mergeCell ref="R22:R23"/>
    <mergeCell ref="S22:S23"/>
    <mergeCell ref="T22:T23"/>
    <mergeCell ref="A26:C26"/>
    <mergeCell ref="N26:P26"/>
    <mergeCell ref="A28:T28"/>
    <mergeCell ref="D30:E30"/>
    <mergeCell ref="D31:E31"/>
    <mergeCell ref="R32:S32"/>
    <mergeCell ref="R33:S33"/>
    <mergeCell ref="R34:S34"/>
    <mergeCell ref="R35:S35"/>
    <mergeCell ref="D41:D42"/>
    <mergeCell ref="E41:E42"/>
    <mergeCell ref="F41:F42"/>
    <mergeCell ref="G41:M41"/>
    <mergeCell ref="N41:P42"/>
    <mergeCell ref="Q41:Q42"/>
    <mergeCell ref="R41:R42"/>
    <mergeCell ref="S41:S42"/>
    <mergeCell ref="T41:T42"/>
    <mergeCell ref="A45:C45"/>
    <mergeCell ref="N45:P45"/>
    <mergeCell ref="A47:T47"/>
    <mergeCell ref="D50:E50"/>
    <mergeCell ref="R51:S51"/>
    <mergeCell ref="R52:S52"/>
    <mergeCell ref="R53:S53"/>
    <mergeCell ref="R54:S54"/>
    <mergeCell ref="D59:D60"/>
    <mergeCell ref="E59:E60"/>
    <mergeCell ref="F59:F60"/>
    <mergeCell ref="G59:P59"/>
    <mergeCell ref="Q59:Q60"/>
    <mergeCell ref="R59:R60"/>
    <mergeCell ref="S59:S60"/>
    <mergeCell ref="T59:T60"/>
    <mergeCell ref="N60:P60"/>
    <mergeCell ref="A65:C65"/>
    <mergeCell ref="N65:P65"/>
    <mergeCell ref="A67:T67"/>
    <mergeCell ref="D70:E70"/>
    <mergeCell ref="R71:S71"/>
    <mergeCell ref="R72:S72"/>
    <mergeCell ref="R73:S73"/>
    <mergeCell ref="R74:S74"/>
    <mergeCell ref="D79:D80"/>
    <mergeCell ref="E79:E80"/>
    <mergeCell ref="F79:F80"/>
    <mergeCell ref="G79:P79"/>
    <mergeCell ref="Q79:Q80"/>
    <mergeCell ref="R79:R80"/>
    <mergeCell ref="S79:S80"/>
    <mergeCell ref="T79:T80"/>
    <mergeCell ref="N80:P80"/>
    <mergeCell ref="A89:C89"/>
    <mergeCell ref="N89:P89"/>
    <mergeCell ref="A90:T90"/>
    <mergeCell ref="D93:E93"/>
    <mergeCell ref="R94:S94"/>
    <mergeCell ref="R95:S95"/>
    <mergeCell ref="R96:S96"/>
    <mergeCell ref="R97:S97"/>
    <mergeCell ref="D102:D103"/>
    <mergeCell ref="E102:E103"/>
    <mergeCell ref="F102:F103"/>
    <mergeCell ref="G102:P102"/>
    <mergeCell ref="Q102:Q103"/>
    <mergeCell ref="R102:R103"/>
    <mergeCell ref="S102:S103"/>
    <mergeCell ref="T102:T103"/>
    <mergeCell ref="N103:P103"/>
    <mergeCell ref="A115:C115"/>
    <mergeCell ref="N115:P115"/>
    <mergeCell ref="E117:R117"/>
    <mergeCell ref="E118:F118"/>
    <mergeCell ref="N118:P118"/>
    <mergeCell ref="E119:F119"/>
    <mergeCell ref="N119:P119"/>
    <mergeCell ref="E120:F120"/>
    <mergeCell ref="N120:P120"/>
    <mergeCell ref="E121:F121"/>
    <mergeCell ref="N121:P121"/>
    <mergeCell ref="E122:F122"/>
    <mergeCell ref="N122:P122"/>
    <mergeCell ref="E124:R124"/>
    <mergeCell ref="E125:F125"/>
    <mergeCell ref="N125:P125"/>
    <mergeCell ref="E126:F126"/>
    <mergeCell ref="N126:P126"/>
    <mergeCell ref="E127:F127"/>
    <mergeCell ref="N127:P127"/>
    <mergeCell ref="E128:F128"/>
    <mergeCell ref="N128:P128"/>
    <mergeCell ref="E129:F129"/>
    <mergeCell ref="N129:P129"/>
    <mergeCell ref="E131:R131"/>
    <mergeCell ref="E132:F132"/>
    <mergeCell ref="N132:P132"/>
    <mergeCell ref="E133:F133"/>
    <mergeCell ref="N133:P133"/>
    <mergeCell ref="E134:F134"/>
    <mergeCell ref="N134:P134"/>
    <mergeCell ref="E135:F135"/>
    <mergeCell ref="N135:P135"/>
    <mergeCell ref="E136:F136"/>
    <mergeCell ref="N136:P136"/>
  </mergeCells>
  <conditionalFormatting sqref="R118">
    <cfRule type="expression" priority="2" aboveAverage="0" equalAverage="0" bottom="0" percent="0" rank="0" text="" dxfId="0">
      <formula>$R118="CANCEL"</formula>
    </cfRule>
    <cfRule type="expression" priority="3" aboveAverage="0" equalAverage="0" bottom="0" percent="0" rank="0" text="" dxfId="1">
      <formula>#ref!="Closed"</formula>
    </cfRule>
    <cfRule type="expression" priority="4" aboveAverage="0" equalAverage="0" bottom="0" percent="0" rank="0" text="" dxfId="2">
      <formula>#ref!="Delayed"</formula>
    </cfRule>
    <cfRule type="expression" priority="5" aboveAverage="0" equalAverage="0" bottom="0" percent="0" rank="0" text="" dxfId="3">
      <formula>IF(ISNUMBER(#ref!),#ref!&gt;#ref!,0)</formula>
    </cfRule>
    <cfRule type="expression" priority="6" aboveAverage="0" equalAverage="0" bottom="0" percent="0" rank="0" text="" dxfId="4">
      <formula>#ref!="Cut-off"</formula>
    </cfRule>
    <cfRule type="expression" priority="7" aboveAverage="0" equalAverage="0" bottom="0" percent="0" rank="0" text="" dxfId="5">
      <formula>#ref!="In Week"</formula>
    </cfRule>
    <cfRule type="expression" priority="8" aboveAverage="0" equalAverage="0" bottom="0" percent="0" rank="0" text="" dxfId="6">
      <formula>#ref!="Missed"</formula>
    </cfRule>
  </conditionalFormatting>
  <conditionalFormatting sqref="R125 G126:M126 G119:M119">
    <cfRule type="expression" priority="9" aboveAverage="0" equalAverage="0" bottom="0" percent="0" rank="0" text="" dxfId="7">
      <formula>$R119="CANCEL"</formula>
    </cfRule>
    <cfRule type="expression" priority="10" aboveAverage="0" equalAverage="0" bottom="0" percent="0" rank="0" text="" dxfId="8">
      <formula>$W65="Closed"</formula>
    </cfRule>
    <cfRule type="expression" priority="11" aboveAverage="0" equalAverage="0" bottom="0" percent="0" rank="0" text="" dxfId="9">
      <formula>$W65="Delayed"</formula>
    </cfRule>
    <cfRule type="expression" priority="12" aboveAverage="0" equalAverage="0" bottom="0" percent="0" rank="0" text="" dxfId="10">
      <formula>IF(ISNUMBER(#ref!),$X65&gt;$V65,0)</formula>
    </cfRule>
    <cfRule type="expression" priority="13" aboveAverage="0" equalAverage="0" bottom="0" percent="0" rank="0" text="" dxfId="11">
      <formula>$W65="Cut-off"</formula>
    </cfRule>
    <cfRule type="expression" priority="14" aboveAverage="0" equalAverage="0" bottom="0" percent="0" rank="0" text="" dxfId="12">
      <formula>$W65="In Week"</formula>
    </cfRule>
    <cfRule type="expression" priority="15" aboveAverage="0" equalAverage="0" bottom="0" percent="0" rank="0" text="" dxfId="13">
      <formula>$W65="Missed"</formula>
    </cfRule>
  </conditionalFormatting>
  <conditionalFormatting sqref="R132 G133:M133">
    <cfRule type="expression" priority="16" aboveAverage="0" equalAverage="0" bottom="0" percent="0" rank="0" text="" dxfId="14">
      <formula>$R132="CANCEL"</formula>
    </cfRule>
    <cfRule type="expression" priority="17" aboveAverage="0" equalAverage="0" bottom="0" percent="0" rank="0" text="" dxfId="15">
      <formula>$W79="Closed"</formula>
    </cfRule>
    <cfRule type="expression" priority="18" aboveAverage="0" equalAverage="0" bottom="0" percent="0" rank="0" text="" dxfId="16">
      <formula>$W79="Delayed"</formula>
    </cfRule>
    <cfRule type="expression" priority="19" aboveAverage="0" equalAverage="0" bottom="0" percent="0" rank="0" text="" dxfId="17">
      <formula>IF(ISNUMBER(#ref!),$X79&gt;$V79,0)</formula>
    </cfRule>
    <cfRule type="expression" priority="20" aboveAverage="0" equalAverage="0" bottom="0" percent="0" rank="0" text="" dxfId="18">
      <formula>$W79="Cut-off"</formula>
    </cfRule>
    <cfRule type="expression" priority="21" aboveAverage="0" equalAverage="0" bottom="0" percent="0" rank="0" text="" dxfId="19">
      <formula>$W79="In Week"</formula>
    </cfRule>
    <cfRule type="expression" priority="22" aboveAverage="0" equalAverage="0" bottom="0" percent="0" rank="0" text="" dxfId="20">
      <formula>$W79="Missed"</formula>
    </cfRule>
  </conditionalFormatting>
  <printOptions headings="false" gridLines="false" gridLinesSet="true" horizontalCentered="true" verticalCentered="false"/>
  <pageMargins left="0.220138888888889" right="0.229861111111111" top="0.35" bottom="0.340277777777778" header="0.511811023622047" footer="0.511811023622047"/>
  <pageSetup paperSize="9" scale="5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65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4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3" activeCellId="0" sqref="A3"/>
    </sheetView>
  </sheetViews>
  <sheetFormatPr defaultColWidth="9.1484375" defaultRowHeight="12.75" zeroHeight="false" outlineLevelRow="0" outlineLevelCol="0"/>
  <cols>
    <col collapsed="false" customWidth="true" hidden="false" outlineLevel="0" max="1" min="1" style="110" width="16.29"/>
    <col collapsed="false" customWidth="true" hidden="false" outlineLevel="0" max="2" min="2" style="110" width="15.14"/>
    <col collapsed="false" customWidth="true" hidden="false" outlineLevel="0" max="3" min="3" style="110" width="11.85"/>
    <col collapsed="false" customWidth="true" hidden="false" outlineLevel="0" max="4" min="4" style="110" width="32"/>
    <col collapsed="false" customWidth="true" hidden="false" outlineLevel="0" max="5" min="5" style="110" width="11"/>
    <col collapsed="false" customWidth="true" hidden="false" outlineLevel="0" max="6" min="6" style="110" width="11.14"/>
    <col collapsed="false" customWidth="true" hidden="false" outlineLevel="0" max="7" min="7" style="110" width="8.29"/>
    <col collapsed="false" customWidth="true" hidden="false" outlineLevel="0" max="9" min="8" style="110" width="8.71"/>
    <col collapsed="false" customWidth="false" hidden="false" outlineLevel="0" max="16384" min="10" style="110" width="9.14"/>
  </cols>
  <sheetData>
    <row r="3" customFormat="false" ht="24.45" hidden="false" customHeight="false" outlineLevel="0" collapsed="false">
      <c r="A3" s="111" t="s">
        <v>72</v>
      </c>
      <c r="B3" s="111"/>
      <c r="C3" s="111"/>
      <c r="D3" s="111"/>
      <c r="E3" s="111"/>
      <c r="F3" s="111"/>
      <c r="G3" s="111"/>
      <c r="H3" s="111"/>
      <c r="I3" s="111"/>
      <c r="J3" s="111"/>
    </row>
    <row r="4" customFormat="false" ht="12.75" hidden="false" customHeight="false" outlineLevel="0" collapsed="false">
      <c r="A4" s="112" t="s">
        <v>73</v>
      </c>
      <c r="B4" s="112"/>
      <c r="C4" s="112"/>
      <c r="D4" s="112"/>
      <c r="E4" s="112"/>
      <c r="F4" s="112"/>
      <c r="G4" s="112"/>
      <c r="H4" s="112"/>
      <c r="I4" s="112"/>
      <c r="J4" s="112"/>
    </row>
    <row r="5" customFormat="false" ht="15" hidden="false" customHeight="false" outlineLevel="0" collapsed="false">
      <c r="A5" s="113" t="s">
        <v>74</v>
      </c>
      <c r="B5" s="113"/>
      <c r="C5" s="113"/>
      <c r="D5" s="113"/>
      <c r="E5" s="113"/>
      <c r="F5" s="113"/>
      <c r="G5" s="113"/>
      <c r="H5" s="113"/>
      <c r="I5" s="113"/>
      <c r="J5" s="113"/>
    </row>
    <row r="6" customFormat="false" ht="15" hidden="false" customHeight="false" outlineLevel="0" collapsed="false">
      <c r="A6" s="114"/>
      <c r="B6" s="114"/>
      <c r="C6" s="114"/>
      <c r="D6" s="114"/>
      <c r="E6" s="114"/>
      <c r="F6" s="114"/>
      <c r="G6" s="114"/>
      <c r="H6" s="114"/>
      <c r="I6" s="114"/>
      <c r="J6" s="114"/>
    </row>
    <row r="7" customFormat="false" ht="17.35" hidden="false" customHeight="false" outlineLevel="0" collapsed="false">
      <c r="A7" s="115" t="s">
        <v>75</v>
      </c>
      <c r="B7" s="116" t="str">
        <f aca="false">'PKL.'!D10</f>
        <v>OLD NAVY</v>
      </c>
      <c r="C7" s="117"/>
      <c r="D7" s="114"/>
      <c r="E7" s="114"/>
      <c r="F7" s="114"/>
      <c r="G7" s="114"/>
      <c r="H7" s="114"/>
      <c r="I7" s="114"/>
      <c r="J7" s="114"/>
    </row>
    <row r="8" customFormat="false" ht="17.35" hidden="false" customHeight="false" outlineLevel="0" collapsed="false">
      <c r="A8" s="118" t="s">
        <v>76</v>
      </c>
      <c r="B8" s="116" t="n">
        <v>897514</v>
      </c>
      <c r="C8" s="119"/>
      <c r="D8" s="114"/>
      <c r="E8" s="114"/>
      <c r="F8" s="114"/>
      <c r="G8" s="114"/>
      <c r="H8" s="120" t="s">
        <v>77</v>
      </c>
      <c r="I8" s="121" t="s">
        <v>78</v>
      </c>
      <c r="J8" s="121"/>
    </row>
    <row r="9" customFormat="false" ht="15" hidden="false" customHeight="false" outlineLevel="0" collapsed="false">
      <c r="A9" s="114"/>
      <c r="B9" s="114"/>
      <c r="C9" s="114"/>
      <c r="D9" s="114"/>
      <c r="E9" s="114"/>
      <c r="F9" s="114"/>
      <c r="G9" s="114"/>
      <c r="H9" s="114"/>
      <c r="I9" s="114"/>
      <c r="J9" s="114"/>
    </row>
    <row r="10" customFormat="false" ht="14.15" hidden="false" customHeight="false" outlineLevel="0" collapsed="false">
      <c r="A10" s="122" t="s">
        <v>79</v>
      </c>
      <c r="B10" s="123" t="s">
        <v>80</v>
      </c>
      <c r="C10" s="123" t="s">
        <v>81</v>
      </c>
      <c r="D10" s="123" t="s">
        <v>82</v>
      </c>
      <c r="E10" s="124" t="s">
        <v>83</v>
      </c>
      <c r="F10" s="125" t="s">
        <v>84</v>
      </c>
      <c r="G10" s="125" t="s">
        <v>85</v>
      </c>
      <c r="H10" s="125" t="s">
        <v>86</v>
      </c>
      <c r="I10" s="126" t="s">
        <v>87</v>
      </c>
      <c r="J10" s="127" t="s">
        <v>30</v>
      </c>
    </row>
    <row r="11" customFormat="false" ht="14.15" hidden="false" customHeight="false" outlineLevel="0" collapsed="false">
      <c r="A11" s="128" t="s">
        <v>88</v>
      </c>
      <c r="B11" s="129" t="n">
        <v>61194555</v>
      </c>
      <c r="C11" s="129" t="s">
        <v>89</v>
      </c>
      <c r="D11" s="130" t="s">
        <v>90</v>
      </c>
      <c r="E11" s="131" t="n">
        <v>1776</v>
      </c>
      <c r="F11" s="131" t="n">
        <v>1776</v>
      </c>
      <c r="G11" s="132" t="n">
        <f aca="false">F11-E11</f>
        <v>0</v>
      </c>
      <c r="H11" s="132" t="n">
        <v>0</v>
      </c>
      <c r="I11" s="133" t="n">
        <f aca="false">G11/E11</f>
        <v>0</v>
      </c>
      <c r="J11" s="134" t="n">
        <v>32</v>
      </c>
    </row>
    <row r="12" customFormat="false" ht="14.15" hidden="false" customHeight="false" outlineLevel="0" collapsed="false">
      <c r="A12" s="128" t="s">
        <v>91</v>
      </c>
      <c r="B12" s="129" t="s">
        <v>92</v>
      </c>
      <c r="C12" s="129" t="s">
        <v>93</v>
      </c>
      <c r="D12" s="129" t="s">
        <v>93</v>
      </c>
      <c r="E12" s="131" t="n">
        <v>622</v>
      </c>
      <c r="F12" s="131" t="n">
        <v>622</v>
      </c>
      <c r="G12" s="132" t="n">
        <f aca="false">F12-E12</f>
        <v>0</v>
      </c>
      <c r="H12" s="132" t="n">
        <v>0</v>
      </c>
      <c r="I12" s="133" t="n">
        <f aca="false">G12/E12</f>
        <v>0</v>
      </c>
      <c r="J12" s="134" t="n">
        <v>13</v>
      </c>
    </row>
    <row r="13" customFormat="false" ht="13.8" hidden="false" customHeight="false" outlineLevel="0" collapsed="false">
      <c r="A13" s="135"/>
      <c r="B13" s="136"/>
      <c r="C13" s="136"/>
      <c r="D13" s="137" t="s">
        <v>53</v>
      </c>
      <c r="E13" s="137" t="n">
        <f aca="false">SUM(E11:E12)</f>
        <v>2398</v>
      </c>
      <c r="F13" s="137" t="n">
        <f aca="false">SUM(F11:F12)</f>
        <v>2398</v>
      </c>
      <c r="G13" s="137" t="n">
        <f aca="false">SUM(G11:G12)</f>
        <v>0</v>
      </c>
      <c r="H13" s="137" t="n">
        <f aca="false">SUM(H11:H11)</f>
        <v>0</v>
      </c>
      <c r="I13" s="138" t="n">
        <f aca="false">H13/E13</f>
        <v>0</v>
      </c>
      <c r="J13" s="137" t="n">
        <f aca="false">SUM(J11:J12)</f>
        <v>45</v>
      </c>
    </row>
    <row r="14" customFormat="false" ht="12.75" hidden="false" customHeight="false" outlineLevel="0" collapsed="false">
      <c r="A14" s="139"/>
      <c r="B14" s="139"/>
      <c r="C14" s="139"/>
      <c r="D14" s="139"/>
      <c r="E14" s="139"/>
      <c r="F14" s="139"/>
      <c r="G14" s="139"/>
      <c r="H14" s="139"/>
      <c r="I14" s="140"/>
      <c r="J14" s="139"/>
    </row>
    <row r="15" customFormat="false" ht="12.75" hidden="false" customHeight="false" outlineLevel="0" collapsed="false">
      <c r="A15" s="139"/>
      <c r="B15" s="139"/>
      <c r="C15" s="139"/>
      <c r="D15" s="139"/>
      <c r="E15" s="139"/>
      <c r="F15" s="139"/>
      <c r="G15" s="139"/>
      <c r="H15" s="139"/>
      <c r="I15" s="140"/>
      <c r="J15" s="139"/>
    </row>
    <row r="16" customFormat="false" ht="12.75" hidden="false" customHeight="false" outlineLevel="0" collapsed="false">
      <c r="A16" s="139"/>
      <c r="B16" s="139"/>
      <c r="C16" s="139"/>
      <c r="D16" s="139"/>
      <c r="E16" s="139"/>
      <c r="F16" s="139"/>
      <c r="G16" s="139"/>
      <c r="H16" s="139"/>
      <c r="I16" s="140"/>
      <c r="J16" s="139"/>
    </row>
    <row r="17" customFormat="false" ht="12.75" hidden="false" customHeight="false" outlineLevel="0" collapsed="false">
      <c r="A17" s="139"/>
      <c r="B17" s="139"/>
      <c r="C17" s="139"/>
      <c r="D17" s="139"/>
      <c r="E17" s="139"/>
      <c r="F17" s="139"/>
      <c r="G17" s="139"/>
      <c r="H17" s="139"/>
      <c r="I17" s="140"/>
      <c r="J17" s="139"/>
    </row>
    <row r="18" customFormat="false" ht="12.75" hidden="false" customHeight="false" outlineLevel="0" collapsed="false">
      <c r="A18" s="139"/>
      <c r="B18" s="139"/>
      <c r="C18" s="139"/>
      <c r="D18" s="139"/>
      <c r="E18" s="139"/>
      <c r="F18" s="139"/>
      <c r="G18" s="139"/>
      <c r="H18" s="139"/>
      <c r="I18" s="140"/>
      <c r="J18" s="139"/>
    </row>
    <row r="19" customFormat="false" ht="12.75" hidden="false" customHeight="false" outlineLevel="0" collapsed="false">
      <c r="A19" s="139"/>
      <c r="B19" s="141" t="s">
        <v>94</v>
      </c>
      <c r="C19" s="142"/>
      <c r="D19" s="143" t="s">
        <v>95</v>
      </c>
      <c r="E19" s="143" t="s">
        <v>96</v>
      </c>
      <c r="F19" s="143" t="s">
        <v>48</v>
      </c>
      <c r="G19" s="144" t="s">
        <v>97</v>
      </c>
      <c r="H19" s="144"/>
      <c r="I19" s="144"/>
      <c r="J19" s="139"/>
    </row>
    <row r="20" customFormat="false" ht="12.75" hidden="false" customHeight="false" outlineLevel="0" collapsed="false">
      <c r="A20" s="145"/>
      <c r="B20" s="146" t="n">
        <v>1</v>
      </c>
      <c r="C20" s="147"/>
      <c r="D20" s="130" t="s">
        <v>98</v>
      </c>
      <c r="E20" s="148"/>
      <c r="F20" s="148"/>
      <c r="G20" s="149"/>
      <c r="H20" s="149"/>
      <c r="I20" s="149"/>
      <c r="J20" s="139"/>
    </row>
    <row r="21" customFormat="false" ht="12.75" hidden="false" customHeight="false" outlineLevel="0" collapsed="false">
      <c r="A21" s="145"/>
      <c r="B21" s="150" t="n">
        <v>2</v>
      </c>
      <c r="C21" s="151"/>
      <c r="D21" s="152" t="s">
        <v>99</v>
      </c>
      <c r="E21" s="153"/>
      <c r="F21" s="153"/>
      <c r="G21" s="154"/>
      <c r="H21" s="154"/>
      <c r="I21" s="154"/>
      <c r="J21" s="139"/>
    </row>
    <row r="22" customFormat="false" ht="12.75" hidden="false" customHeight="false" outlineLevel="0" collapsed="false">
      <c r="A22" s="139"/>
      <c r="B22" s="150" t="n">
        <v>3</v>
      </c>
      <c r="C22" s="151"/>
      <c r="D22" s="152" t="s">
        <v>100</v>
      </c>
      <c r="E22" s="153"/>
      <c r="F22" s="153"/>
      <c r="G22" s="154"/>
      <c r="H22" s="154"/>
      <c r="I22" s="154"/>
      <c r="J22" s="139"/>
    </row>
    <row r="23" customFormat="false" ht="12.75" hidden="false" customHeight="false" outlineLevel="0" collapsed="false">
      <c r="A23" s="139"/>
      <c r="B23" s="150" t="n">
        <v>4</v>
      </c>
      <c r="C23" s="151"/>
      <c r="D23" s="152" t="s">
        <v>101</v>
      </c>
      <c r="E23" s="153"/>
      <c r="F23" s="153"/>
      <c r="G23" s="154"/>
      <c r="H23" s="154"/>
      <c r="I23" s="154"/>
      <c r="J23" s="139"/>
    </row>
    <row r="24" customFormat="false" ht="12.75" hidden="false" customHeight="false" outlineLevel="0" collapsed="false">
      <c r="A24" s="139"/>
      <c r="B24" s="150" t="n">
        <v>5</v>
      </c>
      <c r="C24" s="151"/>
      <c r="D24" s="152" t="s">
        <v>102</v>
      </c>
      <c r="E24" s="153"/>
      <c r="F24" s="153"/>
      <c r="G24" s="154"/>
      <c r="H24" s="154"/>
      <c r="I24" s="154"/>
      <c r="J24" s="139"/>
    </row>
    <row r="25" customFormat="false" ht="12.75" hidden="false" customHeight="false" outlineLevel="0" collapsed="false">
      <c r="A25" s="139"/>
      <c r="B25" s="150" t="n">
        <v>6</v>
      </c>
      <c r="C25" s="151"/>
      <c r="D25" s="152" t="s">
        <v>103</v>
      </c>
      <c r="E25" s="153"/>
      <c r="F25" s="153"/>
      <c r="G25" s="155"/>
      <c r="H25" s="156"/>
      <c r="I25" s="157"/>
      <c r="J25" s="139"/>
    </row>
    <row r="26" customFormat="false" ht="12.75" hidden="false" customHeight="false" outlineLevel="0" collapsed="false">
      <c r="A26" s="139"/>
      <c r="B26" s="150" t="n">
        <v>7</v>
      </c>
      <c r="C26" s="151"/>
      <c r="D26" s="152" t="s">
        <v>104</v>
      </c>
      <c r="E26" s="153"/>
      <c r="F26" s="153"/>
      <c r="G26" s="155"/>
      <c r="H26" s="156"/>
      <c r="I26" s="157"/>
      <c r="J26" s="139"/>
    </row>
    <row r="27" customFormat="false" ht="12.75" hidden="false" customHeight="false" outlineLevel="0" collapsed="false">
      <c r="A27" s="139"/>
      <c r="B27" s="150" t="n">
        <v>8</v>
      </c>
      <c r="C27" s="151"/>
      <c r="D27" s="152" t="s">
        <v>105</v>
      </c>
      <c r="E27" s="158"/>
      <c r="F27" s="158"/>
      <c r="G27" s="156"/>
      <c r="H27" s="156"/>
      <c r="I27" s="157"/>
      <c r="J27" s="139"/>
    </row>
    <row r="28" customFormat="false" ht="12.75" hidden="false" customHeight="false" outlineLevel="0" collapsed="false">
      <c r="A28" s="139"/>
      <c r="B28" s="150" t="n">
        <v>9</v>
      </c>
      <c r="C28" s="151"/>
      <c r="D28" s="152" t="s">
        <v>106</v>
      </c>
      <c r="E28" s="158"/>
      <c r="F28" s="158"/>
      <c r="G28" s="159"/>
      <c r="H28" s="156"/>
      <c r="I28" s="157"/>
      <c r="J28" s="139"/>
    </row>
    <row r="29" customFormat="false" ht="12.75" hidden="false" customHeight="false" outlineLevel="0" collapsed="false">
      <c r="A29" s="139"/>
      <c r="B29" s="150" t="n">
        <v>10</v>
      </c>
      <c r="C29" s="151"/>
      <c r="D29" s="152" t="s">
        <v>107</v>
      </c>
      <c r="E29" s="158"/>
      <c r="F29" s="158"/>
      <c r="G29" s="159"/>
      <c r="H29" s="159"/>
      <c r="I29" s="160"/>
      <c r="J29" s="139"/>
    </row>
    <row r="30" customFormat="false" ht="12.75" hidden="false" customHeight="false" outlineLevel="0" collapsed="false">
      <c r="A30" s="139"/>
      <c r="B30" s="161"/>
      <c r="C30" s="162"/>
      <c r="D30" s="163" t="s">
        <v>108</v>
      </c>
      <c r="E30" s="164"/>
      <c r="F30" s="164"/>
      <c r="G30" s="165"/>
      <c r="H30" s="165"/>
      <c r="I30" s="166"/>
      <c r="J30" s="139"/>
    </row>
    <row r="31" customFormat="false" ht="13.5" hidden="false" customHeight="true" outlineLevel="0" collapsed="false">
      <c r="A31" s="139"/>
      <c r="B31" s="139"/>
      <c r="C31" s="139"/>
      <c r="D31" s="145"/>
      <c r="E31" s="145"/>
      <c r="F31" s="145"/>
      <c r="G31" s="139"/>
      <c r="H31" s="139"/>
      <c r="I31" s="139"/>
      <c r="J31" s="139"/>
    </row>
    <row r="32" customFormat="false" ht="12.75" hidden="false" customHeight="false" outlineLevel="0" collapsed="false">
      <c r="A32" s="139"/>
      <c r="B32" s="139"/>
      <c r="C32" s="139"/>
      <c r="D32" s="145"/>
      <c r="E32" s="145"/>
      <c r="F32" s="145"/>
      <c r="G32" s="139"/>
      <c r="H32" s="139"/>
      <c r="I32" s="139"/>
      <c r="J32" s="139"/>
    </row>
    <row r="33" customFormat="false" ht="12.75" hidden="false" customHeight="false" outlineLevel="0" collapsed="false">
      <c r="A33" s="139"/>
      <c r="B33" s="139"/>
      <c r="C33" s="139"/>
      <c r="D33" s="145"/>
      <c r="E33" s="145"/>
      <c r="F33" s="145"/>
      <c r="G33" s="139"/>
      <c r="H33" s="139"/>
      <c r="I33" s="139"/>
      <c r="J33" s="139"/>
    </row>
    <row r="34" customFormat="false" ht="12.75" hidden="false" customHeight="false" outlineLevel="0" collapsed="false">
      <c r="A34" s="139"/>
      <c r="B34" s="139"/>
      <c r="C34" s="139"/>
      <c r="D34" s="145"/>
      <c r="E34" s="145"/>
      <c r="F34" s="145"/>
      <c r="G34" s="139"/>
      <c r="H34" s="139"/>
      <c r="I34" s="139"/>
      <c r="J34" s="139"/>
    </row>
    <row r="35" customFormat="false" ht="12.75" hidden="false" customHeight="false" outlineLevel="0" collapsed="false">
      <c r="A35" s="139"/>
      <c r="B35" s="139"/>
      <c r="C35" s="139"/>
      <c r="D35" s="145"/>
      <c r="E35" s="145"/>
      <c r="F35" s="145"/>
      <c r="G35" s="139"/>
      <c r="H35" s="139"/>
      <c r="I35" s="139"/>
      <c r="J35" s="139"/>
    </row>
    <row r="36" customFormat="false" ht="12.75" hidden="false" customHeight="false" outlineLevel="0" collapsed="false">
      <c r="A36" s="139"/>
      <c r="B36" s="139"/>
      <c r="C36" s="139"/>
      <c r="D36" s="145"/>
      <c r="E36" s="145"/>
      <c r="F36" s="145"/>
      <c r="G36" s="139"/>
      <c r="H36" s="139"/>
      <c r="I36" s="139"/>
      <c r="J36" s="139"/>
    </row>
    <row r="37" customFormat="false" ht="12.75" hidden="false" customHeight="false" outlineLevel="0" collapsed="false">
      <c r="A37" s="139"/>
      <c r="B37" s="139"/>
      <c r="C37" s="139"/>
      <c r="D37" s="145"/>
      <c r="E37" s="145"/>
      <c r="F37" s="145"/>
      <c r="G37" s="139"/>
      <c r="H37" s="139"/>
      <c r="I37" s="139"/>
      <c r="J37" s="139"/>
    </row>
    <row r="38" customFormat="false" ht="12.75" hidden="false" customHeight="false" outlineLevel="0" collapsed="false">
      <c r="A38" s="139"/>
      <c r="B38" s="139"/>
      <c r="C38" s="139"/>
      <c r="D38" s="145"/>
      <c r="E38" s="145"/>
      <c r="F38" s="145"/>
      <c r="G38" s="139"/>
      <c r="H38" s="139"/>
      <c r="I38" s="139"/>
      <c r="J38" s="139"/>
    </row>
    <row r="39" customFormat="false" ht="12.75" hidden="false" customHeight="false" outlineLevel="0" collapsed="false">
      <c r="A39" s="139"/>
      <c r="B39" s="139"/>
      <c r="C39" s="139"/>
      <c r="D39" s="145"/>
      <c r="E39" s="145"/>
      <c r="F39" s="145"/>
      <c r="G39" s="139"/>
      <c r="H39" s="139"/>
      <c r="I39" s="139"/>
      <c r="J39" s="139"/>
    </row>
    <row r="40" customFormat="false" ht="12.75" hidden="false" customHeight="false" outlineLevel="0" collapsed="false">
      <c r="A40" s="139"/>
      <c r="B40" s="139"/>
      <c r="C40" s="139"/>
      <c r="D40" s="145"/>
      <c r="E40" s="145"/>
      <c r="F40" s="145"/>
      <c r="G40" s="139"/>
      <c r="H40" s="139"/>
      <c r="I40" s="139"/>
      <c r="J40" s="139"/>
    </row>
    <row r="41" customFormat="false" ht="12.75" hidden="false" customHeight="false" outlineLevel="0" collapsed="false">
      <c r="A41" s="139"/>
      <c r="B41" s="139"/>
      <c r="C41" s="139"/>
      <c r="D41" s="145"/>
      <c r="E41" s="145"/>
      <c r="F41" s="145"/>
      <c r="G41" s="139"/>
      <c r="H41" s="139"/>
      <c r="I41" s="139"/>
      <c r="J41" s="139"/>
    </row>
    <row r="43" s="145" customFormat="true" ht="12.75" hidden="false" customHeight="false" outlineLevel="0" collapsed="false">
      <c r="A43" s="167" t="s">
        <v>109</v>
      </c>
      <c r="B43" s="167"/>
      <c r="C43" s="139"/>
      <c r="D43" s="167" t="s">
        <v>110</v>
      </c>
      <c r="E43" s="168"/>
      <c r="G43" s="139"/>
      <c r="H43" s="139"/>
      <c r="I43" s="167" t="s">
        <v>111</v>
      </c>
      <c r="J43" s="139"/>
    </row>
  </sheetData>
  <mergeCells count="11">
    <mergeCell ref="A3:J3"/>
    <mergeCell ref="A4:J4"/>
    <mergeCell ref="A5:J5"/>
    <mergeCell ref="I8:J8"/>
    <mergeCell ref="G19:I19"/>
    <mergeCell ref="G20:I20"/>
    <mergeCell ref="G21:I21"/>
    <mergeCell ref="G22:I22"/>
    <mergeCell ref="G23:I23"/>
    <mergeCell ref="G24:I24"/>
    <mergeCell ref="A43:B43"/>
  </mergeCells>
  <printOptions headings="false" gridLines="false" gridLinesSet="true" horizontalCentered="false" verticalCentered="false"/>
  <pageMargins left="0.490277777777778" right="0.270138888888889" top="0.340277777777778" bottom="0.240277777777778" header="0.511811023622047" footer="0.511811023622047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2014-04-22T09:32:45Z</dcterms:created>
  <dc:creator>Jaman</dc:creator>
  <dc:description/>
  <dc:language>en-US</dc:language>
  <cp:lastModifiedBy/>
  <cp:lastPrinted>2026-05-22T06:58:54Z</cp:lastPrinted>
  <dcterms:modified xsi:type="dcterms:W3CDTF">2026-09-29T10:04:34Z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