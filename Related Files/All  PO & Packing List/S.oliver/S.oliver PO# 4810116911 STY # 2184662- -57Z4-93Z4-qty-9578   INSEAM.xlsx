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E:\BUYER # S OLiver Packing List\"/>
    </mc:Choice>
  </mc:AlternateContent>
  <xr:revisionPtr revIDLastSave="0" documentId="13_ncr:1_{12D5AE0F-96D0-4C51-BBAD-64E74B8C90F1}" xr6:coauthVersionLast="47" xr6:coauthVersionMax="47" xr10:uidLastSave="{00000000-0000-0000-0000-000000000000}"/>
  <bookViews>
    <workbookView xWindow="-120" yWindow="-120" windowWidth="20730" windowHeight="11160" tabRatio="606" xr2:uid="{00000000-000D-0000-FFFF-FFFF00000000}"/>
  </bookViews>
  <sheets>
    <sheet name="Final Packing List" sheetId="12" r:id="rId1"/>
  </sheets>
  <definedNames>
    <definedName name="A" localSheetId="0">#REF!</definedName>
    <definedName name="A">#REF!</definedName>
    <definedName name="A_J" localSheetId="0">#REF!</definedName>
    <definedName name="A_J">#REF!</definedName>
    <definedName name="A_J_AIR" localSheetId="0">#REF!</definedName>
    <definedName name="A_J_AIR">#REF!</definedName>
    <definedName name="ARPINO" localSheetId="0">#REF!</definedName>
    <definedName name="ARPINO">#REF!</definedName>
    <definedName name="ARPINO_AIR" localSheetId="0">#REF!</definedName>
    <definedName name="ARPINO_AIR">#REF!</definedName>
    <definedName name="BCERT" localSheetId="0">#REF!</definedName>
    <definedName name="BCERT">#REF!</definedName>
    <definedName name="BILKA" localSheetId="0">#REF!</definedName>
    <definedName name="BILKA">#REF!</definedName>
    <definedName name="BILKA_AIR" localSheetId="0">#REF!</definedName>
    <definedName name="BILKA_AIR">#REF!</definedName>
    <definedName name="CARINS" localSheetId="0">#REF!</definedName>
    <definedName name="CARINS">#REF!</definedName>
    <definedName name="CARINS_AIR" localSheetId="0">#REF!</definedName>
    <definedName name="CARINS_AIR">#REF!</definedName>
    <definedName name="COJABIS_PORTRAIT" localSheetId="0">#REF!</definedName>
    <definedName name="COJABIS_PORTRAIT">#REF!</definedName>
    <definedName name="COMBINEDFORM" localSheetId="0">#REF!</definedName>
    <definedName name="COMBINEDFORM">#REF!</definedName>
    <definedName name="CONSOLIDATES_SEA" localSheetId="0">#REF!</definedName>
    <definedName name="CONSOLIDATES_SEA">#REF!</definedName>
    <definedName name="DAMARC" localSheetId="0">#REF!</definedName>
    <definedName name="DAMARC">#REF!</definedName>
    <definedName name="DAMARC_PORTRAIT" localSheetId="0">#REF!</definedName>
    <definedName name="DAMARC_PORTRAIT">#REF!</definedName>
    <definedName name="EMMEGI" localSheetId="0">#REF!</definedName>
    <definedName name="EMMEGI">#REF!</definedName>
    <definedName name="F" localSheetId="0">#REF!</definedName>
    <definedName name="F">#REF!</definedName>
    <definedName name="FAX__MESSAGE" localSheetId="0">#REF!</definedName>
    <definedName name="FAX__MESSAGE">#REF!</definedName>
    <definedName name="forms" localSheetId="0">#REF!</definedName>
    <definedName name="forms">#REF!</definedName>
    <definedName name="GARNET_SEA" localSheetId="0">#REF!</definedName>
    <definedName name="GARNET_SEA">#REF!</definedName>
    <definedName name="GRIGORIADIS_SEA" localSheetId="0">#REF!</definedName>
    <definedName name="GRIGORIADIS_SEA">#REF!</definedName>
    <definedName name="GRUPPO_AIR" localSheetId="0">#REF!</definedName>
    <definedName name="GRUPPO_AIR">#REF!</definedName>
    <definedName name="H_R_PORTRAIT" localSheetId="0">#REF!</definedName>
    <definedName name="H_R_PORTRAIT">#REF!</definedName>
    <definedName name="H_RUEBENER" localSheetId="0">#REF!</definedName>
    <definedName name="H_RUEBENER">#REF!</definedName>
    <definedName name="HADDAD" localSheetId="0">#REF!</definedName>
    <definedName name="HADDAD">#REF!</definedName>
    <definedName name="HAHN_AIR" localSheetId="0">#REF!</definedName>
    <definedName name="HAHN_AIR">#REF!</definedName>
    <definedName name="HIMCO" localSheetId="0">#REF!</definedName>
    <definedName name="HIMCO">#REF!</definedName>
    <definedName name="IBS_SEA" localSheetId="0">#REF!</definedName>
    <definedName name="IBS_SEA">#REF!</definedName>
    <definedName name="INTER_M_AIR" localSheetId="0">#REF!</definedName>
    <definedName name="INTER_M_AIR">#REF!</definedName>
    <definedName name="INTER_M_SEA" localSheetId="0">#REF!</definedName>
    <definedName name="INTER_M_SEA">#REF!</definedName>
    <definedName name="JIBTEX" localSheetId="0">#REF!</definedName>
    <definedName name="JIBTEX">#REF!</definedName>
    <definedName name="JOINT_STOCK" localSheetId="0">#REF!</definedName>
    <definedName name="JOINT_STOCK">#REF!</definedName>
    <definedName name="JOINT_STOCK1" localSheetId="0">#REF!</definedName>
    <definedName name="JOINT_STOCK1">#REF!</definedName>
    <definedName name="KARBO" localSheetId="0">#REF!</definedName>
    <definedName name="KARBO">#REF!</definedName>
    <definedName name="KARBO_" localSheetId="0">#REF!</definedName>
    <definedName name="KARBO_">#REF!</definedName>
    <definedName name="KARBO_STANDA" localSheetId="0">#REF!</definedName>
    <definedName name="KARBO_STANDA">#REF!</definedName>
    <definedName name="KARBO_STANDA1" localSheetId="0">#REF!</definedName>
    <definedName name="KARBO_STANDA1">#REF!</definedName>
    <definedName name="KARSTADT" localSheetId="0">#REF!</definedName>
    <definedName name="KARSTADT">#REF!</definedName>
    <definedName name="MS_MODE" localSheetId="0">#REF!</definedName>
    <definedName name="MS_MODE">#REF!</definedName>
    <definedName name="NECKERMANN" localSheetId="0">#REF!</definedName>
    <definedName name="NECKERMANN">#REF!</definedName>
    <definedName name="NEW" localSheetId="0">#REF!</definedName>
    <definedName name="NEW">#REF!</definedName>
    <definedName name="NISCOTEX" localSheetId="0">#REF!</definedName>
    <definedName name="NISCOTEX">#REF!</definedName>
    <definedName name="PACIFIC" localSheetId="0">#REF!</definedName>
    <definedName name="PACIFIC">#REF!</definedName>
    <definedName name="PACKING_LIST" localSheetId="0">#REF!</definedName>
    <definedName name="PACKING_LIST">#REF!</definedName>
    <definedName name="PACKING_SUMMARY" localSheetId="0">#REF!</definedName>
    <definedName name="PACKING_SUMMARY">#REF!</definedName>
    <definedName name="PHILLIPS_VAN_HEUSEN" localSheetId="0">#REF!</definedName>
    <definedName name="PHILLIPS_VAN_HEUSEN">#REF!</definedName>
    <definedName name="_xlnm.Print_Area" localSheetId="0">'Final Packing List'!$A$1:$AT$169</definedName>
    <definedName name="PVH" localSheetId="0">#REF!</definedName>
    <definedName name="PVH">#REF!</definedName>
    <definedName name="QUELLE_AIR" localSheetId="0">#REF!</definedName>
    <definedName name="QUELLE_AIR">#REF!</definedName>
    <definedName name="RAWE_AIR" localSheetId="0">#REF!</definedName>
    <definedName name="RAWE_AIR">#REF!</definedName>
    <definedName name="RUSSELL_AIR" localSheetId="0">#REF!</definedName>
    <definedName name="RUSSELL_AIR">#REF!</definedName>
    <definedName name="SEARS" localSheetId="0">#REF!</definedName>
    <definedName name="SEARS">#REF!</definedName>
    <definedName name="SEARS_AIR" localSheetId="0">#REF!</definedName>
    <definedName name="SEARS_AIR">#REF!</definedName>
    <definedName name="SEIDEN_AIR" localSheetId="0">#REF!</definedName>
    <definedName name="SEIDEN_AIR">#REF!</definedName>
    <definedName name="SEIDEN_BAUR" localSheetId="0">#REF!</definedName>
    <definedName name="SEIDEN_BAUR">#REF!</definedName>
    <definedName name="SEIDENSTICKER" localSheetId="0">#REF!</definedName>
    <definedName name="SEIDENSTICKER">#REF!</definedName>
    <definedName name="SEIDENSTICKER_AIR" localSheetId="0">#REF!</definedName>
    <definedName name="SEIDENSTICKER_AIR">#REF!</definedName>
    <definedName name="SIPLEC" localSheetId="0">#REF!</definedName>
    <definedName name="SIPLEC">#REF!</definedName>
    <definedName name="SOURCE_DGN" localSheetId="0">#REF!</definedName>
    <definedName name="SOURCE_DGN">#REF!</definedName>
    <definedName name="SOURCE_DGN_INT" localSheetId="0">#REF!</definedName>
    <definedName name="SOURCE_DGN_INT">#REF!</definedName>
    <definedName name="SPORTS_GROUP" localSheetId="0">#REF!</definedName>
    <definedName name="SPORTS_GROUP">#REF!</definedName>
    <definedName name="SURUJAMAL_PORTRAIT" localSheetId="0">#REF!</definedName>
    <definedName name="SURUJAMAL_PORTRAIT">#REF!</definedName>
    <definedName name="SWIRE_AIR" localSheetId="0">#REF!</definedName>
    <definedName name="SWIRE_AIR">#REF!</definedName>
    <definedName name="SWIRE_GUS" localSheetId="0">#REF!</definedName>
    <definedName name="SWIRE_GUS">#REF!</definedName>
    <definedName name="SWIRE_MACLINE" localSheetId="0">#REF!</definedName>
    <definedName name="SWIRE_MACLINE">#REF!</definedName>
    <definedName name="TEXLINE" localSheetId="0">#REF!</definedName>
    <definedName name="TEXLINE">#REF!</definedName>
    <definedName name="VISAGE" localSheetId="0">#REF!</definedName>
    <definedName name="VISAGE">#REF!</definedName>
    <definedName name="YGMB_AIR" localSheetId="0">#REF!</definedName>
    <definedName name="YGMB_AIR">#REF!</definedName>
  </definedNames>
  <calcPr calcId="191029"/>
</workbook>
</file>

<file path=xl/calcChain.xml><?xml version="1.0" encoding="utf-8"?>
<calcChain xmlns="http://schemas.openxmlformats.org/spreadsheetml/2006/main">
  <c r="D96" i="12" l="1"/>
  <c r="D112" i="12"/>
  <c r="D130" i="12"/>
  <c r="D148" i="12"/>
  <c r="D162" i="12"/>
  <c r="A152" i="12"/>
  <c r="C152" i="12" s="1"/>
  <c r="A153" i="12" s="1"/>
  <c r="C153" i="12" s="1"/>
  <c r="A154" i="12" s="1"/>
  <c r="C154" i="12" s="1"/>
  <c r="A155" i="12" s="1"/>
  <c r="C155" i="12" s="1"/>
  <c r="A156" i="12" s="1"/>
  <c r="C156" i="12" s="1"/>
  <c r="A157" i="12" s="1"/>
  <c r="C157" i="12" s="1"/>
  <c r="A158" i="12" s="1"/>
  <c r="C158" i="12" s="1"/>
  <c r="A159" i="12" s="1"/>
  <c r="C159" i="12" s="1"/>
  <c r="A160" i="12" s="1"/>
  <c r="C160" i="12" s="1"/>
  <c r="A161" i="12" s="1"/>
  <c r="C161" i="12" s="1"/>
  <c r="A151" i="12"/>
  <c r="A150" i="12"/>
  <c r="A149" i="12"/>
  <c r="A134" i="12"/>
  <c r="C134" i="12" s="1"/>
  <c r="A135" i="12" s="1"/>
  <c r="C135" i="12" s="1"/>
  <c r="A136" i="12" s="1"/>
  <c r="C136" i="12" s="1"/>
  <c r="A137" i="12" s="1"/>
  <c r="C137" i="12" s="1"/>
  <c r="A138" i="12" s="1"/>
  <c r="C138" i="12" s="1"/>
  <c r="A139" i="12" s="1"/>
  <c r="C139" i="12" s="1"/>
  <c r="A140" i="12" s="1"/>
  <c r="C140" i="12" s="1"/>
  <c r="A141" i="12" s="1"/>
  <c r="C141" i="12" s="1"/>
  <c r="A142" i="12" s="1"/>
  <c r="C142" i="12" s="1"/>
  <c r="A143" i="12" s="1"/>
  <c r="C143" i="12" s="1"/>
  <c r="A144" i="12" s="1"/>
  <c r="C144" i="12" s="1"/>
  <c r="A145" i="12" s="1"/>
  <c r="C145" i="12" s="1"/>
  <c r="A146" i="12" s="1"/>
  <c r="C146" i="12" s="1"/>
  <c r="A147" i="12" s="1"/>
  <c r="C147" i="12" s="1"/>
  <c r="A133" i="12"/>
  <c r="A132" i="12"/>
  <c r="A131" i="12"/>
  <c r="A116" i="12"/>
  <c r="C116" i="12" s="1"/>
  <c r="A117" i="12" s="1"/>
  <c r="C117" i="12" s="1"/>
  <c r="A118" i="12" s="1"/>
  <c r="C118" i="12" s="1"/>
  <c r="A119" i="12" s="1"/>
  <c r="C119" i="12" s="1"/>
  <c r="A120" i="12" s="1"/>
  <c r="C120" i="12" s="1"/>
  <c r="A121" i="12" s="1"/>
  <c r="C121" i="12" s="1"/>
  <c r="A122" i="12" s="1"/>
  <c r="C122" i="12" s="1"/>
  <c r="A123" i="12" s="1"/>
  <c r="C123" i="12" s="1"/>
  <c r="A124" i="12" s="1"/>
  <c r="C124" i="12" s="1"/>
  <c r="A125" i="12" s="1"/>
  <c r="C125" i="12" s="1"/>
  <c r="A126" i="12" s="1"/>
  <c r="C126" i="12" s="1"/>
  <c r="A127" i="12" s="1"/>
  <c r="C127" i="12" s="1"/>
  <c r="A128" i="12" s="1"/>
  <c r="C128" i="12" s="1"/>
  <c r="A129" i="12" s="1"/>
  <c r="C129" i="12" s="1"/>
  <c r="A115" i="12"/>
  <c r="A113" i="12"/>
  <c r="A100" i="12"/>
  <c r="C100" i="12" s="1"/>
  <c r="A101" i="12" s="1"/>
  <c r="C101" i="12" s="1"/>
  <c r="A102" i="12" s="1"/>
  <c r="C102" i="12" s="1"/>
  <c r="A103" i="12" s="1"/>
  <c r="C103" i="12" s="1"/>
  <c r="A104" i="12" s="1"/>
  <c r="C104" i="12" s="1"/>
  <c r="A105" i="12" s="1"/>
  <c r="C105" i="12" s="1"/>
  <c r="A106" i="12" s="1"/>
  <c r="C106" i="12" s="1"/>
  <c r="A107" i="12" s="1"/>
  <c r="C107" i="12" s="1"/>
  <c r="A108" i="12" s="1"/>
  <c r="C108" i="12" s="1"/>
  <c r="A109" i="12" s="1"/>
  <c r="C109" i="12" s="1"/>
  <c r="A110" i="12" s="1"/>
  <c r="C110" i="12" s="1"/>
  <c r="A111" i="12" s="1"/>
  <c r="C111" i="12" s="1"/>
  <c r="A99" i="12"/>
  <c r="A98" i="12"/>
  <c r="A97" i="12"/>
  <c r="A91" i="12"/>
  <c r="C91" i="12" s="1"/>
  <c r="A92" i="12" s="1"/>
  <c r="C92" i="12" s="1"/>
  <c r="A93" i="12" s="1"/>
  <c r="C93" i="12" s="1"/>
  <c r="A94" i="12" s="1"/>
  <c r="C94" i="12" s="1"/>
  <c r="A95" i="12" s="1"/>
  <c r="C95" i="12" s="1"/>
  <c r="A90" i="12"/>
  <c r="A88" i="12"/>
  <c r="A89" i="12"/>
  <c r="D87" i="12"/>
  <c r="A74" i="12"/>
  <c r="C74" i="12" s="1"/>
  <c r="A75" i="12" s="1"/>
  <c r="C75" i="12" s="1"/>
  <c r="A76" i="12" s="1"/>
  <c r="C76" i="12" s="1"/>
  <c r="A77" i="12" s="1"/>
  <c r="C77" i="12" s="1"/>
  <c r="A78" i="12" s="1"/>
  <c r="C78" i="12" s="1"/>
  <c r="A79" i="12" s="1"/>
  <c r="C79" i="12" s="1"/>
  <c r="A80" i="12" s="1"/>
  <c r="C80" i="12" s="1"/>
  <c r="A81" i="12" s="1"/>
  <c r="C81" i="12" s="1"/>
  <c r="A82" i="12" s="1"/>
  <c r="C82" i="12" s="1"/>
  <c r="A83" i="12" s="1"/>
  <c r="C83" i="12" s="1"/>
  <c r="A84" i="12" s="1"/>
  <c r="C84" i="12" s="1"/>
  <c r="A85" i="12" s="1"/>
  <c r="C85" i="12" s="1"/>
  <c r="A86" i="12" s="1"/>
  <c r="C86" i="12" s="1"/>
  <c r="A73" i="12"/>
  <c r="A72" i="12"/>
  <c r="A71" i="12"/>
  <c r="A56" i="12"/>
  <c r="C56" i="12" s="1"/>
  <c r="A57" i="12" s="1"/>
  <c r="C57" i="12" s="1"/>
  <c r="A58" i="12" s="1"/>
  <c r="C58" i="12" s="1"/>
  <c r="A59" i="12" s="1"/>
  <c r="C59" i="12" s="1"/>
  <c r="A60" i="12" s="1"/>
  <c r="C60" i="12" s="1"/>
  <c r="A61" i="12" s="1"/>
  <c r="C61" i="12" s="1"/>
  <c r="A62" i="12" s="1"/>
  <c r="C62" i="12" s="1"/>
  <c r="A63" i="12" s="1"/>
  <c r="C63" i="12" s="1"/>
  <c r="A64" i="12" s="1"/>
  <c r="C64" i="12" s="1"/>
  <c r="A65" i="12" s="1"/>
  <c r="C65" i="12" s="1"/>
  <c r="A66" i="12" s="1"/>
  <c r="C66" i="12" s="1"/>
  <c r="A67" i="12" s="1"/>
  <c r="C67" i="12" s="1"/>
  <c r="A68" i="12" s="1"/>
  <c r="C68" i="12" s="1"/>
  <c r="A69" i="12" s="1"/>
  <c r="C69" i="12" s="1"/>
  <c r="A55" i="12"/>
  <c r="A54" i="12"/>
  <c r="D70" i="12"/>
  <c r="A45" i="12"/>
  <c r="C45" i="12" s="1"/>
  <c r="A46" i="12" s="1"/>
  <c r="C46" i="12" s="1"/>
  <c r="A47" i="12" s="1"/>
  <c r="C47" i="12" s="1"/>
  <c r="A48" i="12" s="1"/>
  <c r="C48" i="12" s="1"/>
  <c r="A49" i="12" s="1"/>
  <c r="C49" i="12" s="1"/>
  <c r="A50" i="12" s="1"/>
  <c r="C50" i="12" s="1"/>
  <c r="A51" i="12" s="1"/>
  <c r="C51" i="12" s="1"/>
  <c r="A44" i="12"/>
  <c r="A43" i="12"/>
  <c r="D52" i="12"/>
  <c r="R162" i="12"/>
  <c r="S162" i="12"/>
  <c r="Q161" i="12"/>
  <c r="P162" i="12"/>
  <c r="R148" i="12"/>
  <c r="S148" i="12"/>
  <c r="Q148" i="12"/>
  <c r="P148" i="12"/>
  <c r="R130" i="12"/>
  <c r="S130" i="12"/>
  <c r="Q130" i="12"/>
  <c r="P130" i="12"/>
  <c r="R112" i="12"/>
  <c r="S112" i="12"/>
  <c r="Q112" i="12"/>
  <c r="P112" i="12"/>
  <c r="R96" i="12"/>
  <c r="S96" i="12"/>
  <c r="Q96" i="12"/>
  <c r="P96" i="12"/>
  <c r="P87" i="12"/>
  <c r="R87" i="12"/>
  <c r="S87" i="12"/>
  <c r="Q87" i="12"/>
  <c r="P88" i="12"/>
  <c r="R70" i="12"/>
  <c r="S70" i="12"/>
  <c r="Q70" i="12"/>
  <c r="P70" i="12"/>
  <c r="R52" i="12"/>
  <c r="S52" i="12"/>
  <c r="Q52" i="12"/>
  <c r="P52" i="12"/>
  <c r="O162" i="12"/>
  <c r="M162" i="12"/>
  <c r="R145" i="12"/>
  <c r="S145" i="12" s="1"/>
  <c r="P145" i="12"/>
  <c r="N52" i="12"/>
  <c r="R108" i="12" l="1"/>
  <c r="S108" i="12" s="1"/>
  <c r="P108" i="12"/>
  <c r="R82" i="12"/>
  <c r="S82" i="12" s="1"/>
  <c r="P82" i="12"/>
  <c r="R65" i="12"/>
  <c r="S65" i="12" s="1"/>
  <c r="P65" i="12"/>
  <c r="R157" i="12"/>
  <c r="S157" i="12" s="1"/>
  <c r="P157" i="12"/>
  <c r="R141" i="12"/>
  <c r="S141" i="12" s="1"/>
  <c r="P141" i="12"/>
  <c r="R123" i="12"/>
  <c r="S123" i="12" s="1"/>
  <c r="P123" i="12"/>
  <c r="R106" i="12"/>
  <c r="S106" i="12" s="1"/>
  <c r="P106" i="12"/>
  <c r="R139" i="12"/>
  <c r="S139" i="12" s="1"/>
  <c r="P139" i="12"/>
  <c r="R121" i="12"/>
  <c r="S121" i="12" s="1"/>
  <c r="P121" i="12"/>
  <c r="R104" i="12"/>
  <c r="S104" i="12" s="1"/>
  <c r="P104" i="12"/>
  <c r="R61" i="12"/>
  <c r="S61" i="12" s="1"/>
  <c r="P61" i="12"/>
  <c r="R153" i="12"/>
  <c r="S153" i="12" s="1"/>
  <c r="P153" i="12"/>
  <c r="R119" i="12"/>
  <c r="S119" i="12" s="1"/>
  <c r="P119" i="12"/>
  <c r="R102" i="12"/>
  <c r="S102" i="12" s="1"/>
  <c r="P102" i="12"/>
  <c r="R76" i="12"/>
  <c r="S76" i="12" s="1"/>
  <c r="P76" i="12"/>
  <c r="R46" i="12"/>
  <c r="S46" i="12" s="1"/>
  <c r="P46" i="12"/>
  <c r="R151" i="12"/>
  <c r="S151" i="12" s="1"/>
  <c r="P151" i="12"/>
  <c r="R44" i="12"/>
  <c r="S44" i="12" s="1"/>
  <c r="P44" i="12"/>
  <c r="R133" i="12"/>
  <c r="S133" i="12" s="1"/>
  <c r="P133" i="12"/>
  <c r="R150" i="12"/>
  <c r="S150" i="12" s="1"/>
  <c r="P150" i="12"/>
  <c r="H162" i="12" s="1"/>
  <c r="R98" i="12"/>
  <c r="S98" i="12" s="1"/>
  <c r="P98" i="12"/>
  <c r="R89" i="12"/>
  <c r="S89" i="12" s="1"/>
  <c r="P89" i="12"/>
  <c r="H96" i="12" s="1"/>
  <c r="R72" i="12"/>
  <c r="S72" i="12" s="1"/>
  <c r="P72" i="12"/>
  <c r="R55" i="12"/>
  <c r="S55" i="12" s="1"/>
  <c r="P55" i="12"/>
  <c r="R149" i="12"/>
  <c r="S149" i="12" s="1"/>
  <c r="P149" i="12"/>
  <c r="G162" i="12" s="1"/>
  <c r="R131" i="12"/>
  <c r="S131" i="12" s="1"/>
  <c r="P131" i="12"/>
  <c r="R132" i="12"/>
  <c r="S132" i="12" s="1"/>
  <c r="P132" i="12"/>
  <c r="R114" i="12"/>
  <c r="S114" i="12" s="1"/>
  <c r="P114" i="12"/>
  <c r="R113" i="12"/>
  <c r="S113" i="12" s="1"/>
  <c r="P113" i="12"/>
  <c r="R97" i="12"/>
  <c r="S97" i="12" s="1"/>
  <c r="P97" i="12"/>
  <c r="G112" i="12" s="1"/>
  <c r="R88" i="12"/>
  <c r="S88" i="12" s="1"/>
  <c r="G96" i="12"/>
  <c r="R71" i="12"/>
  <c r="S71" i="12" s="1"/>
  <c r="P71" i="12"/>
  <c r="G87" i="12" s="1"/>
  <c r="R53" i="12"/>
  <c r="S53" i="12" s="1"/>
  <c r="P53" i="12"/>
  <c r="R54" i="12"/>
  <c r="S54" i="12" s="1"/>
  <c r="P54" i="12"/>
  <c r="R42" i="12"/>
  <c r="S42" i="12" s="1"/>
  <c r="P42" i="12"/>
  <c r="G52" i="12" s="1"/>
  <c r="C42" i="12"/>
  <c r="C44" i="12" s="1"/>
  <c r="G148" i="12" l="1"/>
  <c r="G130" i="12"/>
  <c r="G70" i="12"/>
  <c r="R160" i="12"/>
  <c r="S160" i="12" s="1"/>
  <c r="P160" i="12"/>
  <c r="N162" i="12" s="1"/>
  <c r="R135" i="12"/>
  <c r="S135" i="12" s="1"/>
  <c r="P135" i="12"/>
  <c r="R74" i="12"/>
  <c r="S74" i="12" s="1"/>
  <c r="P74" i="12"/>
  <c r="R67" i="12"/>
  <c r="S67" i="12" s="1"/>
  <c r="P67" i="12"/>
  <c r="Q162" i="12" l="1"/>
  <c r="Q164" i="12" l="1"/>
  <c r="R78" i="12"/>
  <c r="P78" i="12"/>
  <c r="S78" i="12" l="1"/>
  <c r="R91" i="12"/>
  <c r="S91" i="12" s="1"/>
  <c r="P91" i="12"/>
  <c r="J96" i="12" s="1"/>
  <c r="R84" i="12"/>
  <c r="S84" i="12" s="1"/>
  <c r="P84" i="12"/>
  <c r="R69" i="12"/>
  <c r="S69" i="12" s="1"/>
  <c r="P69" i="12"/>
  <c r="O70" i="12" s="1"/>
  <c r="R43" i="12"/>
  <c r="P43" i="12"/>
  <c r="H52" i="12" s="1"/>
  <c r="C43" i="12"/>
  <c r="S43" i="12" l="1"/>
  <c r="R143" i="12"/>
  <c r="S143" i="12" s="1"/>
  <c r="P143" i="12"/>
  <c r="R137" i="12"/>
  <c r="S137" i="12" s="1"/>
  <c r="P137" i="12"/>
  <c r="R129" i="12" l="1"/>
  <c r="S129" i="12" s="1"/>
  <c r="P129" i="12"/>
  <c r="R111" i="12"/>
  <c r="P111" i="12"/>
  <c r="S111" i="12" l="1"/>
  <c r="R161" i="12" l="1"/>
  <c r="S161" i="12" s="1"/>
  <c r="P161" i="12"/>
  <c r="R110" i="12"/>
  <c r="S110" i="12" s="1"/>
  <c r="P110" i="12"/>
  <c r="N112" i="12" s="1"/>
  <c r="R51" i="12"/>
  <c r="S51" i="12" s="1"/>
  <c r="P51" i="12"/>
  <c r="R159" i="12"/>
  <c r="S159" i="12" s="1"/>
  <c r="P159" i="12"/>
  <c r="R144" i="12"/>
  <c r="S144" i="12" s="1"/>
  <c r="P144" i="12"/>
  <c r="M148" i="12" s="1"/>
  <c r="R94" i="12"/>
  <c r="S94" i="12" s="1"/>
  <c r="P94" i="12"/>
  <c r="M96" i="12" s="1"/>
  <c r="R142" i="12"/>
  <c r="S142" i="12" s="1"/>
  <c r="P142" i="12"/>
  <c r="L148" i="12" s="1"/>
  <c r="R124" i="12"/>
  <c r="S124" i="12" s="1"/>
  <c r="P124" i="12"/>
  <c r="L130" i="12" s="1"/>
  <c r="R80" i="12"/>
  <c r="S80" i="12" s="1"/>
  <c r="P80" i="12"/>
  <c r="R63" i="12"/>
  <c r="S63" i="12" s="1"/>
  <c r="P63" i="12"/>
  <c r="R79" i="12"/>
  <c r="P79" i="12"/>
  <c r="K87" i="12" s="1"/>
  <c r="S79" i="12" l="1"/>
  <c r="R100" i="12"/>
  <c r="S100" i="12" s="1"/>
  <c r="P100" i="12"/>
  <c r="R45" i="12"/>
  <c r="P45" i="12"/>
  <c r="I52" i="12" s="1"/>
  <c r="R115" i="12"/>
  <c r="S115" i="12" s="1"/>
  <c r="P115" i="12"/>
  <c r="S45" i="12" l="1"/>
  <c r="F30" i="12"/>
  <c r="H30" i="12" s="1"/>
  <c r="F35" i="12"/>
  <c r="F32" i="12"/>
  <c r="AL35" i="12"/>
  <c r="R158" i="12"/>
  <c r="S158" i="12" s="1"/>
  <c r="P158" i="12"/>
  <c r="L162" i="12" s="1"/>
  <c r="R156" i="12"/>
  <c r="S156" i="12" s="1"/>
  <c r="P156" i="12"/>
  <c r="R155" i="12"/>
  <c r="S155" i="12" s="1"/>
  <c r="P155" i="12"/>
  <c r="R154" i="12"/>
  <c r="S154" i="12" s="1"/>
  <c r="P154" i="12"/>
  <c r="J162" i="12" s="1"/>
  <c r="R152" i="12"/>
  <c r="P152" i="12"/>
  <c r="I162" i="12" s="1"/>
  <c r="R147" i="12"/>
  <c r="S147" i="12" s="1"/>
  <c r="P147" i="12"/>
  <c r="O148" i="12" s="1"/>
  <c r="R146" i="12"/>
  <c r="S146" i="12" s="1"/>
  <c r="P146" i="12"/>
  <c r="N148" i="12" s="1"/>
  <c r="R140" i="12"/>
  <c r="S140" i="12" s="1"/>
  <c r="P140" i="12"/>
  <c r="K148" i="12" s="1"/>
  <c r="R138" i="12"/>
  <c r="P138" i="12"/>
  <c r="J148" i="12" s="1"/>
  <c r="R136" i="12"/>
  <c r="S136" i="12" s="1"/>
  <c r="P136" i="12"/>
  <c r="I148" i="12" s="1"/>
  <c r="R134" i="12"/>
  <c r="S134" i="12" s="1"/>
  <c r="P134" i="12"/>
  <c r="H148" i="12" s="1"/>
  <c r="R128" i="12"/>
  <c r="P128" i="12"/>
  <c r="O130" i="12" s="1"/>
  <c r="AL33" i="12" s="1"/>
  <c r="R127" i="12"/>
  <c r="S127" i="12" s="1"/>
  <c r="P127" i="12"/>
  <c r="N130" i="12" s="1"/>
  <c r="R126" i="12"/>
  <c r="S126" i="12" s="1"/>
  <c r="P126" i="12"/>
  <c r="R125" i="12"/>
  <c r="S125" i="12" s="1"/>
  <c r="P125" i="12"/>
  <c r="R122" i="12"/>
  <c r="S122" i="12" s="1"/>
  <c r="P122" i="12"/>
  <c r="K130" i="12" s="1"/>
  <c r="R120" i="12"/>
  <c r="S120" i="12" s="1"/>
  <c r="P120" i="12"/>
  <c r="J130" i="12" s="1"/>
  <c r="R118" i="12"/>
  <c r="S118" i="12" s="1"/>
  <c r="P118" i="12"/>
  <c r="R117" i="12"/>
  <c r="S117" i="12" s="1"/>
  <c r="P117" i="12"/>
  <c r="R116" i="12"/>
  <c r="S116" i="12" s="1"/>
  <c r="P116" i="12"/>
  <c r="AL32" i="12"/>
  <c r="R109" i="12"/>
  <c r="S109" i="12" s="1"/>
  <c r="P109" i="12"/>
  <c r="M112" i="12" s="1"/>
  <c r="R107" i="12"/>
  <c r="S107" i="12" s="1"/>
  <c r="P107" i="12"/>
  <c r="L112" i="12" s="1"/>
  <c r="R105" i="12"/>
  <c r="S105" i="12" s="1"/>
  <c r="P105" i="12"/>
  <c r="K112" i="12" s="1"/>
  <c r="R103" i="12"/>
  <c r="S103" i="12" s="1"/>
  <c r="P103" i="12"/>
  <c r="J112" i="12" s="1"/>
  <c r="R101" i="12"/>
  <c r="S101" i="12" s="1"/>
  <c r="P101" i="12"/>
  <c r="I112" i="12" s="1"/>
  <c r="R99" i="12"/>
  <c r="P99" i="12"/>
  <c r="H112" i="12" s="1"/>
  <c r="G31" i="12"/>
  <c r="G36" i="12"/>
  <c r="AM31" i="12"/>
  <c r="AI31" i="12"/>
  <c r="AE31" i="12"/>
  <c r="AA31" i="12"/>
  <c r="W31" i="12"/>
  <c r="S31" i="12"/>
  <c r="O31" i="12"/>
  <c r="K31" i="12"/>
  <c r="AQ30" i="12"/>
  <c r="AQ29" i="12"/>
  <c r="AQ28" i="12"/>
  <c r="AQ27" i="12"/>
  <c r="H130" i="12" l="1"/>
  <c r="J33" i="12" s="1"/>
  <c r="S99" i="12"/>
  <c r="I130" i="12"/>
  <c r="N33" i="12" s="1"/>
  <c r="M130" i="12"/>
  <c r="AD33" i="12" s="1"/>
  <c r="AH33" i="12"/>
  <c r="J32" i="12"/>
  <c r="J34" i="12"/>
  <c r="K162" i="12"/>
  <c r="V35" i="12" s="1"/>
  <c r="S138" i="12"/>
  <c r="S128" i="12"/>
  <c r="V34" i="12"/>
  <c r="AL34" i="12"/>
  <c r="AH32" i="12"/>
  <c r="AD34" i="12"/>
  <c r="Z34" i="12"/>
  <c r="Z33" i="12"/>
  <c r="N32" i="12"/>
  <c r="G37" i="12"/>
  <c r="AQ31" i="12"/>
  <c r="AH34" i="12"/>
  <c r="J35" i="12"/>
  <c r="AD35" i="12"/>
  <c r="R32" i="12"/>
  <c r="V32" i="12"/>
  <c r="R33" i="12"/>
  <c r="N34" i="12"/>
  <c r="Z32" i="12"/>
  <c r="AD32" i="12"/>
  <c r="V33" i="12"/>
  <c r="F34" i="12"/>
  <c r="S152" i="12"/>
  <c r="R34" i="12"/>
  <c r="F33" i="12"/>
  <c r="R35" i="12" l="1"/>
  <c r="Z35" i="12"/>
  <c r="AH35" i="12"/>
  <c r="N35" i="12"/>
  <c r="R86" i="12"/>
  <c r="S86" i="12" s="1"/>
  <c r="P86" i="12"/>
  <c r="O87" i="12" s="1"/>
  <c r="AL28" i="12"/>
  <c r="AN28" i="12" s="1"/>
  <c r="AO28" i="12" s="1"/>
  <c r="AL27" i="12"/>
  <c r="F27" i="12"/>
  <c r="H27" i="12" s="1"/>
  <c r="I27" i="12" s="1"/>
  <c r="AM36" i="12"/>
  <c r="AM37" i="12" s="1"/>
  <c r="AI36" i="12"/>
  <c r="AI37" i="12" s="1"/>
  <c r="AE36" i="12"/>
  <c r="AE37" i="12" s="1"/>
  <c r="AA36" i="12"/>
  <c r="AA37" i="12" s="1"/>
  <c r="W36" i="12"/>
  <c r="W37" i="12" s="1"/>
  <c r="S36" i="12"/>
  <c r="S37" i="12" s="1"/>
  <c r="O36" i="12"/>
  <c r="O37" i="12" s="1"/>
  <c r="K36" i="12"/>
  <c r="K37" i="12" s="1"/>
  <c r="J30" i="12" l="1"/>
  <c r="L30" i="12" s="1"/>
  <c r="M30" i="12" s="1"/>
  <c r="AN27" i="12"/>
  <c r="R93" i="12" l="1"/>
  <c r="S93" i="12" s="1"/>
  <c r="P93" i="12"/>
  <c r="L96" i="12" s="1"/>
  <c r="R81" i="12"/>
  <c r="S81" i="12" s="1"/>
  <c r="P81" i="12"/>
  <c r="L87" i="12" s="1"/>
  <c r="R64" i="12"/>
  <c r="S64" i="12" s="1"/>
  <c r="P64" i="12"/>
  <c r="L70" i="12" s="1"/>
  <c r="R92" i="12"/>
  <c r="S92" i="12" s="1"/>
  <c r="P92" i="12"/>
  <c r="K96" i="12" s="1"/>
  <c r="R77" i="12"/>
  <c r="S77" i="12" s="1"/>
  <c r="P77" i="12"/>
  <c r="J87" i="12" s="1"/>
  <c r="R47" i="12"/>
  <c r="S47" i="12" s="1"/>
  <c r="P47" i="12"/>
  <c r="J52" i="12" s="1"/>
  <c r="R90" i="12"/>
  <c r="P90" i="12"/>
  <c r="R75" i="12"/>
  <c r="S75" i="12" s="1"/>
  <c r="P75" i="12"/>
  <c r="I87" i="12" s="1"/>
  <c r="R57" i="12"/>
  <c r="S57" i="12" s="1"/>
  <c r="P57" i="12"/>
  <c r="R73" i="12"/>
  <c r="S73" i="12" s="1"/>
  <c r="P73" i="12"/>
  <c r="H87" i="12" s="1"/>
  <c r="I96" i="12" l="1"/>
  <c r="S90" i="12"/>
  <c r="Z29" i="12"/>
  <c r="AB29" i="12" s="1"/>
  <c r="AC29" i="12" s="1"/>
  <c r="Z28" i="12"/>
  <c r="AB28" i="12" s="1"/>
  <c r="AC28" i="12" s="1"/>
  <c r="V29" i="12"/>
  <c r="X29" i="12" s="1"/>
  <c r="Y29" i="12" s="1"/>
  <c r="N27" i="12"/>
  <c r="P27" i="12" s="1"/>
  <c r="D164" i="12"/>
  <c r="Q27" i="12" l="1"/>
  <c r="R95" i="12"/>
  <c r="S95" i="12" s="1"/>
  <c r="P95" i="12"/>
  <c r="N96" i="12" s="1"/>
  <c r="AL30" i="12"/>
  <c r="AN30" i="12" s="1"/>
  <c r="R83" i="12"/>
  <c r="S83" i="12" s="1"/>
  <c r="P83" i="12"/>
  <c r="M87" i="12" s="1"/>
  <c r="R85" i="12"/>
  <c r="P85" i="12"/>
  <c r="N87" i="12" s="1"/>
  <c r="R66" i="12"/>
  <c r="S66" i="12" s="1"/>
  <c r="P66" i="12"/>
  <c r="M70" i="12" s="1"/>
  <c r="R68" i="12"/>
  <c r="S68" i="12" s="1"/>
  <c r="P68" i="12"/>
  <c r="N70" i="12" s="1"/>
  <c r="R50" i="12"/>
  <c r="S50" i="12" s="1"/>
  <c r="P50" i="12"/>
  <c r="M52" i="12" s="1"/>
  <c r="AD29" i="12" l="1"/>
  <c r="AF29" i="12" s="1"/>
  <c r="AG29" i="12" s="1"/>
  <c r="S85" i="12"/>
  <c r="AH27" i="12"/>
  <c r="AJ27" i="12" s="1"/>
  <c r="AH30" i="12"/>
  <c r="AJ30" i="12" s="1"/>
  <c r="AK30" i="12" s="1"/>
  <c r="AD30" i="12"/>
  <c r="AH28" i="12"/>
  <c r="AJ28" i="12" s="1"/>
  <c r="AK28" i="12" s="1"/>
  <c r="AD28" i="12"/>
  <c r="AF28" i="12" s="1"/>
  <c r="AG28" i="12" s="1"/>
  <c r="AD27" i="12"/>
  <c r="AN35" i="12"/>
  <c r="M164" i="12" l="1"/>
  <c r="AJ34" i="12"/>
  <c r="AK34" i="12" s="1"/>
  <c r="AH29" i="12"/>
  <c r="AH31" i="12" s="1"/>
  <c r="AF30" i="12"/>
  <c r="AG30" i="12" s="1"/>
  <c r="AD31" i="12"/>
  <c r="AF27" i="12"/>
  <c r="N164" i="12"/>
  <c r="AK27" i="12"/>
  <c r="AJ33" i="12"/>
  <c r="AJ32" i="12"/>
  <c r="AH36" i="12"/>
  <c r="AL29" i="12"/>
  <c r="AL31" i="12" l="1"/>
  <c r="AN29" i="12"/>
  <c r="AH37" i="12"/>
  <c r="AJ29" i="12"/>
  <c r="AF31" i="12"/>
  <c r="AG31" i="12" s="1"/>
  <c r="AG27" i="12"/>
  <c r="AK33" i="12"/>
  <c r="AK32" i="12"/>
  <c r="Z30" i="12"/>
  <c r="AB30" i="12" s="1"/>
  <c r="AC30" i="12" s="1"/>
  <c r="R59" i="12"/>
  <c r="S59" i="12" s="1"/>
  <c r="P59" i="12"/>
  <c r="N29" i="12"/>
  <c r="P29" i="12" s="1"/>
  <c r="Q29" i="12" s="1"/>
  <c r="V30" i="12" l="1"/>
  <c r="R29" i="12"/>
  <c r="T29" i="12" s="1"/>
  <c r="U29" i="12" s="1"/>
  <c r="R30" i="12"/>
  <c r="T30" i="12" s="1"/>
  <c r="U30" i="12" s="1"/>
  <c r="AO29" i="12"/>
  <c r="AN31" i="12"/>
  <c r="AO31" i="12" s="1"/>
  <c r="N30" i="12"/>
  <c r="P30" i="12" s="1"/>
  <c r="Q30" i="12" s="1"/>
  <c r="AK29" i="12"/>
  <c r="AJ31" i="12"/>
  <c r="AK31" i="12" s="1"/>
  <c r="J29" i="12"/>
  <c r="L29" i="12" s="1"/>
  <c r="M29" i="12" s="1"/>
  <c r="F29" i="12"/>
  <c r="H29" i="12" s="1"/>
  <c r="I29" i="12" s="1"/>
  <c r="AN34" i="12"/>
  <c r="AO34" i="12" s="1"/>
  <c r="R49" i="12"/>
  <c r="S49" i="12" s="1"/>
  <c r="P49" i="12"/>
  <c r="L52" i="12" s="1"/>
  <c r="R56" i="12"/>
  <c r="P56" i="12"/>
  <c r="H70" i="12" s="1"/>
  <c r="J28" i="12" l="1"/>
  <c r="L28" i="12" s="1"/>
  <c r="M28" i="12" s="1"/>
  <c r="X30" i="12"/>
  <c r="Y30" i="12" s="1"/>
  <c r="AP30" i="12"/>
  <c r="AR30" i="12" s="1"/>
  <c r="AS30" i="12" s="1"/>
  <c r="AP29" i="12"/>
  <c r="AR29" i="12" s="1"/>
  <c r="AS29" i="12" s="1"/>
  <c r="G164" i="12"/>
  <c r="F28" i="12"/>
  <c r="H33" i="12"/>
  <c r="S56" i="12"/>
  <c r="H28" i="12" l="1"/>
  <c r="F31" i="12"/>
  <c r="I33" i="12"/>
  <c r="R62" i="12"/>
  <c r="S62" i="12" s="1"/>
  <c r="P62" i="12"/>
  <c r="K70" i="12" s="1"/>
  <c r="R60" i="12"/>
  <c r="S60" i="12" s="1"/>
  <c r="P60" i="12"/>
  <c r="J70" i="12" s="1"/>
  <c r="R58" i="12"/>
  <c r="P58" i="12"/>
  <c r="R48" i="12"/>
  <c r="P48" i="12"/>
  <c r="K52" i="12" s="1"/>
  <c r="H35" i="12"/>
  <c r="AQ32" i="12"/>
  <c r="AQ33" i="12"/>
  <c r="AQ35" i="12"/>
  <c r="AJ35" i="12"/>
  <c r="AQ34" i="12"/>
  <c r="I70" i="12" l="1"/>
  <c r="N28" i="12" s="1"/>
  <c r="V27" i="12"/>
  <c r="S58" i="12"/>
  <c r="R27" i="12"/>
  <c r="T27" i="12" s="1"/>
  <c r="J27" i="12"/>
  <c r="AQ36" i="12"/>
  <c r="AQ37" i="12" s="1"/>
  <c r="R28" i="12"/>
  <c r="T28" i="12" s="1"/>
  <c r="U28" i="12" s="1"/>
  <c r="I28" i="12"/>
  <c r="H31" i="12"/>
  <c r="AK35" i="12"/>
  <c r="AJ36" i="12"/>
  <c r="AN33" i="12"/>
  <c r="S48" i="12"/>
  <c r="AN32" i="12"/>
  <c r="P34" i="12"/>
  <c r="Q34" i="12" s="1"/>
  <c r="AF34" i="12"/>
  <c r="AG34" i="12" s="1"/>
  <c r="P35" i="12"/>
  <c r="Q35" i="12" s="1"/>
  <c r="AF35" i="12"/>
  <c r="AG35" i="12" s="1"/>
  <c r="X35" i="12"/>
  <c r="Y35" i="12" s="1"/>
  <c r="T35" i="12"/>
  <c r="U35" i="12" s="1"/>
  <c r="AB34" i="12"/>
  <c r="AC34" i="12" s="1"/>
  <c r="X34" i="12"/>
  <c r="Y34" i="12" s="1"/>
  <c r="T34" i="12"/>
  <c r="U34" i="12" s="1"/>
  <c r="L34" i="12"/>
  <c r="M34" i="12" s="1"/>
  <c r="I164" i="12" l="1"/>
  <c r="J164" i="12"/>
  <c r="H164" i="12"/>
  <c r="S164" i="12"/>
  <c r="Z27" i="12"/>
  <c r="L164" i="12"/>
  <c r="AK36" i="12"/>
  <c r="AJ37" i="12"/>
  <c r="AK37" i="12" s="1"/>
  <c r="V28" i="12"/>
  <c r="V31" i="12" s="1"/>
  <c r="K164" i="12"/>
  <c r="L27" i="12"/>
  <c r="J31" i="12"/>
  <c r="R31" i="12"/>
  <c r="T31" i="12"/>
  <c r="U31" i="12" s="1"/>
  <c r="U27" i="12"/>
  <c r="X27" i="12"/>
  <c r="P164" i="12"/>
  <c r="R164" i="12"/>
  <c r="P28" i="12"/>
  <c r="N31" i="12"/>
  <c r="I31" i="12"/>
  <c r="H34" i="12"/>
  <c r="AL36" i="12"/>
  <c r="AL37" i="12" s="1"/>
  <c r="N36" i="12"/>
  <c r="AO33" i="12"/>
  <c r="AN36" i="12"/>
  <c r="L33" i="12"/>
  <c r="AB35" i="12"/>
  <c r="AC35" i="12" s="1"/>
  <c r="F36" i="12"/>
  <c r="F37" i="12" s="1"/>
  <c r="AP34" i="12"/>
  <c r="AD36" i="12"/>
  <c r="AD37" i="12" s="1"/>
  <c r="R36" i="12"/>
  <c r="J36" i="12"/>
  <c r="L35" i="12"/>
  <c r="M35" i="12" s="1"/>
  <c r="C54" i="12" l="1"/>
  <c r="A53" i="12"/>
  <c r="C53" i="12" s="1"/>
  <c r="R37" i="12"/>
  <c r="N37" i="12"/>
  <c r="Q28" i="12"/>
  <c r="P31" i="12"/>
  <c r="Q31" i="12" s="1"/>
  <c r="AO36" i="12"/>
  <c r="AN37" i="12"/>
  <c r="AO37" i="12" s="1"/>
  <c r="L31" i="12"/>
  <c r="M31" i="12" s="1"/>
  <c r="M27" i="12"/>
  <c r="Y27" i="12"/>
  <c r="J37" i="12"/>
  <c r="X28" i="12"/>
  <c r="Y28" i="12" s="1"/>
  <c r="AP28" i="12"/>
  <c r="AR28" i="12" s="1"/>
  <c r="AS28" i="12" s="1"/>
  <c r="AB27" i="12"/>
  <c r="Z31" i="12"/>
  <c r="AP27" i="12"/>
  <c r="I34" i="12"/>
  <c r="Z36" i="12"/>
  <c r="AP33" i="12"/>
  <c r="V36" i="12"/>
  <c r="V37" i="12" s="1"/>
  <c r="M33" i="12"/>
  <c r="H32" i="12"/>
  <c r="I32" i="12" s="1"/>
  <c r="AP35" i="12"/>
  <c r="AR35" i="12" s="1"/>
  <c r="AS35" i="12" s="1"/>
  <c r="AR34" i="12"/>
  <c r="AS34" i="12" s="1"/>
  <c r="C55" i="12" l="1"/>
  <c r="Z37" i="12"/>
  <c r="AC27" i="12"/>
  <c r="AB31" i="12"/>
  <c r="AC31" i="12" s="1"/>
  <c r="X31" i="12"/>
  <c r="Y31" i="12" s="1"/>
  <c r="AR27" i="12"/>
  <c r="AP31" i="12"/>
  <c r="AR33" i="12"/>
  <c r="H36" i="12"/>
  <c r="H37" i="12" s="1"/>
  <c r="I37" i="12" s="1"/>
  <c r="AS27" i="12" l="1"/>
  <c r="AR31" i="12"/>
  <c r="AS31" i="12" s="1"/>
  <c r="I36" i="12"/>
  <c r="AS33" i="12"/>
  <c r="H169" i="12"/>
  <c r="AF33" i="12" l="1"/>
  <c r="AG33" i="12" l="1"/>
  <c r="AB32" i="12"/>
  <c r="AC32" i="12" s="1"/>
  <c r="M41" i="12"/>
  <c r="L41" i="12"/>
  <c r="K41" i="12"/>
  <c r="J41" i="12"/>
  <c r="I41" i="12"/>
  <c r="H41" i="12"/>
  <c r="G41" i="12"/>
  <c r="C72" i="12" l="1"/>
  <c r="L32" i="12"/>
  <c r="C73" i="12" l="1"/>
  <c r="C71" i="12"/>
  <c r="M32" i="12"/>
  <c r="L36" i="12"/>
  <c r="L37" i="12" s="1"/>
  <c r="M37" i="12" s="1"/>
  <c r="T32" i="12"/>
  <c r="U32" i="12" s="1"/>
  <c r="P32" i="12"/>
  <c r="Q32" i="12" s="1"/>
  <c r="C89" i="12" l="1"/>
  <c r="M36" i="12"/>
  <c r="AF32" i="12"/>
  <c r="C88" i="12" l="1"/>
  <c r="AG32" i="12"/>
  <c r="AF36" i="12"/>
  <c r="AF37" i="12" s="1"/>
  <c r="P33" i="12"/>
  <c r="AG36" i="12" l="1"/>
  <c r="AG37" i="12"/>
  <c r="Q33" i="12"/>
  <c r="P36" i="12"/>
  <c r="C90" i="12"/>
  <c r="H166" i="12"/>
  <c r="C98" i="12" l="1"/>
  <c r="Q36" i="12"/>
  <c r="P37" i="12"/>
  <c r="Q37" i="12" s="1"/>
  <c r="H167" i="12"/>
  <c r="C99" i="12" l="1"/>
  <c r="C97" i="12"/>
  <c r="X32" i="12"/>
  <c r="Y32" i="12" s="1"/>
  <c r="AP32" i="12"/>
  <c r="AP36" i="12" s="1"/>
  <c r="AP37" i="12" s="1"/>
  <c r="I15" i="12" s="1"/>
  <c r="C115" i="12" l="1"/>
  <c r="AR32" i="12"/>
  <c r="C113" i="12" l="1"/>
  <c r="A114" i="12" s="1"/>
  <c r="C114" i="12" s="1"/>
  <c r="AS32" i="12"/>
  <c r="AR36" i="12"/>
  <c r="AR37" i="12" s="1"/>
  <c r="AS37" i="12" s="1"/>
  <c r="T33" i="12"/>
  <c r="AB33" i="12"/>
  <c r="C131" i="12" l="1"/>
  <c r="C133" i="12"/>
  <c r="C132" i="12"/>
  <c r="AS36" i="12"/>
  <c r="AC33" i="12"/>
  <c r="AB36" i="12"/>
  <c r="U33" i="12"/>
  <c r="T36" i="12"/>
  <c r="X33" i="12"/>
  <c r="AC36" i="12" l="1"/>
  <c r="AB37" i="12"/>
  <c r="AC37" i="12" s="1"/>
  <c r="U36" i="12"/>
  <c r="T37" i="12"/>
  <c r="U37" i="12" s="1"/>
  <c r="Y33" i="12"/>
  <c r="X36" i="12"/>
  <c r="M167" i="12"/>
  <c r="Y36" i="12" l="1"/>
  <c r="X37" i="12"/>
  <c r="Y37" i="12" s="1"/>
  <c r="H168" i="12"/>
  <c r="AC20" i="12" s="1"/>
  <c r="C149" i="12" l="1"/>
  <c r="I20" i="12"/>
  <c r="C151" i="12" l="1"/>
  <c r="C150" i="12"/>
</calcChain>
</file>

<file path=xl/sharedStrings.xml><?xml version="1.0" encoding="utf-8"?>
<sst xmlns="http://schemas.openxmlformats.org/spreadsheetml/2006/main" count="371" uniqueCount="88">
  <si>
    <t>97228 ROTTENDORF</t>
  </si>
  <si>
    <t>GERMANY</t>
  </si>
  <si>
    <t>PACKING LIST</t>
  </si>
  <si>
    <t>SIZE</t>
  </si>
  <si>
    <t>Supplier Name and Address</t>
  </si>
  <si>
    <t>Bangladesh</t>
  </si>
  <si>
    <t>Consignee:</t>
  </si>
  <si>
    <t>S.OLIVER Bernd Freier GmbH &amp; Co.KG</t>
  </si>
  <si>
    <t>ORDER NO:</t>
  </si>
  <si>
    <t>INVOICE NO:</t>
  </si>
  <si>
    <t>STYLE NO:</t>
  </si>
  <si>
    <t>SHIPPING MARK:</t>
  </si>
  <si>
    <t>S.OLIVER</t>
  </si>
  <si>
    <t>Bernd Freier GmbH &amp; Co.KG</t>
  </si>
  <si>
    <t>SHIPPED ON/ABT:</t>
  </si>
  <si>
    <t>SHPG MTHD.</t>
  </si>
  <si>
    <t>NO OF CARTONS</t>
  </si>
  <si>
    <t>DESCRIPTION</t>
  </si>
  <si>
    <t xml:space="preserve">SUMMARY OF TOTAL BREAKDOWN </t>
  </si>
  <si>
    <t>TOTAL</t>
  </si>
  <si>
    <t>COUNTRY</t>
  </si>
  <si>
    <t>ship.</t>
  </si>
  <si>
    <t>order</t>
  </si>
  <si>
    <t>Dif.</t>
  </si>
  <si>
    <t>Diff.%</t>
  </si>
  <si>
    <t>ship</t>
  </si>
  <si>
    <t>diff%</t>
  </si>
  <si>
    <t>diff</t>
  </si>
  <si>
    <t>PREP</t>
  </si>
  <si>
    <t>GR.WT</t>
  </si>
  <si>
    <t>NT. WT</t>
  </si>
  <si>
    <t>FROM BANGLADESH TO:</t>
  </si>
  <si>
    <t xml:space="preserve">PHONE NO : </t>
  </si>
  <si>
    <t>FAX NO      :</t>
  </si>
  <si>
    <t xml:space="preserve">880-2-9291361  </t>
  </si>
  <si>
    <t xml:space="preserve">880-2-9291731  </t>
  </si>
  <si>
    <t>LOT</t>
  </si>
  <si>
    <t>COLOR</t>
  </si>
  <si>
    <t>NO.</t>
  </si>
  <si>
    <t>Carton No.</t>
  </si>
  <si>
    <t>Total</t>
  </si>
  <si>
    <t>PACKING TYPE (FLAT or GOH)</t>
  </si>
  <si>
    <t>S.OLIVER-STRASSE</t>
  </si>
  <si>
    <t>BD</t>
  </si>
  <si>
    <t xml:space="preserve">TOTAL GROSS WEIGHT </t>
  </si>
  <si>
    <t>:</t>
  </si>
  <si>
    <t>Kgs</t>
  </si>
  <si>
    <t xml:space="preserve">TOTAL NET WEIGHT      </t>
  </si>
  <si>
    <t xml:space="preserve">TOTAL CTN                       </t>
  </si>
  <si>
    <t>Ctns</t>
  </si>
  <si>
    <t>TOTAL CBM</t>
  </si>
  <si>
    <t>CBM</t>
  </si>
  <si>
    <t>TOTAL ORDER QTY</t>
  </si>
  <si>
    <t>TOTAL SHIP QTY</t>
  </si>
  <si>
    <t>COUNTRY OF ORIGIN</t>
  </si>
  <si>
    <t xml:space="preserve"> </t>
  </si>
  <si>
    <t>Core Test :    N/R</t>
  </si>
  <si>
    <t>S.Oliver - StraBe 3</t>
  </si>
  <si>
    <t>D - 97228 Rottendorf</t>
  </si>
  <si>
    <t>Germany</t>
  </si>
  <si>
    <t>-</t>
  </si>
  <si>
    <t xml:space="preserve">CTN NO: 1 to  </t>
  </si>
  <si>
    <t>MEASUREMENT</t>
  </si>
  <si>
    <t>SAP ID NO:</t>
  </si>
  <si>
    <t>Flat pack</t>
  </si>
  <si>
    <t>Nishat Nagar , Tongi , Gazipur .</t>
  </si>
  <si>
    <t>60 X 40 X 20</t>
  </si>
  <si>
    <t>Par/ctn Gr. Wt</t>
  </si>
  <si>
    <t>CREATIVE COLLECTIONS LTD. U-1B</t>
  </si>
  <si>
    <t>DATE          :</t>
  </si>
  <si>
    <t xml:space="preserve">Haus </t>
  </si>
  <si>
    <t>Denim trouse</t>
  </si>
  <si>
    <t>Color</t>
  </si>
  <si>
    <t>Size</t>
  </si>
  <si>
    <t>Inseam</t>
  </si>
  <si>
    <t>G. TOTAL</t>
  </si>
  <si>
    <t>G.TOTAL</t>
  </si>
  <si>
    <t>57Z4</t>
  </si>
  <si>
    <t>93Z4</t>
  </si>
  <si>
    <t>57Z4-28</t>
  </si>
  <si>
    <t>57Z4-30</t>
  </si>
  <si>
    <t>57Z4-32</t>
  </si>
  <si>
    <t>57Z4-34</t>
  </si>
  <si>
    <t>93Z4-28</t>
  </si>
  <si>
    <t>93Z4-30</t>
  </si>
  <si>
    <t>93Z4-32</t>
  </si>
  <si>
    <t>93Z4-34</t>
  </si>
  <si>
    <t>10.2.11.26.185.2184662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</si>
</sst>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\$#,##0.0000_);&quot;($&quot;#,##0.0000\)"/>
    <numFmt numFmtId="165" formatCode="#,##0.0_);\(#,##0.0\)"/>
    <numFmt numFmtId="166" formatCode="_-* #,##0\ _F_-;\-* #,##0\ _F_-;_-* &quot;- &quot;_F_-;_-@_-"/>
    <numFmt numFmtId="167" formatCode="_-* #,##0.00\ _F_-;\-* #,##0.00\ _F_-;_-* \-??\ _F_-;_-@_-"/>
    <numFmt numFmtId="168" formatCode="_-\£* #,##0.00_-;&quot;-£&quot;* #,##0.00_-;_-\£* \-??_-;_-@_-"/>
    <numFmt numFmtId="169" formatCode="#,##0.0;[Red]\-#,##0.0"/>
    <numFmt numFmtId="170" formatCode="_-* #,##0&quot; F&quot;_-;\-* #,##0&quot; F&quot;_-;_-* &quot;- F&quot;_-;_-@_-"/>
    <numFmt numFmtId="171" formatCode="_-* #,##0.00&quot; F&quot;_-;\-* #,##0.00&quot; F&quot;_-;_-* \-??&quot; F&quot;_-;_-@_-"/>
    <numFmt numFmtId="172" formatCode="0.00_)"/>
    <numFmt numFmtId="173" formatCode="_-* #,##0.00_-;\-* #,##0.00_-;_-* \-??_-;_-@_-"/>
    <numFmt numFmtId="174" formatCode="_-* #,##0_-;\-* #,##0_-;_-* \-_-;_-@_-"/>
    <numFmt numFmtId="175" formatCode="mm/dd/yy"/>
    <numFmt numFmtId="176" formatCode="\$#,##0_);&quot;($&quot;#,##0\)"/>
    <numFmt numFmtId="177" formatCode="0_)"/>
    <numFmt numFmtId="178" formatCode="\L#,##0_);[Red]&quot;(L&quot;#,##0\)"/>
    <numFmt numFmtId="179" formatCode="#,##0.00\ _$;[Red]\-#,##0.00\ _$"/>
    <numFmt numFmtId="180" formatCode="0.0%"/>
    <numFmt numFmtId="181" formatCode="[$-409]d\-mmm\-yyyy;@"/>
  </numFmts>
  <fonts count="20" x14ac:knownFonts="1">
    <font>
      <sz val="10"/>
      <name val="Arial"/>
    </font>
    <font>
      <sz val="8"/>
      <name val="Times New Roman"/>
      <family val="1"/>
    </font>
    <font>
      <sz val="10"/>
      <name val="Arial"/>
      <family val="2"/>
    </font>
    <font>
      <sz val="10"/>
      <name val="MS Serif"/>
      <family val="1"/>
    </font>
    <font>
      <sz val="10"/>
      <name val="Courier"/>
      <family val="3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Arial"/>
      <family val="2"/>
    </font>
    <font>
      <u/>
      <sz val="10"/>
      <color indexed="20"/>
      <name val="Arial"/>
      <family val="2"/>
    </font>
    <font>
      <sz val="12"/>
      <name val="Helv"/>
    </font>
    <font>
      <sz val="12"/>
      <color indexed="9"/>
      <name val="Helv"/>
    </font>
    <font>
      <b/>
      <i/>
      <sz val="16"/>
      <name val="Helv"/>
    </font>
    <font>
      <sz val="10"/>
      <name val="Tms Rmn"/>
    </font>
    <font>
      <sz val="8"/>
      <name val="Helv"/>
    </font>
    <font>
      <b/>
      <sz val="8"/>
      <color indexed="8"/>
      <name val="Helv"/>
    </font>
    <font>
      <sz val="10"/>
      <name val="Arial"/>
      <family val="2"/>
    </font>
    <font>
      <b/>
      <sz val="29"/>
      <color theme="1"/>
      <name val="Arial"/>
      <family val="2"/>
    </font>
    <font>
      <b/>
      <sz val="40"/>
      <color theme="1"/>
      <name val="Arial"/>
      <family val="2"/>
    </font>
    <font>
      <b/>
      <u/>
      <sz val="40"/>
      <color theme="1"/>
      <name val="Arial"/>
      <family val="2"/>
    </font>
    <font>
      <b/>
      <sz val="3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15"/>
        <bgColor indexed="35"/>
      </patternFill>
    </fill>
    <fill>
      <patternFill patternType="solid">
        <fgColor indexed="12"/>
        <bgColor indexed="3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1">
    <xf numFmtId="0" fontId="0" fillId="0" borderId="0"/>
    <xf numFmtId="0" fontId="1" fillId="0" borderId="0">
      <alignment horizontal="center" wrapText="1"/>
      <protection locked="0"/>
    </xf>
    <xf numFmtId="164" fontId="2" fillId="0" borderId="0" applyFill="0" applyBorder="0" applyAlignment="0"/>
    <xf numFmtId="0" fontId="3" fillId="0" borderId="0" applyNumberFormat="0" applyAlignment="0"/>
    <xf numFmtId="0" fontId="4" fillId="0" borderId="0" applyNumberFormat="0" applyAlignment="0"/>
    <xf numFmtId="0" fontId="5" fillId="0" borderId="0" applyNumberFormat="0" applyAlignment="0"/>
    <xf numFmtId="0" fontId="6" fillId="2" borderId="0" applyNumberFormat="0" applyBorder="0" applyAlignment="0" applyProtection="0"/>
    <xf numFmtId="0" fontId="7" fillId="0" borderId="1" applyNumberFormat="0" applyAlignment="0" applyProtection="0"/>
    <xf numFmtId="0" fontId="7" fillId="0" borderId="2">
      <alignment horizontal="left" vertical="center"/>
    </xf>
    <xf numFmtId="0" fontId="8" fillId="0" borderId="0" applyNumberFormat="0" applyFill="0" applyBorder="0" applyAlignment="0" applyProtection="0"/>
    <xf numFmtId="0" fontId="6" fillId="3" borderId="0" applyNumberFormat="0" applyBorder="0" applyAlignment="0" applyProtection="0"/>
    <xf numFmtId="165" fontId="9" fillId="4" borderId="0"/>
    <xf numFmtId="165" fontId="10" fillId="5" borderId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2" fontId="11" fillId="0" borderId="0"/>
    <xf numFmtId="173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5" fontId="1" fillId="0" borderId="0">
      <alignment horizontal="center" wrapText="1"/>
      <protection locked="0"/>
    </xf>
    <xf numFmtId="10" fontId="2" fillId="0" borderId="0" applyFont="0" applyFill="0" applyBorder="0" applyAlignment="0" applyProtection="0"/>
    <xf numFmtId="176" fontId="12" fillId="0" borderId="0"/>
    <xf numFmtId="0" fontId="2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177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14" fillId="0" borderId="0" applyBorder="0">
      <alignment horizontal="right"/>
    </xf>
    <xf numFmtId="9" fontId="15" fillId="0" borderId="0" applyFont="0" applyFill="0" applyBorder="0" applyAlignment="0" applyProtection="0"/>
  </cellStyleXfs>
  <cellXfs count="139">
    <xf numFmtId="0" fontId="0" fillId="0" borderId="0" xfId="0"/>
    <xf numFmtId="0" fontId="16" fillId="6" borderId="0" xfId="0" applyFont="1" applyFill="1"/>
    <xf numFmtId="0" fontId="16" fillId="6" borderId="0" xfId="0" applyFont="1" applyFill="1" applyAlignment="1">
      <alignment horizontal="center"/>
    </xf>
    <xf numFmtId="0" fontId="16" fillId="6" borderId="0" xfId="0" applyFont="1" applyFill="1" applyAlignment="1">
      <alignment vertical="center"/>
    </xf>
    <xf numFmtId="0" fontId="16" fillId="6" borderId="0" xfId="0" applyFont="1" applyFill="1" applyAlignment="1">
      <alignment horizontal="center" vertical="center"/>
    </xf>
    <xf numFmtId="1" fontId="16" fillId="6" borderId="0" xfId="0" applyNumberFormat="1" applyFont="1" applyFill="1" applyAlignment="1">
      <alignment horizontal="center" vertical="center"/>
    </xf>
    <xf numFmtId="9" fontId="16" fillId="6" borderId="0" xfId="30" applyFont="1" applyFill="1" applyBorder="1" applyAlignment="1">
      <alignment horizontal="center" vertical="center"/>
    </xf>
    <xf numFmtId="0" fontId="16" fillId="7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0" fontId="17" fillId="6" borderId="8" xfId="0" applyFont="1" applyFill="1" applyBorder="1" applyAlignment="1">
      <alignment horizontal="center" vertical="center"/>
    </xf>
    <xf numFmtId="0" fontId="17" fillId="6" borderId="9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180" fontId="17" fillId="6" borderId="5" xfId="0" applyNumberFormat="1" applyFont="1" applyFill="1" applyBorder="1" applyAlignment="1">
      <alignment horizontal="center" vertical="center"/>
    </xf>
    <xf numFmtId="1" fontId="17" fillId="6" borderId="5" xfId="0" applyNumberFormat="1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 wrapText="1"/>
    </xf>
    <xf numFmtId="0" fontId="17" fillId="6" borderId="10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7" fillId="6" borderId="11" xfId="0" applyFont="1" applyFill="1" applyBorder="1" applyAlignment="1">
      <alignment horizontal="center" vertical="center"/>
    </xf>
    <xf numFmtId="0" fontId="17" fillId="6" borderId="14" xfId="0" applyFont="1" applyFill="1" applyBorder="1" applyAlignment="1">
      <alignment horizontal="center" vertical="center"/>
    </xf>
    <xf numFmtId="0" fontId="17" fillId="6" borderId="12" xfId="0" applyFont="1" applyFill="1" applyBorder="1" applyAlignment="1">
      <alignment horizontal="center" vertical="center"/>
    </xf>
    <xf numFmtId="0" fontId="17" fillId="6" borderId="13" xfId="0" applyFont="1" applyFill="1" applyBorder="1" applyAlignment="1">
      <alignment horizontal="center" vertical="center"/>
    </xf>
    <xf numFmtId="1" fontId="17" fillId="8" borderId="5" xfId="0" applyNumberFormat="1" applyFont="1" applyFill="1" applyBorder="1" applyAlignment="1">
      <alignment horizontal="center" vertical="center"/>
    </xf>
    <xf numFmtId="9" fontId="17" fillId="8" borderId="5" xfId="30" applyFont="1" applyFill="1" applyBorder="1" applyAlignment="1">
      <alignment horizontal="center" vertical="center"/>
    </xf>
    <xf numFmtId="180" fontId="17" fillId="8" borderId="5" xfId="0" applyNumberFormat="1" applyFont="1" applyFill="1" applyBorder="1" applyAlignment="1">
      <alignment horizontal="center" vertical="center"/>
    </xf>
    <xf numFmtId="1" fontId="17" fillId="7" borderId="5" xfId="0" applyNumberFormat="1" applyFont="1" applyFill="1" applyBorder="1" applyAlignment="1">
      <alignment horizontal="center" vertical="center"/>
    </xf>
    <xf numFmtId="9" fontId="17" fillId="7" borderId="5" xfId="30" applyFont="1" applyFill="1" applyBorder="1" applyAlignment="1">
      <alignment horizontal="center" vertical="center"/>
    </xf>
    <xf numFmtId="180" fontId="17" fillId="7" borderId="5" xfId="0" applyNumberFormat="1" applyFont="1" applyFill="1" applyBorder="1" applyAlignment="1">
      <alignment horizontal="center" vertical="center"/>
    </xf>
    <xf numFmtId="0" fontId="18" fillId="6" borderId="0" xfId="0" applyFont="1" applyFill="1"/>
    <xf numFmtId="0" fontId="17" fillId="6" borderId="0" xfId="0" applyFont="1" applyFill="1"/>
    <xf numFmtId="0" fontId="17" fillId="6" borderId="0" xfId="0" applyFont="1" applyFill="1" applyAlignment="1">
      <alignment horizontal="center"/>
    </xf>
    <xf numFmtId="0" fontId="17" fillId="6" borderId="0" xfId="0" applyFont="1" applyFill="1" applyAlignment="1">
      <alignment vertical="center"/>
    </xf>
    <xf numFmtId="0" fontId="17" fillId="6" borderId="7" xfId="0" applyFont="1" applyFill="1" applyBorder="1" applyAlignment="1">
      <alignment vertical="center"/>
    </xf>
    <xf numFmtId="0" fontId="17" fillId="6" borderId="8" xfId="0" applyFont="1" applyFill="1" applyBorder="1" applyAlignment="1">
      <alignment vertical="center"/>
    </xf>
    <xf numFmtId="0" fontId="17" fillId="6" borderId="9" xfId="0" applyFont="1" applyFill="1" applyBorder="1" applyAlignment="1">
      <alignment vertical="center"/>
    </xf>
    <xf numFmtId="0" fontId="17" fillId="6" borderId="10" xfId="0" applyFont="1" applyFill="1" applyBorder="1" applyAlignment="1">
      <alignment vertical="center"/>
    </xf>
    <xf numFmtId="0" fontId="17" fillId="6" borderId="11" xfId="0" applyFont="1" applyFill="1" applyBorder="1" applyAlignment="1">
      <alignment vertical="center"/>
    </xf>
    <xf numFmtId="0" fontId="17" fillId="6" borderId="0" xfId="0" applyFont="1" applyFill="1" applyAlignment="1">
      <alignment horizontal="left" vertical="center"/>
    </xf>
    <xf numFmtId="0" fontId="17" fillId="6" borderId="13" xfId="0" applyFont="1" applyFill="1" applyBorder="1" applyAlignment="1">
      <alignment vertical="center"/>
    </xf>
    <xf numFmtId="0" fontId="17" fillId="6" borderId="12" xfId="0" applyFont="1" applyFill="1" applyBorder="1" applyAlignment="1">
      <alignment vertical="center"/>
    </xf>
    <xf numFmtId="0" fontId="17" fillId="6" borderId="3" xfId="0" applyFont="1" applyFill="1" applyBorder="1" applyAlignment="1">
      <alignment vertical="center"/>
    </xf>
    <xf numFmtId="0" fontId="17" fillId="6" borderId="4" xfId="0" applyFont="1" applyFill="1" applyBorder="1" applyAlignment="1">
      <alignment vertical="center"/>
    </xf>
    <xf numFmtId="0" fontId="17" fillId="6" borderId="6" xfId="0" applyFont="1" applyFill="1" applyBorder="1" applyAlignment="1">
      <alignment vertical="center"/>
    </xf>
    <xf numFmtId="0" fontId="18" fillId="6" borderId="0" xfId="0" applyFont="1" applyFill="1" applyAlignment="1">
      <alignment vertical="center"/>
    </xf>
    <xf numFmtId="0" fontId="18" fillId="6" borderId="0" xfId="0" applyFont="1" applyFill="1" applyAlignment="1">
      <alignment horizontal="center"/>
    </xf>
    <xf numFmtId="0" fontId="17" fillId="6" borderId="5" xfId="0" applyFont="1" applyFill="1" applyBorder="1" applyAlignment="1">
      <alignment horizontal="center" vertical="distributed"/>
    </xf>
    <xf numFmtId="0" fontId="17" fillId="6" borderId="5" xfId="0" applyFont="1" applyFill="1" applyBorder="1" applyAlignment="1">
      <alignment horizontal="center" vertical="center" shrinkToFit="1"/>
    </xf>
    <xf numFmtId="0" fontId="17" fillId="6" borderId="5" xfId="0" applyFont="1" applyFill="1" applyBorder="1"/>
    <xf numFmtId="0" fontId="17" fillId="6" borderId="5" xfId="0" applyFont="1" applyFill="1" applyBorder="1" applyAlignment="1">
      <alignment horizontal="center"/>
    </xf>
    <xf numFmtId="0" fontId="17" fillId="6" borderId="16" xfId="0" applyFont="1" applyFill="1" applyBorder="1" applyAlignment="1">
      <alignment horizontal="center" vertical="center"/>
    </xf>
    <xf numFmtId="0" fontId="17" fillId="6" borderId="17" xfId="0" applyFont="1" applyFill="1" applyBorder="1" applyAlignment="1">
      <alignment horizontal="center" vertical="center"/>
    </xf>
    <xf numFmtId="1" fontId="17" fillId="6" borderId="3" xfId="0" applyNumberFormat="1" applyFont="1" applyFill="1" applyBorder="1" applyAlignment="1">
      <alignment horizontal="right" vertical="distributed"/>
    </xf>
    <xf numFmtId="1" fontId="17" fillId="6" borderId="6" xfId="0" applyNumberFormat="1" applyFont="1" applyFill="1" applyBorder="1" applyAlignment="1">
      <alignment horizontal="center" vertical="center"/>
    </xf>
    <xf numFmtId="2" fontId="17" fillId="6" borderId="5" xfId="0" applyNumberFormat="1" applyFont="1" applyFill="1" applyBorder="1" applyAlignment="1">
      <alignment horizontal="center" vertical="center"/>
    </xf>
    <xf numFmtId="0" fontId="17" fillId="6" borderId="21" xfId="0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2" fontId="17" fillId="6" borderId="22" xfId="0" applyNumberFormat="1" applyFont="1" applyFill="1" applyBorder="1" applyAlignment="1">
      <alignment horizontal="center" vertical="center"/>
    </xf>
    <xf numFmtId="2" fontId="17" fillId="6" borderId="21" xfId="0" applyNumberFormat="1" applyFont="1" applyFill="1" applyBorder="1" applyAlignment="1">
      <alignment horizontal="center" vertical="center"/>
    </xf>
    <xf numFmtId="1" fontId="17" fillId="6" borderId="13" xfId="0" applyNumberFormat="1" applyFont="1" applyFill="1" applyBorder="1" applyAlignment="1">
      <alignment horizontal="center" vertical="center"/>
    </xf>
    <xf numFmtId="2" fontId="17" fillId="6" borderId="0" xfId="0" applyNumberFormat="1" applyFont="1" applyFill="1" applyAlignment="1">
      <alignment horizontal="center" vertical="center"/>
    </xf>
    <xf numFmtId="49" fontId="17" fillId="6" borderId="0" xfId="0" applyNumberFormat="1" applyFont="1" applyFill="1" applyAlignment="1">
      <alignment horizontal="center" vertical="center"/>
    </xf>
    <xf numFmtId="2" fontId="17" fillId="6" borderId="0" xfId="0" applyNumberFormat="1" applyFont="1" applyFill="1"/>
    <xf numFmtId="2" fontId="19" fillId="6" borderId="0" xfId="0" applyNumberFormat="1" applyFont="1" applyFill="1"/>
    <xf numFmtId="0" fontId="17" fillId="6" borderId="3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left"/>
    </xf>
    <xf numFmtId="2" fontId="17" fillId="6" borderId="0" xfId="0" applyNumberFormat="1" applyFont="1" applyFill="1" applyAlignment="1">
      <alignment horizontal="center"/>
    </xf>
    <xf numFmtId="0" fontId="17" fillId="6" borderId="18" xfId="0" applyFont="1" applyFill="1" applyBorder="1" applyAlignment="1">
      <alignment horizontal="center" vertical="center"/>
    </xf>
    <xf numFmtId="0" fontId="17" fillId="6" borderId="19" xfId="0" applyFont="1" applyFill="1" applyBorder="1" applyAlignment="1">
      <alignment horizontal="center" vertical="center"/>
    </xf>
    <xf numFmtId="0" fontId="17" fillId="6" borderId="20" xfId="0" applyFont="1" applyFill="1" applyBorder="1" applyAlignment="1">
      <alignment horizontal="center" vertical="center"/>
    </xf>
    <xf numFmtId="49" fontId="17" fillId="6" borderId="22" xfId="0" applyNumberFormat="1" applyFont="1" applyFill="1" applyBorder="1" applyAlignment="1">
      <alignment horizontal="center" vertical="center"/>
    </xf>
    <xf numFmtId="49" fontId="17" fillId="6" borderId="19" xfId="0" applyNumberFormat="1" applyFont="1" applyFill="1" applyBorder="1" applyAlignment="1">
      <alignment horizontal="center" vertical="center"/>
    </xf>
    <xf numFmtId="49" fontId="17" fillId="6" borderId="23" xfId="0" applyNumberFormat="1" applyFont="1" applyFill="1" applyBorder="1" applyAlignment="1">
      <alignment horizontal="center" vertical="center"/>
    </xf>
    <xf numFmtId="0" fontId="17" fillId="6" borderId="16" xfId="0" applyFont="1" applyFill="1" applyBorder="1" applyAlignment="1">
      <alignment horizontal="center" vertical="center" textRotation="90" wrapText="1"/>
    </xf>
    <xf numFmtId="0" fontId="17" fillId="6" borderId="22" xfId="0" applyFont="1" applyFill="1" applyBorder="1" applyAlignment="1">
      <alignment horizontal="center" vertical="center"/>
    </xf>
    <xf numFmtId="0" fontId="17" fillId="6" borderId="23" xfId="0" applyFont="1" applyFill="1" applyBorder="1" applyAlignment="1">
      <alignment horizontal="center" vertical="center"/>
    </xf>
    <xf numFmtId="181" fontId="17" fillId="6" borderId="0" xfId="0" applyNumberFormat="1" applyFont="1" applyFill="1" applyAlignment="1">
      <alignment horizontal="left"/>
    </xf>
    <xf numFmtId="0" fontId="17" fillId="6" borderId="7" xfId="0" applyFont="1" applyFill="1" applyBorder="1" applyAlignment="1">
      <alignment horizontal="center" vertical="center" wrapText="1"/>
    </xf>
    <xf numFmtId="0" fontId="17" fillId="6" borderId="8" xfId="0" applyFont="1" applyFill="1" applyBorder="1" applyAlignment="1">
      <alignment horizontal="center" vertical="center" wrapText="1"/>
    </xf>
    <xf numFmtId="0" fontId="17" fillId="6" borderId="9" xfId="0" applyFont="1" applyFill="1" applyBorder="1" applyAlignment="1">
      <alignment horizontal="center" vertical="center" wrapText="1"/>
    </xf>
    <xf numFmtId="0" fontId="17" fillId="6" borderId="10" xfId="0" applyFont="1" applyFill="1" applyBorder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0" fontId="17" fillId="6" borderId="11" xfId="0" applyFont="1" applyFill="1" applyBorder="1" applyAlignment="1">
      <alignment horizontal="center" vertical="center" wrapText="1"/>
    </xf>
    <xf numFmtId="0" fontId="17" fillId="6" borderId="14" xfId="0" applyFont="1" applyFill="1" applyBorder="1" applyAlignment="1">
      <alignment horizontal="center" vertical="center" wrapText="1"/>
    </xf>
    <xf numFmtId="0" fontId="17" fillId="6" borderId="12" xfId="0" applyFont="1" applyFill="1" applyBorder="1" applyAlignment="1">
      <alignment horizontal="center" vertical="center" wrapText="1"/>
    </xf>
    <xf numFmtId="0" fontId="17" fillId="6" borderId="13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left" vertical="center"/>
    </xf>
    <xf numFmtId="0" fontId="17" fillId="6" borderId="3" xfId="0" quotePrefix="1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 textRotation="90"/>
    </xf>
    <xf numFmtId="0" fontId="17" fillId="6" borderId="8" xfId="0" applyFont="1" applyFill="1" applyBorder="1" applyAlignment="1">
      <alignment horizontal="center" vertical="center" textRotation="90"/>
    </xf>
    <xf numFmtId="0" fontId="17" fillId="6" borderId="9" xfId="0" applyFont="1" applyFill="1" applyBorder="1" applyAlignment="1">
      <alignment horizontal="center" vertical="center" textRotation="90"/>
    </xf>
    <xf numFmtId="0" fontId="17" fillId="6" borderId="14" xfId="0" applyFont="1" applyFill="1" applyBorder="1" applyAlignment="1">
      <alignment horizontal="center" vertical="center" textRotation="90"/>
    </xf>
    <xf numFmtId="0" fontId="17" fillId="6" borderId="12" xfId="0" applyFont="1" applyFill="1" applyBorder="1" applyAlignment="1">
      <alignment horizontal="center" vertical="center" textRotation="90"/>
    </xf>
    <xf numFmtId="0" fontId="17" fillId="6" borderId="13" xfId="0" applyFont="1" applyFill="1" applyBorder="1" applyAlignment="1">
      <alignment horizontal="center" vertical="center" textRotation="90"/>
    </xf>
    <xf numFmtId="0" fontId="17" fillId="6" borderId="14" xfId="0" applyFont="1" applyFill="1" applyBorder="1" applyAlignment="1">
      <alignment horizontal="center" vertical="center"/>
    </xf>
    <xf numFmtId="0" fontId="17" fillId="6" borderId="13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distributed"/>
    </xf>
    <xf numFmtId="0" fontId="17" fillId="6" borderId="8" xfId="0" applyFont="1" applyFill="1" applyBorder="1" applyAlignment="1">
      <alignment horizontal="center" vertical="distributed"/>
    </xf>
    <xf numFmtId="0" fontId="17" fillId="6" borderId="9" xfId="0" applyFont="1" applyFill="1" applyBorder="1" applyAlignment="1">
      <alignment horizontal="center" vertical="distributed"/>
    </xf>
    <xf numFmtId="0" fontId="17" fillId="6" borderId="10" xfId="0" applyFont="1" applyFill="1" applyBorder="1" applyAlignment="1">
      <alignment horizontal="center" vertical="distributed"/>
    </xf>
    <xf numFmtId="0" fontId="17" fillId="6" borderId="0" xfId="0" applyFont="1" applyFill="1" applyAlignment="1">
      <alignment horizontal="center" vertical="distributed"/>
    </xf>
    <xf numFmtId="0" fontId="17" fillId="6" borderId="11" xfId="0" applyFont="1" applyFill="1" applyBorder="1" applyAlignment="1">
      <alignment horizontal="center" vertical="distributed"/>
    </xf>
    <xf numFmtId="0" fontId="17" fillId="6" borderId="14" xfId="0" applyFont="1" applyFill="1" applyBorder="1" applyAlignment="1">
      <alignment horizontal="center" vertical="distributed"/>
    </xf>
    <xf numFmtId="0" fontId="17" fillId="6" borderId="12" xfId="0" applyFont="1" applyFill="1" applyBorder="1" applyAlignment="1">
      <alignment horizontal="center" vertical="distributed"/>
    </xf>
    <xf numFmtId="0" fontId="17" fillId="6" borderId="13" xfId="0" applyFont="1" applyFill="1" applyBorder="1" applyAlignment="1">
      <alignment horizontal="center" vertical="distributed"/>
    </xf>
    <xf numFmtId="0" fontId="17" fillId="6" borderId="7" xfId="0" applyFont="1" applyFill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0" fontId="17" fillId="6" borderId="9" xfId="0" applyFont="1" applyFill="1" applyBorder="1" applyAlignment="1">
      <alignment horizontal="center" vertical="center"/>
    </xf>
    <xf numFmtId="0" fontId="17" fillId="6" borderId="12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left" vertical="center" wrapText="1"/>
    </xf>
    <xf numFmtId="0" fontId="17" fillId="6" borderId="4" xfId="0" applyFont="1" applyFill="1" applyBorder="1" applyAlignment="1">
      <alignment horizontal="left" vertical="center"/>
    </xf>
    <xf numFmtId="0" fontId="17" fillId="6" borderId="6" xfId="0" applyFont="1" applyFill="1" applyBorder="1" applyAlignment="1">
      <alignment horizontal="left" vertical="center"/>
    </xf>
    <xf numFmtId="0" fontId="17" fillId="6" borderId="5" xfId="0" applyFont="1" applyFill="1" applyBorder="1" applyAlignment="1">
      <alignment horizontal="center" vertical="center" wrapText="1"/>
    </xf>
    <xf numFmtId="0" fontId="17" fillId="6" borderId="15" xfId="0" applyFont="1" applyFill="1" applyBorder="1" applyAlignment="1">
      <alignment horizontal="center" vertical="center"/>
    </xf>
    <xf numFmtId="0" fontId="17" fillId="6" borderId="16" xfId="0" applyFont="1" applyFill="1" applyBorder="1" applyAlignment="1">
      <alignment horizontal="center" vertical="center"/>
    </xf>
    <xf numFmtId="0" fontId="17" fillId="6" borderId="17" xfId="0" applyFont="1" applyFill="1" applyBorder="1" applyAlignment="1">
      <alignment horizontal="center" vertical="center"/>
    </xf>
    <xf numFmtId="1" fontId="17" fillId="6" borderId="5" xfId="0" applyNumberFormat="1" applyFont="1" applyFill="1" applyBorder="1" applyAlignment="1">
      <alignment horizontal="center" vertical="center"/>
    </xf>
    <xf numFmtId="14" fontId="17" fillId="6" borderId="5" xfId="0" applyNumberFormat="1" applyFont="1" applyFill="1" applyBorder="1" applyAlignment="1">
      <alignment horizontal="center" vertical="center"/>
    </xf>
    <xf numFmtId="0" fontId="17" fillId="6" borderId="10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7" fillId="6" borderId="11" xfId="0" applyFont="1" applyFill="1" applyBorder="1" applyAlignment="1">
      <alignment horizontal="center" vertical="center"/>
    </xf>
    <xf numFmtId="0" fontId="17" fillId="6" borderId="15" xfId="0" applyFont="1" applyFill="1" applyBorder="1" applyAlignment="1">
      <alignment horizontal="center" vertical="center" wrapText="1"/>
    </xf>
    <xf numFmtId="0" fontId="17" fillId="6" borderId="16" xfId="0" applyFont="1" applyFill="1" applyBorder="1" applyAlignment="1">
      <alignment horizontal="center" vertical="center" wrapText="1"/>
    </xf>
    <xf numFmtId="0" fontId="17" fillId="6" borderId="17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17" fillId="7" borderId="6" xfId="0" applyFont="1" applyFill="1" applyBorder="1" applyAlignment="1">
      <alignment horizontal="center" vertical="center"/>
    </xf>
    <xf numFmtId="0" fontId="17" fillId="6" borderId="25" xfId="0" applyFont="1" applyFill="1" applyBorder="1" applyAlignment="1">
      <alignment horizontal="center" vertical="center"/>
    </xf>
    <xf numFmtId="0" fontId="17" fillId="6" borderId="15" xfId="0" applyFont="1" applyFill="1" applyBorder="1" applyAlignment="1">
      <alignment horizontal="center" vertical="center" textRotation="90" wrapText="1"/>
    </xf>
    <xf numFmtId="0" fontId="17" fillId="6" borderId="24" xfId="0" applyFont="1" applyFill="1" applyBorder="1" applyAlignment="1">
      <alignment horizontal="center" vertical="center" textRotation="90" wrapText="1"/>
    </xf>
    <xf numFmtId="0" fontId="17" fillId="6" borderId="26" xfId="0" applyFont="1" applyFill="1" applyBorder="1" applyAlignment="1">
      <alignment horizontal="center" vertical="center" textRotation="90" wrapText="1"/>
    </xf>
    <xf numFmtId="0" fontId="17" fillId="6" borderId="26" xfId="0" applyFont="1" applyFill="1" applyBorder="1" applyAlignment="1">
      <alignment horizontal="center" vertical="center" textRotation="90"/>
    </xf>
    <xf numFmtId="0" fontId="17" fillId="6" borderId="16" xfId="0" applyFont="1" applyFill="1" applyBorder="1" applyAlignment="1">
      <alignment horizontal="center" vertical="center" textRotation="90"/>
    </xf>
    <xf numFmtId="0" fontId="17" fillId="6" borderId="24" xfId="0" applyFont="1" applyFill="1" applyBorder="1" applyAlignment="1">
      <alignment horizontal="center" vertical="center" textRotation="90"/>
    </xf>
  </cellXfs>
  <cellStyles count="31">
    <cellStyle name="args.style" xfId="1" xr:uid="{00000000-0005-0000-0000-000000000000}"/>
    <cellStyle name="Calc Currency (0)" xfId="2" xr:uid="{00000000-0005-0000-0000-000001000000}"/>
    <cellStyle name="Copied" xfId="3" xr:uid="{00000000-0005-0000-0000-000002000000}"/>
    <cellStyle name="COST1" xfId="4" xr:uid="{00000000-0005-0000-0000-000003000000}"/>
    <cellStyle name="Entered" xfId="5" xr:uid="{00000000-0005-0000-0000-000004000000}"/>
    <cellStyle name="Grey" xfId="6" xr:uid="{00000000-0005-0000-0000-000005000000}"/>
    <cellStyle name="Header1" xfId="7" xr:uid="{00000000-0005-0000-0000-000006000000}"/>
    <cellStyle name="Header2" xfId="8" xr:uid="{00000000-0005-0000-0000-000007000000}"/>
    <cellStyle name="Hyperlink seguido" xfId="9" xr:uid="{00000000-0005-0000-0000-000008000000}"/>
    <cellStyle name="Input [yellow]" xfId="10" xr:uid="{00000000-0005-0000-0000-000009000000}"/>
    <cellStyle name="Input Cells" xfId="11" xr:uid="{00000000-0005-0000-0000-00000A000000}"/>
    <cellStyle name="Linked Cells" xfId="12" xr:uid="{00000000-0005-0000-0000-00000B000000}"/>
    <cellStyle name="Milliers [0]_!!!GO" xfId="13" xr:uid="{00000000-0005-0000-0000-00000C000000}"/>
    <cellStyle name="Milliers_!!!GO" xfId="14" xr:uid="{00000000-0005-0000-0000-00000D000000}"/>
    <cellStyle name="Moeda [0]_aola" xfId="15" xr:uid="{00000000-0005-0000-0000-00000E000000}"/>
    <cellStyle name="Moeda_aola" xfId="16" xr:uid="{00000000-0005-0000-0000-00000F000000}"/>
    <cellStyle name="Monétaire [0]_!!!GO" xfId="17" xr:uid="{00000000-0005-0000-0000-000010000000}"/>
    <cellStyle name="Monétaire_!!!GO" xfId="18" xr:uid="{00000000-0005-0000-0000-000011000000}"/>
    <cellStyle name="Normal" xfId="0" builtinId="0"/>
    <cellStyle name="Normal - Style1" xfId="19" xr:uid="{00000000-0005-0000-0000-000013000000}"/>
    <cellStyle name="Œ…‹æØ‚è [0.00]_Region Orders (2)" xfId="20" xr:uid="{00000000-0005-0000-0000-000014000000}"/>
    <cellStyle name="Œ…‹æØ‚è_Region Orders (2)" xfId="21" xr:uid="{00000000-0005-0000-0000-000015000000}"/>
    <cellStyle name="per.style" xfId="22" xr:uid="{00000000-0005-0000-0000-000016000000}"/>
    <cellStyle name="Percent" xfId="30" builtinId="5"/>
    <cellStyle name="Percent [2]" xfId="23" xr:uid="{00000000-0005-0000-0000-000018000000}"/>
    <cellStyle name="pricing" xfId="24" xr:uid="{00000000-0005-0000-0000-000019000000}"/>
    <cellStyle name="PSChar" xfId="25" xr:uid="{00000000-0005-0000-0000-00001A000000}"/>
    <cellStyle name="RevList" xfId="26" xr:uid="{00000000-0005-0000-0000-00001B000000}"/>
    <cellStyle name="Separador de milhares [0]_Person" xfId="27" xr:uid="{00000000-0005-0000-0000-00001C000000}"/>
    <cellStyle name="Separador de milhares_Person" xfId="28" xr:uid="{00000000-0005-0000-0000-00001D000000}"/>
    <cellStyle name="Subtotal" xfId="29" xr:uid="{00000000-0005-0000-0000-00001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80"/>
  <sheetViews>
    <sheetView showGridLines="0" tabSelected="1" showWhiteSpace="0" view="pageBreakPreview" topLeftCell="A31" zoomScale="40" zoomScaleNormal="40" zoomScaleSheetLayoutView="40" zoomScalePageLayoutView="85" workbookViewId="0">
      <selection activeCell="I15" sqref="I15:L15"/>
    </sheetView>
  </sheetViews>
  <sheetFormatPr defaultColWidth="9.140625" defaultRowHeight="14.25" customHeight="1" x14ac:dyDescent="0.5"/>
  <cols>
    <col min="1" max="1" width="15.5703125" style="1" customWidth="1"/>
    <col min="2" max="2" width="8.85546875" style="1" customWidth="1"/>
    <col min="3" max="3" width="15.28515625" style="1" customWidth="1"/>
    <col min="4" max="4" width="17" style="1" customWidth="1"/>
    <col min="5" max="5" width="17.85546875" style="1" customWidth="1"/>
    <col min="6" max="8" width="18.85546875" style="1" customWidth="1"/>
    <col min="9" max="9" width="26.140625" style="2" customWidth="1"/>
    <col min="10" max="10" width="20.7109375" style="1" customWidth="1"/>
    <col min="11" max="11" width="23" style="1" bestFit="1" customWidth="1"/>
    <col min="12" max="12" width="20" style="1" customWidth="1"/>
    <col min="13" max="13" width="26.140625" style="1" customWidth="1"/>
    <col min="14" max="14" width="21.28515625" style="1" bestFit="1" customWidth="1"/>
    <col min="15" max="15" width="21" style="1" customWidth="1"/>
    <col min="16" max="16" width="23.85546875" style="1" customWidth="1"/>
    <col min="17" max="17" width="30.85546875" style="1" customWidth="1"/>
    <col min="18" max="18" width="31.7109375" style="1" customWidth="1"/>
    <col min="19" max="19" width="32" style="1" customWidth="1"/>
    <col min="20" max="20" width="18.85546875" style="1" customWidth="1"/>
    <col min="21" max="21" width="26.140625" style="1" customWidth="1"/>
    <col min="22" max="22" width="20.7109375" style="1" customWidth="1"/>
    <col min="23" max="23" width="21.42578125" style="1" customWidth="1"/>
    <col min="24" max="24" width="18.85546875" style="1" customWidth="1"/>
    <col min="25" max="25" width="26.140625" style="1" customWidth="1"/>
    <col min="26" max="27" width="20.7109375" style="1" customWidth="1"/>
    <col min="28" max="28" width="18.85546875" style="1" customWidth="1"/>
    <col min="29" max="29" width="26.140625" style="1" customWidth="1"/>
    <col min="30" max="30" width="20.7109375" style="1" customWidth="1"/>
    <col min="31" max="31" width="21" style="1" customWidth="1"/>
    <col min="32" max="32" width="18.85546875" style="1" customWidth="1"/>
    <col min="33" max="33" width="26.140625" style="1" customWidth="1"/>
    <col min="34" max="36" width="18.85546875" style="1" customWidth="1"/>
    <col min="37" max="37" width="26.140625" style="1" customWidth="1"/>
    <col min="38" max="40" width="18.85546875" style="1" customWidth="1"/>
    <col min="41" max="41" width="24.7109375" style="1" customWidth="1"/>
    <col min="42" max="43" width="21.7109375" style="1" customWidth="1"/>
    <col min="44" max="44" width="18.85546875" style="1" customWidth="1"/>
    <col min="45" max="45" width="26.140625" style="1" customWidth="1"/>
    <col min="46" max="46" width="20" style="1" customWidth="1"/>
    <col min="47" max="47" width="17.85546875" style="1" customWidth="1"/>
    <col min="48" max="48" width="15.42578125" style="1" customWidth="1"/>
    <col min="49" max="49" width="19.42578125" style="1" customWidth="1"/>
    <col min="50" max="50" width="14.140625" style="1" customWidth="1"/>
    <col min="51" max="51" width="16.85546875" style="1" customWidth="1"/>
    <col min="52" max="52" width="17.7109375" style="1" customWidth="1"/>
    <col min="53" max="53" width="24.85546875" style="1" bestFit="1" customWidth="1"/>
    <col min="54" max="16384" width="9.140625" style="1"/>
  </cols>
  <sheetData>
    <row r="1" spans="1:48" ht="60.75" customHeight="1" x14ac:dyDescent="0.7">
      <c r="A1" s="28" t="s">
        <v>4</v>
      </c>
      <c r="B1" s="28"/>
      <c r="C1" s="28"/>
      <c r="D1" s="29"/>
      <c r="E1" s="29"/>
      <c r="F1" s="29"/>
      <c r="G1" s="29"/>
      <c r="H1" s="29"/>
      <c r="I1" s="30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 t="s">
        <v>32</v>
      </c>
      <c r="AC1" s="29"/>
      <c r="AD1" s="29"/>
      <c r="AE1" s="29" t="s">
        <v>34</v>
      </c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</row>
    <row r="2" spans="1:48" ht="60.75" customHeight="1" x14ac:dyDescent="0.7">
      <c r="A2" s="29" t="s">
        <v>68</v>
      </c>
      <c r="B2" s="29"/>
      <c r="C2" s="29"/>
      <c r="D2" s="29"/>
      <c r="E2" s="29"/>
      <c r="F2" s="29"/>
      <c r="G2" s="29"/>
      <c r="H2" s="29"/>
      <c r="I2" s="30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30"/>
      <c r="Z2" s="30"/>
      <c r="AA2" s="29"/>
      <c r="AB2" s="29" t="s">
        <v>33</v>
      </c>
      <c r="AC2" s="29"/>
      <c r="AD2" s="29"/>
      <c r="AE2" s="29" t="s">
        <v>35</v>
      </c>
      <c r="AF2" s="29"/>
      <c r="AG2" s="30"/>
      <c r="AH2" s="30"/>
      <c r="AI2" s="30"/>
      <c r="AJ2" s="30"/>
      <c r="AK2" s="30"/>
      <c r="AL2" s="29"/>
      <c r="AM2" s="29"/>
      <c r="AN2" s="29"/>
      <c r="AO2" s="30"/>
      <c r="AP2" s="29"/>
      <c r="AQ2" s="29"/>
      <c r="AR2" s="29"/>
      <c r="AS2" s="30"/>
      <c r="AT2" s="30"/>
      <c r="AU2" s="2"/>
      <c r="AV2" s="2"/>
    </row>
    <row r="3" spans="1:48" ht="60.75" customHeight="1" x14ac:dyDescent="0.7">
      <c r="A3" s="29" t="s">
        <v>65</v>
      </c>
      <c r="B3" s="29"/>
      <c r="C3" s="29"/>
      <c r="D3" s="29"/>
      <c r="E3" s="29"/>
      <c r="F3" s="29"/>
      <c r="G3" s="29"/>
      <c r="H3" s="29"/>
      <c r="I3" s="30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30"/>
      <c r="Z3" s="30"/>
      <c r="AA3" s="29"/>
      <c r="AB3" s="29" t="s">
        <v>69</v>
      </c>
      <c r="AC3" s="29"/>
      <c r="AD3" s="29"/>
      <c r="AE3" s="77">
        <v>45663</v>
      </c>
      <c r="AF3" s="77"/>
      <c r="AG3" s="77"/>
      <c r="AH3" s="30"/>
      <c r="AI3" s="30"/>
      <c r="AJ3" s="30"/>
      <c r="AK3" s="30"/>
      <c r="AL3" s="29"/>
      <c r="AM3" s="29"/>
      <c r="AN3" s="29"/>
      <c r="AO3" s="30"/>
      <c r="AP3" s="29"/>
      <c r="AQ3" s="29"/>
      <c r="AR3" s="29"/>
      <c r="AS3" s="30"/>
      <c r="AT3" s="30"/>
      <c r="AU3" s="2"/>
      <c r="AV3" s="2"/>
    </row>
    <row r="4" spans="1:48" ht="60.75" customHeight="1" x14ac:dyDescent="0.7">
      <c r="A4" s="29" t="s">
        <v>5</v>
      </c>
      <c r="B4" s="29"/>
      <c r="C4" s="29"/>
      <c r="D4" s="29"/>
      <c r="E4" s="29"/>
      <c r="F4" s="29"/>
      <c r="G4" s="29"/>
      <c r="H4" s="29"/>
      <c r="I4" s="30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30"/>
      <c r="Z4" s="30"/>
      <c r="AA4" s="29"/>
      <c r="AB4" s="29"/>
      <c r="AC4" s="29"/>
      <c r="AD4" s="29"/>
      <c r="AE4" s="29"/>
      <c r="AF4" s="29"/>
      <c r="AG4" s="30"/>
      <c r="AH4" s="30"/>
      <c r="AI4" s="30"/>
      <c r="AJ4" s="30"/>
      <c r="AK4" s="30"/>
      <c r="AL4" s="29"/>
      <c r="AM4" s="29"/>
      <c r="AN4" s="29"/>
      <c r="AO4" s="30"/>
      <c r="AP4" s="29"/>
      <c r="AQ4" s="29"/>
      <c r="AR4" s="29"/>
      <c r="AS4" s="30"/>
      <c r="AT4" s="30"/>
      <c r="AU4" s="2"/>
      <c r="AV4" s="2"/>
    </row>
    <row r="5" spans="1:48" ht="60.75" customHeight="1" x14ac:dyDescent="0.7">
      <c r="A5" s="28" t="s">
        <v>6</v>
      </c>
      <c r="B5" s="28"/>
      <c r="C5" s="28"/>
      <c r="D5" s="29"/>
      <c r="E5" s="29"/>
      <c r="F5" s="29"/>
      <c r="G5" s="29"/>
      <c r="H5" s="29"/>
      <c r="I5" s="30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30"/>
      <c r="Z5" s="30"/>
      <c r="AA5" s="29"/>
      <c r="AB5" s="29"/>
      <c r="AC5" s="29"/>
      <c r="AD5" s="29"/>
      <c r="AE5" s="29"/>
      <c r="AF5" s="29"/>
      <c r="AG5" s="30"/>
      <c r="AH5" s="30"/>
      <c r="AI5" s="30"/>
      <c r="AJ5" s="30"/>
      <c r="AK5" s="30"/>
      <c r="AL5" s="29"/>
      <c r="AM5" s="29"/>
      <c r="AN5" s="29"/>
      <c r="AO5" s="30"/>
      <c r="AP5" s="29"/>
      <c r="AQ5" s="29"/>
      <c r="AR5" s="29"/>
      <c r="AS5" s="30"/>
      <c r="AT5" s="30"/>
      <c r="AU5" s="2"/>
      <c r="AV5" s="2"/>
    </row>
    <row r="6" spans="1:48" ht="60.75" customHeight="1" x14ac:dyDescent="0.7">
      <c r="A6" s="29" t="s">
        <v>7</v>
      </c>
      <c r="B6" s="29"/>
      <c r="C6" s="29"/>
      <c r="D6" s="29"/>
      <c r="E6" s="29"/>
      <c r="F6" s="29"/>
      <c r="G6" s="29"/>
      <c r="H6" s="29"/>
      <c r="I6" s="30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30"/>
      <c r="Z6" s="30"/>
      <c r="AA6" s="29"/>
      <c r="AB6" s="29"/>
      <c r="AC6" s="29"/>
      <c r="AD6" s="29"/>
      <c r="AE6" s="29"/>
      <c r="AF6" s="29"/>
      <c r="AG6" s="30"/>
      <c r="AH6" s="30"/>
      <c r="AI6" s="30"/>
      <c r="AJ6" s="30"/>
      <c r="AK6" s="30"/>
      <c r="AL6" s="29"/>
      <c r="AM6" s="29"/>
      <c r="AN6" s="29"/>
      <c r="AO6" s="30"/>
      <c r="AP6" s="29"/>
      <c r="AQ6" s="29"/>
      <c r="AR6" s="29"/>
      <c r="AS6" s="30"/>
      <c r="AT6" s="30"/>
      <c r="AU6" s="2"/>
      <c r="AV6" s="2"/>
    </row>
    <row r="7" spans="1:48" ht="60.75" customHeight="1" x14ac:dyDescent="0.7">
      <c r="A7" s="29" t="s">
        <v>42</v>
      </c>
      <c r="B7" s="29"/>
      <c r="C7" s="29"/>
      <c r="D7" s="29"/>
      <c r="E7" s="29"/>
      <c r="F7" s="29"/>
      <c r="G7" s="29"/>
      <c r="H7" s="29"/>
      <c r="I7" s="30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</row>
    <row r="8" spans="1:48" ht="60.75" customHeight="1" x14ac:dyDescent="0.7">
      <c r="A8" s="29" t="s">
        <v>0</v>
      </c>
      <c r="B8" s="29"/>
      <c r="C8" s="29"/>
      <c r="D8" s="29"/>
      <c r="E8" s="29"/>
      <c r="F8" s="29"/>
      <c r="G8" s="29"/>
      <c r="H8" s="29"/>
      <c r="I8" s="30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</row>
    <row r="9" spans="1:48" ht="60.75" customHeight="1" x14ac:dyDescent="0.7">
      <c r="A9" s="29" t="s">
        <v>1</v>
      </c>
      <c r="B9" s="29"/>
      <c r="C9" s="29"/>
      <c r="D9" s="29"/>
      <c r="E9" s="29"/>
      <c r="F9" s="29"/>
      <c r="G9" s="29"/>
      <c r="H9" s="29"/>
      <c r="I9" s="30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</row>
    <row r="10" spans="1:48" ht="60.75" customHeight="1" x14ac:dyDescent="0.7">
      <c r="A10" s="28" t="s">
        <v>2</v>
      </c>
      <c r="B10" s="28"/>
      <c r="C10" s="28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</row>
    <row r="11" spans="1:48" s="3" customFormat="1" ht="72.75" customHeight="1" x14ac:dyDescent="0.2">
      <c r="A11" s="87" t="s">
        <v>8</v>
      </c>
      <c r="B11" s="87"/>
      <c r="C11" s="87"/>
      <c r="D11" s="87"/>
      <c r="E11" s="87"/>
      <c r="F11" s="87"/>
      <c r="G11" s="87"/>
      <c r="H11" s="87"/>
      <c r="I11" s="88">
        <v>4810116911</v>
      </c>
      <c r="J11" s="64"/>
      <c r="K11" s="64"/>
      <c r="L11" s="65"/>
      <c r="M11" s="31"/>
      <c r="N11" s="31"/>
      <c r="O11" s="31"/>
      <c r="P11" s="31"/>
      <c r="Q11" s="31"/>
      <c r="R11" s="31"/>
      <c r="S11" s="31"/>
      <c r="T11" s="31"/>
      <c r="U11" s="31"/>
      <c r="V11" s="32" t="s">
        <v>9</v>
      </c>
      <c r="W11" s="33"/>
      <c r="X11" s="9"/>
      <c r="Y11" s="34"/>
      <c r="Z11" s="33"/>
      <c r="AA11" s="33"/>
      <c r="AB11" s="33"/>
      <c r="AC11" s="33"/>
      <c r="AD11" s="33"/>
      <c r="AE11" s="34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8" s="3" customFormat="1" ht="72.75" customHeight="1" x14ac:dyDescent="0.2">
      <c r="A12" s="87" t="s">
        <v>10</v>
      </c>
      <c r="B12" s="87"/>
      <c r="C12" s="87"/>
      <c r="D12" s="87"/>
      <c r="E12" s="87"/>
      <c r="F12" s="87"/>
      <c r="G12" s="87"/>
      <c r="H12" s="87"/>
      <c r="I12" s="63">
        <v>2184662</v>
      </c>
      <c r="J12" s="64"/>
      <c r="K12" s="64"/>
      <c r="L12" s="65"/>
      <c r="M12" s="31"/>
      <c r="N12" s="31"/>
      <c r="O12" s="31"/>
      <c r="P12" s="31"/>
      <c r="Q12" s="31"/>
      <c r="R12" s="31"/>
      <c r="S12" s="31"/>
      <c r="T12" s="31"/>
      <c r="U12" s="31"/>
      <c r="V12" s="35" t="s">
        <v>11</v>
      </c>
      <c r="W12" s="31"/>
      <c r="X12" s="17"/>
      <c r="Y12" s="36"/>
      <c r="Z12" s="33" t="s">
        <v>12</v>
      </c>
      <c r="AA12" s="9"/>
      <c r="AB12" s="9"/>
      <c r="AC12" s="9"/>
      <c r="AD12" s="9"/>
      <c r="AE12" s="10"/>
      <c r="AF12" s="31"/>
      <c r="AG12" s="31"/>
      <c r="AH12" s="31"/>
      <c r="AI12" s="31"/>
      <c r="AJ12" s="31"/>
      <c r="AK12" s="31"/>
      <c r="AL12" s="17"/>
      <c r="AM12" s="31"/>
      <c r="AN12" s="31"/>
      <c r="AO12" s="31"/>
      <c r="AP12" s="17"/>
      <c r="AQ12" s="31"/>
      <c r="AR12" s="31"/>
      <c r="AS12" s="31"/>
      <c r="AT12" s="31"/>
    </row>
    <row r="13" spans="1:48" s="3" customFormat="1" ht="72.75" customHeight="1" x14ac:dyDescent="0.2">
      <c r="A13" s="87" t="s">
        <v>63</v>
      </c>
      <c r="B13" s="87"/>
      <c r="C13" s="87"/>
      <c r="D13" s="87"/>
      <c r="E13" s="87"/>
      <c r="F13" s="87"/>
      <c r="G13" s="87"/>
      <c r="H13" s="87"/>
      <c r="I13" s="63" t="s">
        <v>87</v>
      </c>
      <c r="J13" s="64"/>
      <c r="K13" s="64"/>
      <c r="L13" s="65"/>
      <c r="M13" s="31"/>
      <c r="N13" s="31"/>
      <c r="O13" s="31"/>
      <c r="P13" s="31"/>
      <c r="Q13" s="31"/>
      <c r="R13" s="31"/>
      <c r="S13" s="31"/>
      <c r="T13" s="31"/>
      <c r="U13" s="31"/>
      <c r="V13" s="35"/>
      <c r="W13" s="31"/>
      <c r="X13" s="17"/>
      <c r="Y13" s="36"/>
      <c r="Z13" s="31"/>
      <c r="AA13" s="17"/>
      <c r="AB13" s="17"/>
      <c r="AC13" s="17"/>
      <c r="AD13" s="17"/>
      <c r="AE13" s="18"/>
      <c r="AF13" s="31"/>
      <c r="AG13" s="31"/>
      <c r="AH13" s="31"/>
      <c r="AI13" s="31"/>
      <c r="AJ13" s="31"/>
      <c r="AK13" s="31"/>
      <c r="AL13" s="17"/>
      <c r="AM13" s="31"/>
      <c r="AN13" s="31"/>
      <c r="AO13" s="31"/>
      <c r="AP13" s="17"/>
      <c r="AQ13" s="31"/>
      <c r="AR13" s="31"/>
      <c r="AS13" s="31"/>
      <c r="AT13" s="31"/>
    </row>
    <row r="14" spans="1:48" s="3" customFormat="1" ht="72.75" customHeight="1" x14ac:dyDescent="0.2">
      <c r="A14" s="87" t="s">
        <v>52</v>
      </c>
      <c r="B14" s="87"/>
      <c r="C14" s="87"/>
      <c r="D14" s="87"/>
      <c r="E14" s="87"/>
      <c r="F14" s="87"/>
      <c r="G14" s="87"/>
      <c r="H14" s="87"/>
      <c r="I14" s="121">
        <v>9578</v>
      </c>
      <c r="J14" s="97"/>
      <c r="K14" s="97"/>
      <c r="L14" s="97"/>
      <c r="M14" s="31"/>
      <c r="N14" s="31"/>
      <c r="O14" s="31"/>
      <c r="P14" s="31"/>
      <c r="Q14" s="31"/>
      <c r="R14" s="31"/>
      <c r="S14" s="31"/>
      <c r="T14" s="31"/>
      <c r="U14" s="31"/>
      <c r="V14" s="16"/>
      <c r="W14" s="17"/>
      <c r="X14" s="17"/>
      <c r="Y14" s="36"/>
      <c r="Z14" s="31" t="s">
        <v>13</v>
      </c>
      <c r="AA14" s="17"/>
      <c r="AB14" s="17"/>
      <c r="AC14" s="17"/>
      <c r="AD14" s="17"/>
      <c r="AE14" s="18"/>
      <c r="AF14" s="31"/>
      <c r="AG14" s="31"/>
      <c r="AH14" s="31"/>
      <c r="AI14" s="31"/>
      <c r="AJ14" s="31"/>
      <c r="AK14" s="31"/>
      <c r="AL14" s="17"/>
      <c r="AM14" s="31"/>
      <c r="AN14" s="31"/>
      <c r="AO14" s="31"/>
      <c r="AP14" s="17"/>
      <c r="AQ14" s="31"/>
      <c r="AR14" s="31"/>
      <c r="AS14" s="31"/>
      <c r="AT14" s="31"/>
    </row>
    <row r="15" spans="1:48" s="3" customFormat="1" ht="72.75" customHeight="1" x14ac:dyDescent="0.2">
      <c r="A15" s="87" t="s">
        <v>53</v>
      </c>
      <c r="B15" s="87"/>
      <c r="C15" s="87"/>
      <c r="D15" s="87"/>
      <c r="E15" s="87"/>
      <c r="F15" s="87"/>
      <c r="G15" s="87"/>
      <c r="H15" s="87"/>
      <c r="I15" s="121">
        <f>AP37</f>
        <v>9578</v>
      </c>
      <c r="J15" s="97"/>
      <c r="K15" s="97"/>
      <c r="L15" s="97"/>
      <c r="M15" s="31"/>
      <c r="N15" s="31"/>
      <c r="O15" s="31"/>
      <c r="P15" s="31"/>
      <c r="Q15" s="31"/>
      <c r="R15" s="31"/>
      <c r="S15" s="31"/>
      <c r="T15" s="31"/>
      <c r="U15" s="31"/>
      <c r="V15" s="16"/>
      <c r="W15" s="17"/>
      <c r="X15" s="17"/>
      <c r="Y15" s="36"/>
      <c r="Z15" s="31" t="s">
        <v>70</v>
      </c>
      <c r="AA15" s="37">
        <v>7</v>
      </c>
      <c r="AB15" s="17"/>
      <c r="AC15" s="17"/>
      <c r="AD15" s="17"/>
      <c r="AE15" s="18"/>
      <c r="AF15" s="31"/>
      <c r="AG15" s="31"/>
      <c r="AH15" s="31"/>
      <c r="AI15" s="31"/>
      <c r="AJ15" s="31"/>
      <c r="AK15" s="31"/>
      <c r="AL15" s="17"/>
      <c r="AM15" s="31"/>
      <c r="AN15" s="31"/>
      <c r="AO15" s="31"/>
      <c r="AP15" s="17"/>
      <c r="AQ15" s="31"/>
      <c r="AR15" s="31"/>
      <c r="AS15" s="31"/>
      <c r="AT15" s="31"/>
    </row>
    <row r="16" spans="1:48" s="3" customFormat="1" ht="72.75" customHeight="1" x14ac:dyDescent="0.2">
      <c r="A16" s="87" t="s">
        <v>41</v>
      </c>
      <c r="B16" s="87"/>
      <c r="C16" s="87"/>
      <c r="D16" s="87"/>
      <c r="E16" s="87"/>
      <c r="F16" s="87"/>
      <c r="G16" s="87"/>
      <c r="H16" s="87"/>
      <c r="I16" s="97" t="s">
        <v>64</v>
      </c>
      <c r="J16" s="97"/>
      <c r="K16" s="97"/>
      <c r="L16" s="97"/>
      <c r="M16" s="31"/>
      <c r="N16" s="31"/>
      <c r="O16" s="31"/>
      <c r="P16" s="31"/>
      <c r="Q16" s="31"/>
      <c r="R16" s="31"/>
      <c r="S16" s="31"/>
      <c r="T16" s="31"/>
      <c r="U16" s="31"/>
      <c r="V16" s="16"/>
      <c r="W16" s="17"/>
      <c r="X16" s="17"/>
      <c r="Y16" s="36"/>
      <c r="Z16" s="31" t="s">
        <v>57</v>
      </c>
      <c r="AA16" s="17"/>
      <c r="AB16" s="17"/>
      <c r="AC16" s="17"/>
      <c r="AD16" s="17"/>
      <c r="AE16" s="18"/>
      <c r="AF16" s="31"/>
      <c r="AG16" s="31"/>
      <c r="AH16" s="31"/>
      <c r="AI16" s="31"/>
      <c r="AJ16" s="31"/>
      <c r="AK16" s="31"/>
      <c r="AL16" s="17"/>
      <c r="AM16" s="31"/>
      <c r="AN16" s="31"/>
      <c r="AO16" s="31"/>
      <c r="AP16" s="17"/>
      <c r="AQ16" s="31"/>
      <c r="AR16" s="31"/>
      <c r="AS16" s="31"/>
      <c r="AT16" s="31"/>
    </row>
    <row r="17" spans="1:46" s="3" customFormat="1" ht="72.75" customHeight="1" x14ac:dyDescent="0.2">
      <c r="A17" s="87" t="s">
        <v>14</v>
      </c>
      <c r="B17" s="87"/>
      <c r="C17" s="87"/>
      <c r="D17" s="87"/>
      <c r="E17" s="87"/>
      <c r="F17" s="87"/>
      <c r="G17" s="87"/>
      <c r="H17" s="87"/>
      <c r="I17" s="122"/>
      <c r="J17" s="97"/>
      <c r="K17" s="97"/>
      <c r="L17" s="97"/>
      <c r="M17" s="31"/>
      <c r="N17" s="31"/>
      <c r="O17" s="31"/>
      <c r="P17" s="31"/>
      <c r="Q17" s="31"/>
      <c r="R17" s="31"/>
      <c r="S17" s="31"/>
      <c r="T17" s="31"/>
      <c r="U17" s="31"/>
      <c r="V17" s="16"/>
      <c r="W17" s="17"/>
      <c r="X17" s="17"/>
      <c r="Y17" s="36"/>
      <c r="Z17" s="31" t="s">
        <v>58</v>
      </c>
      <c r="AA17" s="17"/>
      <c r="AB17" s="17"/>
      <c r="AC17" s="17"/>
      <c r="AD17" s="17"/>
      <c r="AE17" s="18"/>
      <c r="AF17" s="31"/>
      <c r="AG17" s="31"/>
      <c r="AH17" s="31"/>
      <c r="AI17" s="31"/>
      <c r="AJ17" s="31"/>
      <c r="AK17" s="31"/>
      <c r="AL17" s="17"/>
      <c r="AM17" s="31"/>
      <c r="AN17" s="31"/>
      <c r="AO17" s="31"/>
      <c r="AP17" s="17"/>
      <c r="AQ17" s="31"/>
      <c r="AR17" s="31"/>
      <c r="AS17" s="31"/>
      <c r="AT17" s="31"/>
    </row>
    <row r="18" spans="1:46" s="3" customFormat="1" ht="72.75" customHeight="1" x14ac:dyDescent="0.2">
      <c r="A18" s="87" t="s">
        <v>31</v>
      </c>
      <c r="B18" s="87"/>
      <c r="C18" s="87"/>
      <c r="D18" s="87"/>
      <c r="E18" s="87"/>
      <c r="F18" s="87"/>
      <c r="G18" s="87"/>
      <c r="H18" s="87"/>
      <c r="I18" s="97" t="s">
        <v>1</v>
      </c>
      <c r="J18" s="97"/>
      <c r="K18" s="97"/>
      <c r="L18" s="97"/>
      <c r="M18" s="31"/>
      <c r="N18" s="31"/>
      <c r="O18" s="31"/>
      <c r="P18" s="31"/>
      <c r="Q18" s="31"/>
      <c r="R18" s="31"/>
      <c r="S18" s="31"/>
      <c r="T18" s="31"/>
      <c r="U18" s="31"/>
      <c r="V18" s="16"/>
      <c r="W18" s="17"/>
      <c r="X18" s="17"/>
      <c r="Y18" s="36"/>
      <c r="Z18" s="31" t="s">
        <v>59</v>
      </c>
      <c r="AA18" s="17"/>
      <c r="AB18" s="17"/>
      <c r="AC18" s="17"/>
      <c r="AD18" s="17"/>
      <c r="AE18" s="18"/>
      <c r="AF18" s="31"/>
      <c r="AG18" s="31"/>
      <c r="AH18" s="31"/>
      <c r="AI18" s="31"/>
      <c r="AJ18" s="31"/>
      <c r="AK18" s="31"/>
      <c r="AL18" s="17"/>
      <c r="AM18" s="31"/>
      <c r="AN18" s="31"/>
      <c r="AO18" s="31"/>
      <c r="AP18" s="17"/>
      <c r="AQ18" s="31"/>
      <c r="AR18" s="31"/>
      <c r="AS18" s="31"/>
      <c r="AT18" s="31"/>
    </row>
    <row r="19" spans="1:46" s="3" customFormat="1" ht="72.75" customHeight="1" x14ac:dyDescent="0.2">
      <c r="A19" s="87" t="s">
        <v>15</v>
      </c>
      <c r="B19" s="87"/>
      <c r="C19" s="87"/>
      <c r="D19" s="87"/>
      <c r="E19" s="87"/>
      <c r="F19" s="87"/>
      <c r="G19" s="87"/>
      <c r="H19" s="87"/>
      <c r="I19" s="63"/>
      <c r="J19" s="64"/>
      <c r="K19" s="64"/>
      <c r="L19" s="65"/>
      <c r="M19" s="31"/>
      <c r="N19" s="31"/>
      <c r="O19" s="31"/>
      <c r="P19" s="31"/>
      <c r="Q19" s="31"/>
      <c r="R19" s="31"/>
      <c r="S19" s="31"/>
      <c r="T19" s="31"/>
      <c r="U19" s="31"/>
      <c r="V19" s="16"/>
      <c r="W19" s="17"/>
      <c r="X19" s="17"/>
      <c r="Y19" s="36"/>
      <c r="Z19" s="31"/>
      <c r="AA19" s="17"/>
      <c r="AB19" s="17"/>
      <c r="AC19" s="17"/>
      <c r="AD19" s="17"/>
      <c r="AE19" s="18"/>
      <c r="AF19" s="31"/>
      <c r="AG19" s="31"/>
      <c r="AH19" s="31"/>
      <c r="AI19" s="31"/>
      <c r="AJ19" s="31"/>
      <c r="AK19" s="31"/>
      <c r="AL19" s="17"/>
      <c r="AM19" s="31"/>
      <c r="AN19" s="31"/>
      <c r="AO19" s="31"/>
      <c r="AP19" s="17"/>
      <c r="AQ19" s="31"/>
      <c r="AR19" s="31"/>
      <c r="AS19" s="31"/>
      <c r="AT19" s="31"/>
    </row>
    <row r="20" spans="1:46" s="3" customFormat="1" ht="72.75" customHeight="1" x14ac:dyDescent="0.2">
      <c r="A20" s="87" t="s">
        <v>16</v>
      </c>
      <c r="B20" s="87"/>
      <c r="C20" s="87"/>
      <c r="D20" s="87"/>
      <c r="E20" s="87"/>
      <c r="F20" s="87"/>
      <c r="G20" s="87"/>
      <c r="H20" s="87"/>
      <c r="I20" s="97">
        <f>H168</f>
        <v>517</v>
      </c>
      <c r="J20" s="97"/>
      <c r="K20" s="97"/>
      <c r="L20" s="97"/>
      <c r="M20" s="31"/>
      <c r="N20" s="31"/>
      <c r="O20" s="31"/>
      <c r="P20" s="31"/>
      <c r="Q20" s="31"/>
      <c r="R20" s="31"/>
      <c r="S20" s="31"/>
      <c r="T20" s="31"/>
      <c r="U20" s="31"/>
      <c r="V20" s="19"/>
      <c r="W20" s="20"/>
      <c r="X20" s="20"/>
      <c r="Y20" s="38"/>
      <c r="Z20" s="39" t="s">
        <v>61</v>
      </c>
      <c r="AA20" s="20"/>
      <c r="AB20" s="20"/>
      <c r="AC20" s="20">
        <f>H168</f>
        <v>517</v>
      </c>
      <c r="AD20" s="20"/>
      <c r="AE20" s="21"/>
      <c r="AF20" s="31"/>
      <c r="AG20" s="31"/>
      <c r="AH20" s="31"/>
      <c r="AI20" s="31"/>
      <c r="AJ20" s="31"/>
      <c r="AK20" s="31"/>
      <c r="AL20" s="17"/>
      <c r="AM20" s="31"/>
      <c r="AN20" s="31"/>
      <c r="AO20" s="31"/>
      <c r="AP20" s="17"/>
      <c r="AQ20" s="31"/>
      <c r="AR20" s="31"/>
      <c r="AS20" s="31"/>
      <c r="AT20" s="31"/>
    </row>
    <row r="21" spans="1:46" s="3" customFormat="1" ht="72.75" customHeight="1" x14ac:dyDescent="0.2">
      <c r="A21" s="87" t="s">
        <v>54</v>
      </c>
      <c r="B21" s="87"/>
      <c r="C21" s="87"/>
      <c r="D21" s="87"/>
      <c r="E21" s="87"/>
      <c r="F21" s="87"/>
      <c r="G21" s="87"/>
      <c r="H21" s="87"/>
      <c r="I21" s="97" t="s">
        <v>5</v>
      </c>
      <c r="J21" s="97"/>
      <c r="K21" s="97"/>
      <c r="L21" s="97"/>
      <c r="M21" s="31"/>
      <c r="N21" s="31"/>
      <c r="O21" s="31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</row>
    <row r="22" spans="1:46" ht="39.950000000000003" customHeight="1" x14ac:dyDescent="0.7">
      <c r="A22" s="29"/>
      <c r="B22" s="29"/>
      <c r="C22" s="29"/>
      <c r="D22" s="29"/>
      <c r="E22" s="29"/>
      <c r="F22" s="30"/>
      <c r="G22" s="30"/>
      <c r="H22" s="30"/>
      <c r="I22" s="30"/>
      <c r="J22" s="29"/>
      <c r="K22" s="29"/>
      <c r="L22" s="29"/>
      <c r="M22" s="29"/>
      <c r="N22" s="29"/>
      <c r="O22" s="31" t="s">
        <v>56</v>
      </c>
      <c r="P22" s="29"/>
      <c r="Q22" s="29"/>
      <c r="R22" s="29" t="s">
        <v>55</v>
      </c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</row>
    <row r="23" spans="1:46" s="3" customFormat="1" ht="51" customHeight="1" x14ac:dyDescent="0.2">
      <c r="A23" s="40" t="s">
        <v>17</v>
      </c>
      <c r="B23" s="41"/>
      <c r="C23" s="41"/>
      <c r="D23" s="41"/>
      <c r="E23" s="42"/>
      <c r="F23" s="114" t="s">
        <v>71</v>
      </c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6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</row>
    <row r="24" spans="1:46" ht="58.5" customHeight="1" x14ac:dyDescent="0.7">
      <c r="A24" s="43" t="s">
        <v>18</v>
      </c>
      <c r="B24" s="28"/>
      <c r="C24" s="28"/>
      <c r="D24" s="28"/>
      <c r="E24" s="28"/>
      <c r="F24" s="28"/>
      <c r="G24" s="28"/>
      <c r="H24" s="28"/>
      <c r="I24" s="44"/>
      <c r="J24" s="28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</row>
    <row r="25" spans="1:46" s="3" customFormat="1" ht="100.5" customHeight="1" x14ac:dyDescent="0.2">
      <c r="A25" s="89" t="s">
        <v>72</v>
      </c>
      <c r="B25" s="90"/>
      <c r="C25" s="91"/>
      <c r="D25" s="63" t="s">
        <v>73</v>
      </c>
      <c r="E25" s="65"/>
      <c r="F25" s="63">
        <v>32</v>
      </c>
      <c r="G25" s="64"/>
      <c r="H25" s="64"/>
      <c r="I25" s="65"/>
      <c r="J25" s="63">
        <v>34</v>
      </c>
      <c r="K25" s="64"/>
      <c r="L25" s="64"/>
      <c r="M25" s="65"/>
      <c r="N25" s="63">
        <v>36</v>
      </c>
      <c r="O25" s="64"/>
      <c r="P25" s="64"/>
      <c r="Q25" s="65"/>
      <c r="R25" s="63">
        <v>38</v>
      </c>
      <c r="S25" s="64"/>
      <c r="T25" s="64"/>
      <c r="U25" s="65"/>
      <c r="V25" s="63">
        <v>40</v>
      </c>
      <c r="W25" s="64"/>
      <c r="X25" s="64"/>
      <c r="Y25" s="65"/>
      <c r="Z25" s="63">
        <v>42</v>
      </c>
      <c r="AA25" s="64"/>
      <c r="AB25" s="64"/>
      <c r="AC25" s="65"/>
      <c r="AD25" s="63">
        <v>44</v>
      </c>
      <c r="AE25" s="64"/>
      <c r="AF25" s="64"/>
      <c r="AG25" s="65"/>
      <c r="AH25" s="63">
        <v>46</v>
      </c>
      <c r="AI25" s="64"/>
      <c r="AJ25" s="64"/>
      <c r="AK25" s="65"/>
      <c r="AL25" s="63">
        <v>48</v>
      </c>
      <c r="AM25" s="64"/>
      <c r="AN25" s="64"/>
      <c r="AO25" s="65"/>
      <c r="AP25" s="63" t="s">
        <v>19</v>
      </c>
      <c r="AQ25" s="64"/>
      <c r="AR25" s="64"/>
      <c r="AS25" s="65"/>
      <c r="AT25" s="117" t="s">
        <v>20</v>
      </c>
    </row>
    <row r="26" spans="1:46" s="3" customFormat="1" ht="99.75" customHeight="1" x14ac:dyDescent="0.2">
      <c r="A26" s="92"/>
      <c r="B26" s="93"/>
      <c r="C26" s="94"/>
      <c r="D26" s="95" t="s">
        <v>74</v>
      </c>
      <c r="E26" s="96"/>
      <c r="F26" s="12" t="s">
        <v>21</v>
      </c>
      <c r="G26" s="12" t="s">
        <v>22</v>
      </c>
      <c r="H26" s="12" t="s">
        <v>23</v>
      </c>
      <c r="I26" s="12" t="s">
        <v>24</v>
      </c>
      <c r="J26" s="12" t="s">
        <v>21</v>
      </c>
      <c r="K26" s="12" t="s">
        <v>22</v>
      </c>
      <c r="L26" s="12" t="s">
        <v>23</v>
      </c>
      <c r="M26" s="12" t="s">
        <v>24</v>
      </c>
      <c r="N26" s="12" t="s">
        <v>21</v>
      </c>
      <c r="O26" s="12" t="s">
        <v>22</v>
      </c>
      <c r="P26" s="12" t="s">
        <v>23</v>
      </c>
      <c r="Q26" s="12" t="s">
        <v>24</v>
      </c>
      <c r="R26" s="12" t="s">
        <v>21</v>
      </c>
      <c r="S26" s="12" t="s">
        <v>22</v>
      </c>
      <c r="T26" s="12" t="s">
        <v>23</v>
      </c>
      <c r="U26" s="12" t="s">
        <v>24</v>
      </c>
      <c r="V26" s="12" t="s">
        <v>21</v>
      </c>
      <c r="W26" s="12" t="s">
        <v>22</v>
      </c>
      <c r="X26" s="12" t="s">
        <v>23</v>
      </c>
      <c r="Y26" s="12" t="s">
        <v>24</v>
      </c>
      <c r="Z26" s="12" t="s">
        <v>21</v>
      </c>
      <c r="AA26" s="12" t="s">
        <v>22</v>
      </c>
      <c r="AB26" s="12" t="s">
        <v>23</v>
      </c>
      <c r="AC26" s="12" t="s">
        <v>24</v>
      </c>
      <c r="AD26" s="12" t="s">
        <v>21</v>
      </c>
      <c r="AE26" s="12" t="s">
        <v>22</v>
      </c>
      <c r="AF26" s="12" t="s">
        <v>23</v>
      </c>
      <c r="AG26" s="12" t="s">
        <v>24</v>
      </c>
      <c r="AH26" s="12" t="s">
        <v>21</v>
      </c>
      <c r="AI26" s="12" t="s">
        <v>22</v>
      </c>
      <c r="AJ26" s="12" t="s">
        <v>23</v>
      </c>
      <c r="AK26" s="12" t="s">
        <v>24</v>
      </c>
      <c r="AL26" s="12" t="s">
        <v>21</v>
      </c>
      <c r="AM26" s="12" t="s">
        <v>22</v>
      </c>
      <c r="AN26" s="12" t="s">
        <v>23</v>
      </c>
      <c r="AO26" s="12" t="s">
        <v>24</v>
      </c>
      <c r="AP26" s="12" t="s">
        <v>25</v>
      </c>
      <c r="AQ26" s="12" t="s">
        <v>22</v>
      </c>
      <c r="AR26" s="12" t="s">
        <v>27</v>
      </c>
      <c r="AS26" s="12" t="s">
        <v>26</v>
      </c>
      <c r="AT26" s="117"/>
    </row>
    <row r="27" spans="1:46" s="3" customFormat="1" ht="62.25" customHeight="1" x14ac:dyDescent="0.2">
      <c r="A27" s="110" t="s">
        <v>77</v>
      </c>
      <c r="B27" s="111"/>
      <c r="C27" s="112"/>
      <c r="D27" s="64">
        <v>28</v>
      </c>
      <c r="E27" s="65"/>
      <c r="F27" s="12">
        <f>G52</f>
        <v>11</v>
      </c>
      <c r="G27" s="12">
        <v>11</v>
      </c>
      <c r="H27" s="12">
        <f t="shared" ref="H27" si="0">F27-G27</f>
        <v>0</v>
      </c>
      <c r="I27" s="13">
        <f>H27/G27</f>
        <v>0</v>
      </c>
      <c r="J27" s="12">
        <f>H52</f>
        <v>17</v>
      </c>
      <c r="K27" s="12">
        <v>17</v>
      </c>
      <c r="L27" s="12">
        <f t="shared" ref="L27:L30" si="1">J27-K27</f>
        <v>0</v>
      </c>
      <c r="M27" s="13">
        <f t="shared" ref="M27:M29" si="2">L27/K27</f>
        <v>0</v>
      </c>
      <c r="N27" s="12">
        <f>I52</f>
        <v>21</v>
      </c>
      <c r="O27" s="12">
        <v>21</v>
      </c>
      <c r="P27" s="12">
        <f t="shared" ref="P27:P30" si="3">N27-O27</f>
        <v>0</v>
      </c>
      <c r="Q27" s="13">
        <f t="shared" ref="Q27:Q30" si="4">P27/O27</f>
        <v>0</v>
      </c>
      <c r="R27" s="12">
        <f>J52</f>
        <v>22</v>
      </c>
      <c r="S27" s="12">
        <v>22</v>
      </c>
      <c r="T27" s="12">
        <f t="shared" ref="T27:T30" si="5">R27-S27</f>
        <v>0</v>
      </c>
      <c r="U27" s="13">
        <f t="shared" ref="U27:U30" si="6">T27/S27</f>
        <v>0</v>
      </c>
      <c r="V27" s="12">
        <f>K52</f>
        <v>19</v>
      </c>
      <c r="W27" s="12">
        <v>19</v>
      </c>
      <c r="X27" s="12">
        <f t="shared" ref="X27:X30" si="7">V27-W27</f>
        <v>0</v>
      </c>
      <c r="Y27" s="13">
        <f t="shared" ref="Y27:Y30" si="8">X27/W27</f>
        <v>0</v>
      </c>
      <c r="Z27" s="12">
        <f>L52</f>
        <v>17</v>
      </c>
      <c r="AA27" s="12">
        <v>17</v>
      </c>
      <c r="AB27" s="12">
        <f t="shared" ref="AB27:AB30" si="9">Z27-AA27</f>
        <v>0</v>
      </c>
      <c r="AC27" s="13">
        <f>AB27/AA27</f>
        <v>0</v>
      </c>
      <c r="AD27" s="12">
        <f>M52</f>
        <v>13</v>
      </c>
      <c r="AE27" s="12">
        <v>13</v>
      </c>
      <c r="AF27" s="12">
        <f t="shared" ref="AF27:AF30" si="10">AD27-AE27</f>
        <v>0</v>
      </c>
      <c r="AG27" s="13">
        <f>AF27/AE27</f>
        <v>0</v>
      </c>
      <c r="AH27" s="12">
        <f>N52</f>
        <v>4</v>
      </c>
      <c r="AI27" s="12">
        <v>4</v>
      </c>
      <c r="AJ27" s="12">
        <f>AH27-AI27</f>
        <v>0</v>
      </c>
      <c r="AK27" s="13">
        <f t="shared" ref="AK27:AK37" si="11">AJ27/AI27</f>
        <v>0</v>
      </c>
      <c r="AL27" s="12">
        <f>O52</f>
        <v>0</v>
      </c>
      <c r="AM27" s="12">
        <v>0</v>
      </c>
      <c r="AN27" s="12">
        <f>AL27-AM27</f>
        <v>0</v>
      </c>
      <c r="AO27" s="13">
        <v>0</v>
      </c>
      <c r="AP27" s="14">
        <f>+AL27+AH27+AD27+Z27+V27+R27+N27+J27+F27</f>
        <v>124</v>
      </c>
      <c r="AQ27" s="14">
        <f t="shared" ref="AQ27:AQ30" si="12">AM27+AE27+AA27+W27+S27+O27+K27+G27+AI27</f>
        <v>124</v>
      </c>
      <c r="AR27" s="14">
        <f t="shared" ref="AR27:AR30" si="13">AP27-AQ27</f>
        <v>0</v>
      </c>
      <c r="AS27" s="13">
        <f t="shared" ref="AS27:AS37" si="14">AR27/AQ27</f>
        <v>0</v>
      </c>
      <c r="AT27" s="15" t="s">
        <v>43</v>
      </c>
    </row>
    <row r="28" spans="1:46" s="3" customFormat="1" ht="62.25" customHeight="1" x14ac:dyDescent="0.2">
      <c r="A28" s="123"/>
      <c r="B28" s="124"/>
      <c r="C28" s="125"/>
      <c r="D28" s="64">
        <v>30</v>
      </c>
      <c r="E28" s="65"/>
      <c r="F28" s="12">
        <f>G70</f>
        <v>22</v>
      </c>
      <c r="G28" s="12">
        <v>22</v>
      </c>
      <c r="H28" s="12">
        <f>F28-G28</f>
        <v>0</v>
      </c>
      <c r="I28" s="13">
        <f>H28/G28</f>
        <v>0</v>
      </c>
      <c r="J28" s="12">
        <f>H70</f>
        <v>110</v>
      </c>
      <c r="K28" s="12">
        <v>110</v>
      </c>
      <c r="L28" s="12">
        <f t="shared" si="1"/>
        <v>0</v>
      </c>
      <c r="M28" s="13">
        <f t="shared" si="2"/>
        <v>0</v>
      </c>
      <c r="N28" s="12">
        <f>I70</f>
        <v>179</v>
      </c>
      <c r="O28" s="12">
        <v>179</v>
      </c>
      <c r="P28" s="12">
        <f t="shared" si="3"/>
        <v>0</v>
      </c>
      <c r="Q28" s="13">
        <f t="shared" si="4"/>
        <v>0</v>
      </c>
      <c r="R28" s="12">
        <f>J70</f>
        <v>253</v>
      </c>
      <c r="S28" s="12">
        <v>253</v>
      </c>
      <c r="T28" s="12">
        <f t="shared" si="5"/>
        <v>0</v>
      </c>
      <c r="U28" s="13">
        <f t="shared" si="6"/>
        <v>0</v>
      </c>
      <c r="V28" s="12">
        <f>K70</f>
        <v>229</v>
      </c>
      <c r="W28" s="12">
        <v>229</v>
      </c>
      <c r="X28" s="12">
        <f t="shared" si="7"/>
        <v>0</v>
      </c>
      <c r="Y28" s="13">
        <f t="shared" si="8"/>
        <v>0</v>
      </c>
      <c r="Z28" s="12">
        <f>L70</f>
        <v>171</v>
      </c>
      <c r="AA28" s="12">
        <v>171</v>
      </c>
      <c r="AB28" s="12">
        <f t="shared" si="9"/>
        <v>0</v>
      </c>
      <c r="AC28" s="13">
        <f t="shared" ref="AC28:AC30" si="15">AB28/AA28</f>
        <v>0</v>
      </c>
      <c r="AD28" s="12">
        <f>M70</f>
        <v>141</v>
      </c>
      <c r="AE28" s="12">
        <v>141</v>
      </c>
      <c r="AF28" s="12">
        <f t="shared" si="10"/>
        <v>0</v>
      </c>
      <c r="AG28" s="13">
        <f t="shared" ref="AG28:AG30" si="16">AF28/AE28</f>
        <v>0</v>
      </c>
      <c r="AH28" s="12">
        <f>N70</f>
        <v>65</v>
      </c>
      <c r="AI28" s="12">
        <v>65</v>
      </c>
      <c r="AJ28" s="12">
        <f>AH28-AI28</f>
        <v>0</v>
      </c>
      <c r="AK28" s="13">
        <f t="shared" si="11"/>
        <v>0</v>
      </c>
      <c r="AL28" s="12">
        <f>O70</f>
        <v>9</v>
      </c>
      <c r="AM28" s="12">
        <v>9</v>
      </c>
      <c r="AN28" s="12">
        <f>AL28-AM28</f>
        <v>0</v>
      </c>
      <c r="AO28" s="13">
        <f>AN28/AM28</f>
        <v>0</v>
      </c>
      <c r="AP28" s="14">
        <f>AL28+AD28+Z28+V28+R28+N28+J28+F28+AH28</f>
        <v>1179</v>
      </c>
      <c r="AQ28" s="14">
        <f t="shared" si="12"/>
        <v>1179</v>
      </c>
      <c r="AR28" s="14">
        <f t="shared" si="13"/>
        <v>0</v>
      </c>
      <c r="AS28" s="13">
        <f t="shared" si="14"/>
        <v>0</v>
      </c>
      <c r="AT28" s="15" t="s">
        <v>43</v>
      </c>
    </row>
    <row r="29" spans="1:46" s="3" customFormat="1" ht="62.25" customHeight="1" x14ac:dyDescent="0.2">
      <c r="A29" s="123"/>
      <c r="B29" s="124"/>
      <c r="C29" s="125"/>
      <c r="D29" s="64">
        <v>32</v>
      </c>
      <c r="E29" s="65"/>
      <c r="F29" s="12">
        <f>G87</f>
        <v>9</v>
      </c>
      <c r="G29" s="12">
        <v>9</v>
      </c>
      <c r="H29" s="12">
        <f t="shared" ref="H29:H30" si="17">F29-G29</f>
        <v>0</v>
      </c>
      <c r="I29" s="13">
        <f>H29/G29</f>
        <v>0</v>
      </c>
      <c r="J29" s="12">
        <f>H87</f>
        <v>46</v>
      </c>
      <c r="K29" s="12">
        <v>46</v>
      </c>
      <c r="L29" s="12">
        <f t="shared" si="1"/>
        <v>0</v>
      </c>
      <c r="M29" s="13">
        <f t="shared" si="2"/>
        <v>0</v>
      </c>
      <c r="N29" s="12">
        <f>I87</f>
        <v>76</v>
      </c>
      <c r="O29" s="12">
        <v>76</v>
      </c>
      <c r="P29" s="12">
        <f t="shared" si="3"/>
        <v>0</v>
      </c>
      <c r="Q29" s="13">
        <f t="shared" si="4"/>
        <v>0</v>
      </c>
      <c r="R29" s="12">
        <f>J87</f>
        <v>87</v>
      </c>
      <c r="S29" s="12">
        <v>87</v>
      </c>
      <c r="T29" s="12">
        <f t="shared" si="5"/>
        <v>0</v>
      </c>
      <c r="U29" s="13">
        <f t="shared" si="6"/>
        <v>0</v>
      </c>
      <c r="V29" s="12">
        <f>K87</f>
        <v>73</v>
      </c>
      <c r="W29" s="12">
        <v>73</v>
      </c>
      <c r="X29" s="12">
        <f t="shared" si="7"/>
        <v>0</v>
      </c>
      <c r="Y29" s="13">
        <f t="shared" si="8"/>
        <v>0</v>
      </c>
      <c r="Z29" s="12">
        <f>L87</f>
        <v>64</v>
      </c>
      <c r="AA29" s="12">
        <v>64</v>
      </c>
      <c r="AB29" s="12">
        <f t="shared" si="9"/>
        <v>0</v>
      </c>
      <c r="AC29" s="13">
        <f t="shared" si="15"/>
        <v>0</v>
      </c>
      <c r="AD29" s="12">
        <f>M87</f>
        <v>44</v>
      </c>
      <c r="AE29" s="12">
        <v>44</v>
      </c>
      <c r="AF29" s="12">
        <f t="shared" si="10"/>
        <v>0</v>
      </c>
      <c r="AG29" s="13">
        <f t="shared" si="16"/>
        <v>0</v>
      </c>
      <c r="AH29" s="12">
        <f>N87</f>
        <v>26</v>
      </c>
      <c r="AI29" s="12">
        <v>26</v>
      </c>
      <c r="AJ29" s="12">
        <f>AH29-AI29</f>
        <v>0</v>
      </c>
      <c r="AK29" s="13">
        <f t="shared" si="11"/>
        <v>0</v>
      </c>
      <c r="AL29" s="12">
        <f>O87</f>
        <v>3</v>
      </c>
      <c r="AM29" s="12">
        <v>3</v>
      </c>
      <c r="AN29" s="12">
        <f>AL29-AM29</f>
        <v>0</v>
      </c>
      <c r="AO29" s="13">
        <f>AN29/AM29</f>
        <v>0</v>
      </c>
      <c r="AP29" s="14">
        <f>+AL29+AH29+AD29+Z29+V29+R29+N29+J29+F29</f>
        <v>428</v>
      </c>
      <c r="AQ29" s="14">
        <f t="shared" si="12"/>
        <v>428</v>
      </c>
      <c r="AR29" s="14">
        <f t="shared" si="13"/>
        <v>0</v>
      </c>
      <c r="AS29" s="13">
        <f t="shared" si="14"/>
        <v>0</v>
      </c>
      <c r="AT29" s="15" t="s">
        <v>43</v>
      </c>
    </row>
    <row r="30" spans="1:46" s="3" customFormat="1" ht="62.25" customHeight="1" x14ac:dyDescent="0.2">
      <c r="A30" s="95"/>
      <c r="B30" s="113"/>
      <c r="C30" s="96"/>
      <c r="D30" s="64">
        <v>34</v>
      </c>
      <c r="E30" s="65"/>
      <c r="F30" s="12">
        <f>G96</f>
        <v>4</v>
      </c>
      <c r="G30" s="12">
        <v>4</v>
      </c>
      <c r="H30" s="12">
        <f t="shared" si="17"/>
        <v>0</v>
      </c>
      <c r="I30" s="13">
        <v>0</v>
      </c>
      <c r="J30" s="12">
        <f>H96</f>
        <v>6</v>
      </c>
      <c r="K30" s="12">
        <v>6</v>
      </c>
      <c r="L30" s="12">
        <f t="shared" si="1"/>
        <v>0</v>
      </c>
      <c r="M30" s="13">
        <f>L30/K30</f>
        <v>0</v>
      </c>
      <c r="N30" s="12">
        <f>I96</f>
        <v>8</v>
      </c>
      <c r="O30" s="12">
        <v>8</v>
      </c>
      <c r="P30" s="12">
        <f t="shared" si="3"/>
        <v>0</v>
      </c>
      <c r="Q30" s="13">
        <f t="shared" si="4"/>
        <v>0</v>
      </c>
      <c r="R30" s="12">
        <f>J96</f>
        <v>9</v>
      </c>
      <c r="S30" s="12">
        <v>9</v>
      </c>
      <c r="T30" s="12">
        <f t="shared" si="5"/>
        <v>0</v>
      </c>
      <c r="U30" s="13">
        <f t="shared" si="6"/>
        <v>0</v>
      </c>
      <c r="V30" s="12">
        <f>K96</f>
        <v>10</v>
      </c>
      <c r="W30" s="12">
        <v>10</v>
      </c>
      <c r="X30" s="12">
        <f t="shared" si="7"/>
        <v>0</v>
      </c>
      <c r="Y30" s="13">
        <f t="shared" si="8"/>
        <v>0</v>
      </c>
      <c r="Z30" s="12">
        <f>L96</f>
        <v>8</v>
      </c>
      <c r="AA30" s="12">
        <v>8</v>
      </c>
      <c r="AB30" s="12">
        <f t="shared" si="9"/>
        <v>0</v>
      </c>
      <c r="AC30" s="13">
        <f t="shared" si="15"/>
        <v>0</v>
      </c>
      <c r="AD30" s="12">
        <f>M96</f>
        <v>7</v>
      </c>
      <c r="AE30" s="12">
        <v>7</v>
      </c>
      <c r="AF30" s="12">
        <f t="shared" si="10"/>
        <v>0</v>
      </c>
      <c r="AG30" s="13">
        <f t="shared" si="16"/>
        <v>0</v>
      </c>
      <c r="AH30" s="12">
        <f>N96</f>
        <v>3</v>
      </c>
      <c r="AI30" s="12">
        <v>3</v>
      </c>
      <c r="AJ30" s="12">
        <f t="shared" ref="AJ30" si="18">AH30-AI30</f>
        <v>0</v>
      </c>
      <c r="AK30" s="13">
        <f t="shared" si="11"/>
        <v>0</v>
      </c>
      <c r="AL30" s="12">
        <f>O96</f>
        <v>0</v>
      </c>
      <c r="AM30" s="12">
        <v>0</v>
      </c>
      <c r="AN30" s="12">
        <f>AL30-AM30</f>
        <v>0</v>
      </c>
      <c r="AO30" s="13">
        <v>0</v>
      </c>
      <c r="AP30" s="14">
        <f>AL30+AD30+Z30+V30+R30+N30+J30+F30+AH30</f>
        <v>55</v>
      </c>
      <c r="AQ30" s="14">
        <f t="shared" si="12"/>
        <v>55</v>
      </c>
      <c r="AR30" s="14">
        <f t="shared" si="13"/>
        <v>0</v>
      </c>
      <c r="AS30" s="13">
        <f t="shared" si="14"/>
        <v>0</v>
      </c>
      <c r="AT30" s="15" t="s">
        <v>43</v>
      </c>
    </row>
    <row r="31" spans="1:46" s="8" customFormat="1" ht="83.25" customHeight="1" x14ac:dyDescent="0.2">
      <c r="A31" s="98" t="s">
        <v>19</v>
      </c>
      <c r="B31" s="99"/>
      <c r="C31" s="99"/>
      <c r="D31" s="99"/>
      <c r="E31" s="100"/>
      <c r="F31" s="22">
        <f>SUM(F27:F30)</f>
        <v>46</v>
      </c>
      <c r="G31" s="22">
        <f>SUM(G27:G30)</f>
        <v>46</v>
      </c>
      <c r="H31" s="22">
        <f>SUM(H27:H30)</f>
        <v>0</v>
      </c>
      <c r="I31" s="23">
        <f>H31/G31</f>
        <v>0</v>
      </c>
      <c r="J31" s="22">
        <f>SUM(J27:J30)</f>
        <v>179</v>
      </c>
      <c r="K31" s="22">
        <f>SUM(K27:K30)</f>
        <v>179</v>
      </c>
      <c r="L31" s="22">
        <f>SUM(L27:L30)</f>
        <v>0</v>
      </c>
      <c r="M31" s="23">
        <f>L31/K31</f>
        <v>0</v>
      </c>
      <c r="N31" s="22">
        <f>SUM(N27:N30)</f>
        <v>284</v>
      </c>
      <c r="O31" s="22">
        <f>SUM(O27:O30)</f>
        <v>284</v>
      </c>
      <c r="P31" s="22">
        <f>SUM(P27:P30)</f>
        <v>0</v>
      </c>
      <c r="Q31" s="23">
        <f>P31/O31</f>
        <v>0</v>
      </c>
      <c r="R31" s="22">
        <f>SUM(R27:R30)</f>
        <v>371</v>
      </c>
      <c r="S31" s="22">
        <f>SUM(S27:S30)</f>
        <v>371</v>
      </c>
      <c r="T31" s="22">
        <f>SUM(T27:T30)</f>
        <v>0</v>
      </c>
      <c r="U31" s="23">
        <f>T31/S31</f>
        <v>0</v>
      </c>
      <c r="V31" s="22">
        <f>SUM(V27:V30)</f>
        <v>331</v>
      </c>
      <c r="W31" s="22">
        <f>SUM(W27:W30)</f>
        <v>331</v>
      </c>
      <c r="X31" s="22">
        <f>SUM(X27:X30)</f>
        <v>0</v>
      </c>
      <c r="Y31" s="23">
        <f>X31/W31</f>
        <v>0</v>
      </c>
      <c r="Z31" s="22">
        <f>SUM(Z27:Z30)</f>
        <v>260</v>
      </c>
      <c r="AA31" s="22">
        <f>SUM(AA27:AA30)</f>
        <v>260</v>
      </c>
      <c r="AB31" s="22">
        <f>SUM(AB27:AB30)</f>
        <v>0</v>
      </c>
      <c r="AC31" s="23">
        <f>AB31/AA31</f>
        <v>0</v>
      </c>
      <c r="AD31" s="22">
        <f>SUM(AD27:AD30)</f>
        <v>205</v>
      </c>
      <c r="AE31" s="22">
        <f>SUM(AE27:AE30)</f>
        <v>205</v>
      </c>
      <c r="AF31" s="22">
        <f>SUM(AF27:AF30)</f>
        <v>0</v>
      </c>
      <c r="AG31" s="23">
        <f>AF31/AE31</f>
        <v>0</v>
      </c>
      <c r="AH31" s="22">
        <f>SUM(AH27:AH30)</f>
        <v>98</v>
      </c>
      <c r="AI31" s="22">
        <f>SUM(AI27:AI30)</f>
        <v>98</v>
      </c>
      <c r="AJ31" s="22">
        <f>SUM(AJ27:AJ30)</f>
        <v>0</v>
      </c>
      <c r="AK31" s="24">
        <f t="shared" si="11"/>
        <v>0</v>
      </c>
      <c r="AL31" s="22">
        <f>SUM(AL27:AL30)</f>
        <v>12</v>
      </c>
      <c r="AM31" s="22">
        <f>SUM(AM27:AM30)</f>
        <v>12</v>
      </c>
      <c r="AN31" s="22">
        <f>SUM(AN27:AN30)</f>
        <v>0</v>
      </c>
      <c r="AO31" s="24">
        <f>AN31/AM31</f>
        <v>0</v>
      </c>
      <c r="AP31" s="22">
        <f>SUM(AP27:AP30)</f>
        <v>1786</v>
      </c>
      <c r="AQ31" s="22">
        <f>SUM(AQ27:AQ30)</f>
        <v>1786</v>
      </c>
      <c r="AR31" s="22">
        <f>SUM(AR27:AR30)</f>
        <v>0</v>
      </c>
      <c r="AS31" s="24">
        <f t="shared" si="14"/>
        <v>0</v>
      </c>
      <c r="AT31" s="22"/>
    </row>
    <row r="32" spans="1:46" s="3" customFormat="1" ht="62.25" customHeight="1" x14ac:dyDescent="0.2">
      <c r="A32" s="110" t="s">
        <v>78</v>
      </c>
      <c r="B32" s="111"/>
      <c r="C32" s="112"/>
      <c r="D32" s="64">
        <v>28</v>
      </c>
      <c r="E32" s="65"/>
      <c r="F32" s="12">
        <f xml:space="preserve">                                        G112</f>
        <v>5</v>
      </c>
      <c r="G32" s="12">
        <v>5</v>
      </c>
      <c r="H32" s="12">
        <f t="shared" ref="H32:H35" si="19">F32-G32</f>
        <v>0</v>
      </c>
      <c r="I32" s="13">
        <f>H32/G32</f>
        <v>0</v>
      </c>
      <c r="J32" s="12">
        <f>H112</f>
        <v>121</v>
      </c>
      <c r="K32" s="12">
        <v>121</v>
      </c>
      <c r="L32" s="12">
        <f t="shared" ref="L32:L35" si="20">J32-K32</f>
        <v>0</v>
      </c>
      <c r="M32" s="13">
        <f t="shared" ref="M32:M34" si="21">L32/K32</f>
        <v>0</v>
      </c>
      <c r="N32" s="12">
        <f>I112</f>
        <v>344</v>
      </c>
      <c r="O32" s="12">
        <v>344</v>
      </c>
      <c r="P32" s="12">
        <f t="shared" ref="P32:P35" si="22">N32-O32</f>
        <v>0</v>
      </c>
      <c r="Q32" s="13">
        <f t="shared" ref="Q32:Q35" si="23">P32/O32</f>
        <v>0</v>
      </c>
      <c r="R32" s="12">
        <f>J112</f>
        <v>431</v>
      </c>
      <c r="S32" s="12">
        <v>431</v>
      </c>
      <c r="T32" s="12">
        <f t="shared" ref="T32:T35" si="24">R32-S32</f>
        <v>0</v>
      </c>
      <c r="U32" s="13">
        <f t="shared" ref="U32:U35" si="25">T32/S32</f>
        <v>0</v>
      </c>
      <c r="V32" s="12">
        <f>K112</f>
        <v>549</v>
      </c>
      <c r="W32" s="12">
        <v>549</v>
      </c>
      <c r="X32" s="12">
        <f t="shared" ref="X32:X35" si="26">V32-W32</f>
        <v>0</v>
      </c>
      <c r="Y32" s="13">
        <f t="shared" ref="Y32:Y35" si="27">X32/W32</f>
        <v>0</v>
      </c>
      <c r="Z32" s="12">
        <f>L112</f>
        <v>374</v>
      </c>
      <c r="AA32" s="12">
        <v>374</v>
      </c>
      <c r="AB32" s="12">
        <f t="shared" ref="AB32:AB35" si="28">Z32-AA32</f>
        <v>0</v>
      </c>
      <c r="AC32" s="13">
        <f>AB32/AA32</f>
        <v>0</v>
      </c>
      <c r="AD32" s="12">
        <f>M112</f>
        <v>282</v>
      </c>
      <c r="AE32" s="12">
        <v>282</v>
      </c>
      <c r="AF32" s="12">
        <f t="shared" ref="AF32:AF35" si="29">AD32-AE32</f>
        <v>0</v>
      </c>
      <c r="AG32" s="13">
        <f>AF32/AE32</f>
        <v>0</v>
      </c>
      <c r="AH32" s="12">
        <f>N112</f>
        <v>85</v>
      </c>
      <c r="AI32" s="12">
        <v>85</v>
      </c>
      <c r="AJ32" s="12">
        <f>AH32-AI32</f>
        <v>0</v>
      </c>
      <c r="AK32" s="13">
        <f t="shared" si="11"/>
        <v>0</v>
      </c>
      <c r="AL32" s="12">
        <f>O112</f>
        <v>0</v>
      </c>
      <c r="AM32" s="12">
        <v>0</v>
      </c>
      <c r="AN32" s="12">
        <f>AL32-AM32</f>
        <v>0</v>
      </c>
      <c r="AO32" s="13">
        <v>0</v>
      </c>
      <c r="AP32" s="14">
        <f>+AL32+AH32+AD32+Z32+V32+R32+N32+J32+F32</f>
        <v>2191</v>
      </c>
      <c r="AQ32" s="14">
        <f t="shared" ref="AQ32:AQ35" si="30">AM32+AE32+AA32+W32+S32+O32+K32+G32+AI32</f>
        <v>2191</v>
      </c>
      <c r="AR32" s="14">
        <f t="shared" ref="AR32:AR35" si="31">AP32-AQ32</f>
        <v>0</v>
      </c>
      <c r="AS32" s="13">
        <f t="shared" si="14"/>
        <v>0</v>
      </c>
      <c r="AT32" s="15" t="s">
        <v>43</v>
      </c>
    </row>
    <row r="33" spans="1:46" s="3" customFormat="1" ht="62.25" customHeight="1" x14ac:dyDescent="0.2">
      <c r="A33" s="123"/>
      <c r="B33" s="124"/>
      <c r="C33" s="125"/>
      <c r="D33" s="64">
        <v>30</v>
      </c>
      <c r="E33" s="65"/>
      <c r="F33" s="12">
        <f>G130</f>
        <v>35</v>
      </c>
      <c r="G33" s="12">
        <v>35</v>
      </c>
      <c r="H33" s="12">
        <f>F33-G33</f>
        <v>0</v>
      </c>
      <c r="I33" s="13">
        <f>H33/G33</f>
        <v>0</v>
      </c>
      <c r="J33" s="12">
        <f>H130</f>
        <v>390</v>
      </c>
      <c r="K33" s="12">
        <v>390</v>
      </c>
      <c r="L33" s="12">
        <f t="shared" si="20"/>
        <v>0</v>
      </c>
      <c r="M33" s="13">
        <f t="shared" si="21"/>
        <v>0</v>
      </c>
      <c r="N33" s="12">
        <f>I130</f>
        <v>755</v>
      </c>
      <c r="O33" s="12">
        <v>755</v>
      </c>
      <c r="P33" s="12">
        <f t="shared" si="22"/>
        <v>0</v>
      </c>
      <c r="Q33" s="13">
        <f t="shared" si="23"/>
        <v>0</v>
      </c>
      <c r="R33" s="12">
        <f>J130</f>
        <v>947</v>
      </c>
      <c r="S33" s="12">
        <v>947</v>
      </c>
      <c r="T33" s="12">
        <f t="shared" si="24"/>
        <v>0</v>
      </c>
      <c r="U33" s="13">
        <f t="shared" si="25"/>
        <v>0</v>
      </c>
      <c r="V33" s="12">
        <f>K130</f>
        <v>814</v>
      </c>
      <c r="W33" s="12">
        <v>814</v>
      </c>
      <c r="X33" s="12">
        <f t="shared" si="26"/>
        <v>0</v>
      </c>
      <c r="Y33" s="13">
        <f t="shared" si="27"/>
        <v>0</v>
      </c>
      <c r="Z33" s="12">
        <f>L130</f>
        <v>659</v>
      </c>
      <c r="AA33" s="12">
        <v>659</v>
      </c>
      <c r="AB33" s="12">
        <f t="shared" si="28"/>
        <v>0</v>
      </c>
      <c r="AC33" s="13">
        <f t="shared" ref="AC33:AC35" si="32">AB33/AA33</f>
        <v>0</v>
      </c>
      <c r="AD33" s="12">
        <f>M130</f>
        <v>557</v>
      </c>
      <c r="AE33" s="12">
        <v>557</v>
      </c>
      <c r="AF33" s="12">
        <f t="shared" si="29"/>
        <v>0</v>
      </c>
      <c r="AG33" s="13">
        <f t="shared" ref="AG33:AG35" si="33">AF33/AE33</f>
        <v>0</v>
      </c>
      <c r="AH33" s="12">
        <f>N130</f>
        <v>340</v>
      </c>
      <c r="AI33" s="12">
        <v>340</v>
      </c>
      <c r="AJ33" s="12">
        <f>AH33-AI33</f>
        <v>0</v>
      </c>
      <c r="AK33" s="13">
        <f t="shared" si="11"/>
        <v>0</v>
      </c>
      <c r="AL33" s="12">
        <f>O130</f>
        <v>24</v>
      </c>
      <c r="AM33" s="12">
        <v>24</v>
      </c>
      <c r="AN33" s="12">
        <f>AL33-AM33</f>
        <v>0</v>
      </c>
      <c r="AO33" s="13">
        <f>AN33/AM33</f>
        <v>0</v>
      </c>
      <c r="AP33" s="14">
        <f>AL33+AD33+Z33+V33+R33+N33+J33+F33+AH33</f>
        <v>4521</v>
      </c>
      <c r="AQ33" s="14">
        <f t="shared" si="30"/>
        <v>4521</v>
      </c>
      <c r="AR33" s="14">
        <f t="shared" si="31"/>
        <v>0</v>
      </c>
      <c r="AS33" s="13">
        <f t="shared" si="14"/>
        <v>0</v>
      </c>
      <c r="AT33" s="15" t="s">
        <v>43</v>
      </c>
    </row>
    <row r="34" spans="1:46" s="3" customFormat="1" ht="62.25" customHeight="1" x14ac:dyDescent="0.2">
      <c r="A34" s="123"/>
      <c r="B34" s="124"/>
      <c r="C34" s="125"/>
      <c r="D34" s="64">
        <v>32</v>
      </c>
      <c r="E34" s="65"/>
      <c r="F34" s="12">
        <f>G148</f>
        <v>33</v>
      </c>
      <c r="G34" s="12">
        <v>33</v>
      </c>
      <c r="H34" s="12">
        <f t="shared" si="19"/>
        <v>0</v>
      </c>
      <c r="I34" s="13">
        <f>H34/G34</f>
        <v>0</v>
      </c>
      <c r="J34" s="12">
        <f>H148</f>
        <v>87</v>
      </c>
      <c r="K34" s="12">
        <v>87</v>
      </c>
      <c r="L34" s="12">
        <f t="shared" si="20"/>
        <v>0</v>
      </c>
      <c r="M34" s="13">
        <f t="shared" si="21"/>
        <v>0</v>
      </c>
      <c r="N34" s="12">
        <f>I148</f>
        <v>159</v>
      </c>
      <c r="O34" s="12">
        <v>159</v>
      </c>
      <c r="P34" s="12">
        <f t="shared" si="22"/>
        <v>0</v>
      </c>
      <c r="Q34" s="13">
        <f t="shared" si="23"/>
        <v>0</v>
      </c>
      <c r="R34" s="12">
        <f>J148</f>
        <v>179</v>
      </c>
      <c r="S34" s="12">
        <v>179</v>
      </c>
      <c r="T34" s="12">
        <f t="shared" si="24"/>
        <v>0</v>
      </c>
      <c r="U34" s="13">
        <f t="shared" si="25"/>
        <v>0</v>
      </c>
      <c r="V34" s="12">
        <f>K148</f>
        <v>162</v>
      </c>
      <c r="W34" s="12">
        <v>162</v>
      </c>
      <c r="X34" s="12">
        <f t="shared" si="26"/>
        <v>0</v>
      </c>
      <c r="Y34" s="13">
        <f t="shared" si="27"/>
        <v>0</v>
      </c>
      <c r="Z34" s="12">
        <f>L148</f>
        <v>137</v>
      </c>
      <c r="AA34" s="12">
        <v>137</v>
      </c>
      <c r="AB34" s="12">
        <f t="shared" si="28"/>
        <v>0</v>
      </c>
      <c r="AC34" s="13">
        <f t="shared" si="32"/>
        <v>0</v>
      </c>
      <c r="AD34" s="12">
        <f>M148</f>
        <v>105</v>
      </c>
      <c r="AE34" s="12">
        <v>105</v>
      </c>
      <c r="AF34" s="12">
        <f t="shared" si="29"/>
        <v>0</v>
      </c>
      <c r="AG34" s="13">
        <f t="shared" si="33"/>
        <v>0</v>
      </c>
      <c r="AH34" s="12">
        <f>N148</f>
        <v>76</v>
      </c>
      <c r="AI34" s="12">
        <v>76</v>
      </c>
      <c r="AJ34" s="12">
        <f>AH34-AI34</f>
        <v>0</v>
      </c>
      <c r="AK34" s="13">
        <f t="shared" si="11"/>
        <v>0</v>
      </c>
      <c r="AL34" s="12">
        <f>O148</f>
        <v>1</v>
      </c>
      <c r="AM34" s="12">
        <v>1</v>
      </c>
      <c r="AN34" s="12">
        <f>AL34-AM34</f>
        <v>0</v>
      </c>
      <c r="AO34" s="13">
        <f>AN34/AM34</f>
        <v>0</v>
      </c>
      <c r="AP34" s="14">
        <f>+AL34+AH34+AD34+Z34+V34+R34+N34+J34+F34</f>
        <v>939</v>
      </c>
      <c r="AQ34" s="14">
        <f t="shared" si="30"/>
        <v>939</v>
      </c>
      <c r="AR34" s="14">
        <f t="shared" si="31"/>
        <v>0</v>
      </c>
      <c r="AS34" s="13">
        <f t="shared" si="14"/>
        <v>0</v>
      </c>
      <c r="AT34" s="15" t="s">
        <v>43</v>
      </c>
    </row>
    <row r="35" spans="1:46" s="3" customFormat="1" ht="62.25" customHeight="1" x14ac:dyDescent="0.2">
      <c r="A35" s="95"/>
      <c r="B35" s="113"/>
      <c r="C35" s="96"/>
      <c r="D35" s="64">
        <v>34</v>
      </c>
      <c r="E35" s="65"/>
      <c r="F35" s="12">
        <f>G162</f>
        <v>2</v>
      </c>
      <c r="G35" s="12">
        <v>2</v>
      </c>
      <c r="H35" s="12">
        <f t="shared" si="19"/>
        <v>0</v>
      </c>
      <c r="I35" s="13">
        <v>0</v>
      </c>
      <c r="J35" s="12">
        <f>H162</f>
        <v>15</v>
      </c>
      <c r="K35" s="12">
        <v>15</v>
      </c>
      <c r="L35" s="12">
        <f t="shared" si="20"/>
        <v>0</v>
      </c>
      <c r="M35" s="13">
        <f>L35/K35</f>
        <v>0</v>
      </c>
      <c r="N35" s="12">
        <f>I162</f>
        <v>21</v>
      </c>
      <c r="O35" s="12">
        <v>21</v>
      </c>
      <c r="P35" s="12">
        <f t="shared" si="22"/>
        <v>0</v>
      </c>
      <c r="Q35" s="13">
        <f t="shared" si="23"/>
        <v>0</v>
      </c>
      <c r="R35" s="12">
        <f>J162</f>
        <v>22</v>
      </c>
      <c r="S35" s="12">
        <v>22</v>
      </c>
      <c r="T35" s="12">
        <f t="shared" si="24"/>
        <v>0</v>
      </c>
      <c r="U35" s="13">
        <f t="shared" si="25"/>
        <v>0</v>
      </c>
      <c r="V35" s="12">
        <f>K162</f>
        <v>28</v>
      </c>
      <c r="W35" s="12">
        <v>28</v>
      </c>
      <c r="X35" s="12">
        <f t="shared" si="26"/>
        <v>0</v>
      </c>
      <c r="Y35" s="13">
        <f t="shared" si="27"/>
        <v>0</v>
      </c>
      <c r="Z35" s="12">
        <f>L162</f>
        <v>25</v>
      </c>
      <c r="AA35" s="12">
        <v>25</v>
      </c>
      <c r="AB35" s="12">
        <f t="shared" si="28"/>
        <v>0</v>
      </c>
      <c r="AC35" s="13">
        <f t="shared" si="32"/>
        <v>0</v>
      </c>
      <c r="AD35" s="12">
        <f>M162</f>
        <v>18</v>
      </c>
      <c r="AE35" s="12">
        <v>18</v>
      </c>
      <c r="AF35" s="12">
        <f t="shared" si="29"/>
        <v>0</v>
      </c>
      <c r="AG35" s="13">
        <f t="shared" si="33"/>
        <v>0</v>
      </c>
      <c r="AH35" s="12">
        <f>N162</f>
        <v>8</v>
      </c>
      <c r="AI35" s="12">
        <v>8</v>
      </c>
      <c r="AJ35" s="12">
        <f t="shared" ref="AJ35" si="34">AH35-AI35</f>
        <v>0</v>
      </c>
      <c r="AK35" s="13">
        <f t="shared" si="11"/>
        <v>0</v>
      </c>
      <c r="AL35" s="12">
        <f>O162</f>
        <v>2</v>
      </c>
      <c r="AM35" s="12">
        <v>2</v>
      </c>
      <c r="AN35" s="12">
        <f>AL35-AM35</f>
        <v>0</v>
      </c>
      <c r="AO35" s="13">
        <v>0</v>
      </c>
      <c r="AP35" s="14">
        <f>AL35+AD35+Z35+V35+R35+N35+J35+F35+AH35</f>
        <v>141</v>
      </c>
      <c r="AQ35" s="14">
        <f t="shared" si="30"/>
        <v>141</v>
      </c>
      <c r="AR35" s="14">
        <f t="shared" si="31"/>
        <v>0</v>
      </c>
      <c r="AS35" s="13">
        <f t="shared" si="14"/>
        <v>0</v>
      </c>
      <c r="AT35" s="15" t="s">
        <v>43</v>
      </c>
    </row>
    <row r="36" spans="1:46" s="8" customFormat="1" ht="83.25" customHeight="1" x14ac:dyDescent="0.2">
      <c r="A36" s="98" t="s">
        <v>19</v>
      </c>
      <c r="B36" s="99"/>
      <c r="C36" s="99"/>
      <c r="D36" s="99"/>
      <c r="E36" s="100"/>
      <c r="F36" s="22">
        <f>SUM(F32:F35)</f>
        <v>75</v>
      </c>
      <c r="G36" s="22">
        <f>SUM(G32:G35)</f>
        <v>75</v>
      </c>
      <c r="H36" s="22">
        <f>SUM(H32:H35)</f>
        <v>0</v>
      </c>
      <c r="I36" s="23">
        <f>H36/G36</f>
        <v>0</v>
      </c>
      <c r="J36" s="22">
        <f>SUM(J32:J35)</f>
        <v>613</v>
      </c>
      <c r="K36" s="22">
        <f>SUM(K32:K35)</f>
        <v>613</v>
      </c>
      <c r="L36" s="22">
        <f>SUM(L32:L35)</f>
        <v>0</v>
      </c>
      <c r="M36" s="23">
        <f>L36/K36</f>
        <v>0</v>
      </c>
      <c r="N36" s="22">
        <f>SUM(N32:N35)</f>
        <v>1279</v>
      </c>
      <c r="O36" s="22">
        <f>SUM(O32:O35)</f>
        <v>1279</v>
      </c>
      <c r="P36" s="22">
        <f>SUM(P32:P35)</f>
        <v>0</v>
      </c>
      <c r="Q36" s="23">
        <f>P36/O36</f>
        <v>0</v>
      </c>
      <c r="R36" s="22">
        <f>SUM(R32:R35)</f>
        <v>1579</v>
      </c>
      <c r="S36" s="22">
        <f>SUM(S32:S35)</f>
        <v>1579</v>
      </c>
      <c r="T36" s="22">
        <f>SUM(T32:T35)</f>
        <v>0</v>
      </c>
      <c r="U36" s="23">
        <f>T36/S36</f>
        <v>0</v>
      </c>
      <c r="V36" s="22">
        <f>SUM(V32:V35)</f>
        <v>1553</v>
      </c>
      <c r="W36" s="22">
        <f>SUM(W32:W35)</f>
        <v>1553</v>
      </c>
      <c r="X36" s="22">
        <f>SUM(X32:X35)</f>
        <v>0</v>
      </c>
      <c r="Y36" s="23">
        <f>X36/W36</f>
        <v>0</v>
      </c>
      <c r="Z36" s="22">
        <f>SUM(Z32:Z35)</f>
        <v>1195</v>
      </c>
      <c r="AA36" s="22">
        <f>SUM(AA32:AA35)</f>
        <v>1195</v>
      </c>
      <c r="AB36" s="22">
        <f>SUM(AB32:AB35)</f>
        <v>0</v>
      </c>
      <c r="AC36" s="23">
        <f>AB36/AA36</f>
        <v>0</v>
      </c>
      <c r="AD36" s="22">
        <f>SUM(AD32:AD35)</f>
        <v>962</v>
      </c>
      <c r="AE36" s="22">
        <f>SUM(AE32:AE35)</f>
        <v>962</v>
      </c>
      <c r="AF36" s="22">
        <f>SUM(AF32:AF35)</f>
        <v>0</v>
      </c>
      <c r="AG36" s="23">
        <f>AF36/AE36</f>
        <v>0</v>
      </c>
      <c r="AH36" s="22">
        <f>SUM(AH32:AH35)</f>
        <v>509</v>
      </c>
      <c r="AI36" s="22">
        <f>SUM(AI32:AI35)</f>
        <v>509</v>
      </c>
      <c r="AJ36" s="22">
        <f>SUM(AJ32:AJ35)</f>
        <v>0</v>
      </c>
      <c r="AK36" s="24">
        <f t="shared" si="11"/>
        <v>0</v>
      </c>
      <c r="AL36" s="22">
        <f>SUM(AL32:AL35)</f>
        <v>27</v>
      </c>
      <c r="AM36" s="22">
        <f>SUM(AM32:AM35)</f>
        <v>27</v>
      </c>
      <c r="AN36" s="22">
        <f>SUM(AN32:AN35)</f>
        <v>0</v>
      </c>
      <c r="AO36" s="24">
        <f>AN36/AM36</f>
        <v>0</v>
      </c>
      <c r="AP36" s="22">
        <f>SUM(AP32:AP35)</f>
        <v>7792</v>
      </c>
      <c r="AQ36" s="22">
        <f>SUM(AQ32:AQ35)</f>
        <v>7792</v>
      </c>
      <c r="AR36" s="22">
        <f>SUM(AR32:AR35)</f>
        <v>0</v>
      </c>
      <c r="AS36" s="24">
        <f t="shared" si="14"/>
        <v>0</v>
      </c>
      <c r="AT36" s="22"/>
    </row>
    <row r="37" spans="1:46" s="7" customFormat="1" ht="83.25" customHeight="1" x14ac:dyDescent="0.2">
      <c r="A37" s="129" t="s">
        <v>75</v>
      </c>
      <c r="B37" s="130"/>
      <c r="C37" s="130"/>
      <c r="D37" s="130"/>
      <c r="E37" s="131"/>
      <c r="F37" s="25">
        <f>F36+F31</f>
        <v>121</v>
      </c>
      <c r="G37" s="25">
        <f t="shared" ref="G37" si="35">G36+G31</f>
        <v>121</v>
      </c>
      <c r="H37" s="25">
        <f>H36+H31</f>
        <v>0</v>
      </c>
      <c r="I37" s="26">
        <f>H37/G37</f>
        <v>0</v>
      </c>
      <c r="J37" s="25">
        <f>J36+J31</f>
        <v>792</v>
      </c>
      <c r="K37" s="25">
        <f t="shared" ref="K37:L37" si="36">K36+K31</f>
        <v>792</v>
      </c>
      <c r="L37" s="25">
        <f t="shared" si="36"/>
        <v>0</v>
      </c>
      <c r="M37" s="26">
        <f>L37/K37</f>
        <v>0</v>
      </c>
      <c r="N37" s="25">
        <f>N36+N31</f>
        <v>1563</v>
      </c>
      <c r="O37" s="25">
        <f t="shared" ref="O37:P37" si="37">O36+O31</f>
        <v>1563</v>
      </c>
      <c r="P37" s="25">
        <f t="shared" si="37"/>
        <v>0</v>
      </c>
      <c r="Q37" s="26">
        <f>P37/O37</f>
        <v>0</v>
      </c>
      <c r="R37" s="25">
        <f>R36+R31</f>
        <v>1950</v>
      </c>
      <c r="S37" s="25">
        <f t="shared" ref="S37:T37" si="38">S36+S31</f>
        <v>1950</v>
      </c>
      <c r="T37" s="25">
        <f t="shared" si="38"/>
        <v>0</v>
      </c>
      <c r="U37" s="26">
        <f>T37/S37</f>
        <v>0</v>
      </c>
      <c r="V37" s="25">
        <f>V36+V31</f>
        <v>1884</v>
      </c>
      <c r="W37" s="25">
        <f t="shared" ref="W37:X37" si="39">W36+W31</f>
        <v>1884</v>
      </c>
      <c r="X37" s="25">
        <f t="shared" si="39"/>
        <v>0</v>
      </c>
      <c r="Y37" s="26">
        <f>X37/W37</f>
        <v>0</v>
      </c>
      <c r="Z37" s="25">
        <f>Z36+Z31</f>
        <v>1455</v>
      </c>
      <c r="AA37" s="25">
        <f t="shared" ref="AA37:AB37" si="40">AA36+AA31</f>
        <v>1455</v>
      </c>
      <c r="AB37" s="25">
        <f t="shared" si="40"/>
        <v>0</v>
      </c>
      <c r="AC37" s="26">
        <f>AB37/AA37</f>
        <v>0</v>
      </c>
      <c r="AD37" s="25">
        <f>AD36+AD31</f>
        <v>1167</v>
      </c>
      <c r="AE37" s="25">
        <f t="shared" ref="AE37:AF37" si="41">AE36+AE31</f>
        <v>1167</v>
      </c>
      <c r="AF37" s="25">
        <f t="shared" si="41"/>
        <v>0</v>
      </c>
      <c r="AG37" s="26">
        <f>AF37/AE37</f>
        <v>0</v>
      </c>
      <c r="AH37" s="25">
        <f>AH36+AH31</f>
        <v>607</v>
      </c>
      <c r="AI37" s="25">
        <f t="shared" ref="AI37:AJ37" si="42">AI36+AI31</f>
        <v>607</v>
      </c>
      <c r="AJ37" s="25">
        <f t="shared" si="42"/>
        <v>0</v>
      </c>
      <c r="AK37" s="27">
        <f t="shared" si="11"/>
        <v>0</v>
      </c>
      <c r="AL37" s="25">
        <f>AL36+AL31</f>
        <v>39</v>
      </c>
      <c r="AM37" s="25">
        <f t="shared" ref="AM37" si="43">AM36+AM31</f>
        <v>39</v>
      </c>
      <c r="AN37" s="25">
        <f>AN36+AN31</f>
        <v>0</v>
      </c>
      <c r="AO37" s="27">
        <f>AN37/AM37</f>
        <v>0</v>
      </c>
      <c r="AP37" s="25">
        <f>AP36+AP31</f>
        <v>9578</v>
      </c>
      <c r="AQ37" s="25">
        <f t="shared" ref="AQ37:AR37" si="44">AQ36+AQ31</f>
        <v>9578</v>
      </c>
      <c r="AR37" s="25">
        <f t="shared" si="44"/>
        <v>0</v>
      </c>
      <c r="AS37" s="27">
        <f t="shared" si="14"/>
        <v>0</v>
      </c>
      <c r="AT37" s="25"/>
    </row>
    <row r="38" spans="1:46" s="3" customFormat="1" ht="24" customHeight="1" x14ac:dyDescent="0.2">
      <c r="A38" s="4"/>
      <c r="B38" s="4"/>
      <c r="C38" s="4"/>
      <c r="D38" s="4"/>
      <c r="E38" s="4"/>
      <c r="F38" s="5"/>
      <c r="G38" s="5"/>
      <c r="H38" s="5"/>
      <c r="I38" s="6"/>
      <c r="J38" s="5"/>
      <c r="K38" s="5"/>
      <c r="L38" s="5"/>
      <c r="M38" s="6"/>
      <c r="N38" s="5"/>
      <c r="O38" s="5"/>
      <c r="P38" s="5"/>
      <c r="Q38" s="6"/>
      <c r="R38" s="5"/>
      <c r="S38" s="5"/>
      <c r="T38" s="5"/>
      <c r="U38" s="6"/>
      <c r="V38" s="5"/>
      <c r="W38" s="5"/>
      <c r="X38" s="5"/>
      <c r="Y38" s="6"/>
      <c r="Z38" s="5"/>
      <c r="AA38" s="5"/>
      <c r="AB38" s="5"/>
      <c r="AC38" s="6"/>
      <c r="AD38" s="5"/>
      <c r="AE38" s="5"/>
      <c r="AF38" s="5"/>
      <c r="AG38" s="6"/>
      <c r="AH38" s="5"/>
      <c r="AI38" s="5"/>
      <c r="AJ38" s="5"/>
      <c r="AK38" s="6"/>
      <c r="AL38" s="5"/>
      <c r="AM38" s="5"/>
      <c r="AN38" s="5"/>
      <c r="AO38" s="6"/>
      <c r="AP38" s="5"/>
      <c r="AQ38" s="5"/>
      <c r="AR38" s="5"/>
      <c r="AS38" s="6"/>
      <c r="AT38" s="5"/>
    </row>
    <row r="39" spans="1:46" ht="60" customHeight="1" x14ac:dyDescent="0.7">
      <c r="A39" s="101" t="s">
        <v>39</v>
      </c>
      <c r="B39" s="102"/>
      <c r="C39" s="103"/>
      <c r="D39" s="12" t="s">
        <v>28</v>
      </c>
      <c r="E39" s="45" t="s">
        <v>37</v>
      </c>
      <c r="F39" s="46" t="s">
        <v>37</v>
      </c>
      <c r="G39" s="110" t="s">
        <v>3</v>
      </c>
      <c r="H39" s="111"/>
      <c r="I39" s="111"/>
      <c r="J39" s="111"/>
      <c r="K39" s="111"/>
      <c r="L39" s="111"/>
      <c r="M39" s="111"/>
      <c r="N39" s="111"/>
      <c r="O39" s="112"/>
      <c r="P39" s="118" t="s">
        <v>40</v>
      </c>
      <c r="Q39" s="126" t="s">
        <v>67</v>
      </c>
      <c r="R39" s="118" t="s">
        <v>29</v>
      </c>
      <c r="S39" s="118" t="s">
        <v>30</v>
      </c>
      <c r="T39" s="78" t="s">
        <v>62</v>
      </c>
      <c r="U39" s="79"/>
      <c r="V39" s="80"/>
      <c r="W39" s="29"/>
      <c r="X39" s="29"/>
    </row>
    <row r="40" spans="1:46" ht="44.25" customHeight="1" x14ac:dyDescent="0.7">
      <c r="A40" s="104"/>
      <c r="B40" s="105"/>
      <c r="C40" s="106"/>
      <c r="D40" s="47"/>
      <c r="E40" s="45" t="s">
        <v>36</v>
      </c>
      <c r="F40" s="48" t="s">
        <v>38</v>
      </c>
      <c r="G40" s="95"/>
      <c r="H40" s="113"/>
      <c r="I40" s="113"/>
      <c r="J40" s="113"/>
      <c r="K40" s="113"/>
      <c r="L40" s="113"/>
      <c r="M40" s="113"/>
      <c r="N40" s="113"/>
      <c r="O40" s="96"/>
      <c r="P40" s="119"/>
      <c r="Q40" s="127"/>
      <c r="R40" s="119"/>
      <c r="S40" s="119"/>
      <c r="T40" s="81"/>
      <c r="U40" s="82"/>
      <c r="V40" s="83"/>
      <c r="W40" s="29"/>
      <c r="X40" s="29"/>
      <c r="Z40" s="1" t="s">
        <v>55</v>
      </c>
    </row>
    <row r="41" spans="1:46" ht="44.25" customHeight="1" x14ac:dyDescent="0.7">
      <c r="A41" s="107"/>
      <c r="B41" s="108"/>
      <c r="C41" s="109"/>
      <c r="D41" s="47"/>
      <c r="E41" s="45"/>
      <c r="F41" s="47"/>
      <c r="G41" s="50">
        <f>F25</f>
        <v>32</v>
      </c>
      <c r="H41" s="50">
        <f>J25</f>
        <v>34</v>
      </c>
      <c r="I41" s="50">
        <f>N25</f>
        <v>36</v>
      </c>
      <c r="J41" s="50">
        <f>R25</f>
        <v>38</v>
      </c>
      <c r="K41" s="50">
        <f>V25</f>
        <v>40</v>
      </c>
      <c r="L41" s="50">
        <f>Z25</f>
        <v>42</v>
      </c>
      <c r="M41" s="50">
        <f>AD25</f>
        <v>44</v>
      </c>
      <c r="N41" s="50">
        <v>46</v>
      </c>
      <c r="O41" s="50">
        <v>48</v>
      </c>
      <c r="P41" s="120"/>
      <c r="Q41" s="128"/>
      <c r="R41" s="120"/>
      <c r="S41" s="120"/>
      <c r="T41" s="84"/>
      <c r="U41" s="85"/>
      <c r="V41" s="86"/>
      <c r="W41" s="29"/>
      <c r="X41" s="29"/>
    </row>
    <row r="42" spans="1:46" ht="45" customHeight="1" x14ac:dyDescent="0.7">
      <c r="A42" s="51">
        <v>1</v>
      </c>
      <c r="B42" s="11" t="s">
        <v>60</v>
      </c>
      <c r="C42" s="52">
        <f t="shared" ref="C42" si="45">A42-1+D42</f>
        <v>1</v>
      </c>
      <c r="D42" s="12">
        <v>1</v>
      </c>
      <c r="E42" s="45"/>
      <c r="F42" s="133" t="s">
        <v>79</v>
      </c>
      <c r="G42" s="12">
        <v>11</v>
      </c>
      <c r="H42" s="12"/>
      <c r="I42" s="12"/>
      <c r="J42" s="12"/>
      <c r="K42" s="12"/>
      <c r="L42" s="12"/>
      <c r="M42" s="12"/>
      <c r="N42" s="12"/>
      <c r="O42" s="12"/>
      <c r="P42" s="12">
        <f t="shared" ref="P42" si="46">SUM(G42:O42)*D42</f>
        <v>11</v>
      </c>
      <c r="Q42" s="53">
        <v>5.2</v>
      </c>
      <c r="R42" s="53">
        <f t="shared" ref="R42" si="47">Q42*D42</f>
        <v>5.2</v>
      </c>
      <c r="S42" s="53">
        <f t="shared" ref="S42" si="48">R42-1.2*D42</f>
        <v>4</v>
      </c>
      <c r="T42" s="63" t="s">
        <v>66</v>
      </c>
      <c r="U42" s="64"/>
      <c r="V42" s="65"/>
      <c r="W42" s="29"/>
      <c r="X42" s="29"/>
    </row>
    <row r="43" spans="1:46" ht="45" customHeight="1" x14ac:dyDescent="0.7">
      <c r="A43" s="51">
        <f>C42+1</f>
        <v>2</v>
      </c>
      <c r="B43" s="11" t="s">
        <v>60</v>
      </c>
      <c r="C43" s="52">
        <f t="shared" ref="C43:C44" si="49">A43-1+D43</f>
        <v>2</v>
      </c>
      <c r="D43" s="12">
        <v>1</v>
      </c>
      <c r="E43" s="45"/>
      <c r="F43" s="74"/>
      <c r="G43" s="12"/>
      <c r="H43" s="12">
        <v>17</v>
      </c>
      <c r="I43" s="12"/>
      <c r="J43" s="12"/>
      <c r="K43" s="12"/>
      <c r="L43" s="12"/>
      <c r="M43" s="12"/>
      <c r="N43" s="12"/>
      <c r="O43" s="12"/>
      <c r="P43" s="12">
        <f t="shared" ref="P43:P44" si="50">SUM(G43:O43)*D43</f>
        <v>17</v>
      </c>
      <c r="Q43" s="53">
        <v>5.2</v>
      </c>
      <c r="R43" s="53">
        <f t="shared" ref="R43:R44" si="51">Q43*D43</f>
        <v>5.2</v>
      </c>
      <c r="S43" s="53">
        <f t="shared" ref="S43:S44" si="52">R43-1.2*D43</f>
        <v>4</v>
      </c>
      <c r="T43" s="63" t="s">
        <v>66</v>
      </c>
      <c r="U43" s="64"/>
      <c r="V43" s="65"/>
      <c r="W43" s="29"/>
      <c r="X43" s="29"/>
    </row>
    <row r="44" spans="1:46" ht="45" customHeight="1" x14ac:dyDescent="0.7">
      <c r="A44" s="51">
        <f>C43+1</f>
        <v>3</v>
      </c>
      <c r="B44" s="11" t="s">
        <v>60</v>
      </c>
      <c r="C44" s="52">
        <f t="shared" si="49"/>
        <v>3</v>
      </c>
      <c r="D44" s="12">
        <v>1</v>
      </c>
      <c r="E44" s="45"/>
      <c r="F44" s="74"/>
      <c r="G44" s="12"/>
      <c r="H44" s="12"/>
      <c r="I44" s="12">
        <v>20</v>
      </c>
      <c r="J44" s="12"/>
      <c r="K44" s="12"/>
      <c r="L44" s="12"/>
      <c r="M44" s="12"/>
      <c r="N44" s="12"/>
      <c r="O44" s="12"/>
      <c r="P44" s="12">
        <f t="shared" si="50"/>
        <v>20</v>
      </c>
      <c r="Q44" s="53">
        <v>9.1999999999999993</v>
      </c>
      <c r="R44" s="53">
        <f t="shared" si="51"/>
        <v>9.1999999999999993</v>
      </c>
      <c r="S44" s="53">
        <f t="shared" si="52"/>
        <v>7.9999999999999991</v>
      </c>
      <c r="T44" s="63" t="s">
        <v>66</v>
      </c>
      <c r="U44" s="64"/>
      <c r="V44" s="65"/>
      <c r="W44" s="29"/>
      <c r="X44" s="29"/>
    </row>
    <row r="45" spans="1:46" ht="45" customHeight="1" x14ac:dyDescent="0.7">
      <c r="A45" s="51">
        <f t="shared" ref="A45:A51" si="53">C44+1</f>
        <v>4</v>
      </c>
      <c r="B45" s="11" t="s">
        <v>60</v>
      </c>
      <c r="C45" s="52">
        <f t="shared" ref="C45:C51" si="54">A45-1+D45</f>
        <v>4</v>
      </c>
      <c r="D45" s="12">
        <v>1</v>
      </c>
      <c r="E45" s="45"/>
      <c r="F45" s="74"/>
      <c r="G45" s="12"/>
      <c r="H45" s="12"/>
      <c r="I45" s="12">
        <v>1</v>
      </c>
      <c r="J45" s="12"/>
      <c r="K45" s="12"/>
      <c r="L45" s="12"/>
      <c r="M45" s="12"/>
      <c r="N45" s="12"/>
      <c r="O45" s="12"/>
      <c r="P45" s="12">
        <f t="shared" ref="P45:P46" si="55">SUM(G45:O45)*D45</f>
        <v>1</v>
      </c>
      <c r="Q45" s="53">
        <v>9.1999999999999993</v>
      </c>
      <c r="R45" s="53">
        <f t="shared" ref="R45:R51" si="56">Q45*D45</f>
        <v>9.1999999999999993</v>
      </c>
      <c r="S45" s="53">
        <f t="shared" ref="S45:S46" si="57">R45-1.2*D45</f>
        <v>7.9999999999999991</v>
      </c>
      <c r="T45" s="63" t="s">
        <v>66</v>
      </c>
      <c r="U45" s="64"/>
      <c r="V45" s="65"/>
      <c r="W45" s="29"/>
      <c r="X45" s="29"/>
    </row>
    <row r="46" spans="1:46" ht="45" customHeight="1" x14ac:dyDescent="0.7">
      <c r="A46" s="51">
        <f t="shared" si="53"/>
        <v>5</v>
      </c>
      <c r="B46" s="11" t="s">
        <v>60</v>
      </c>
      <c r="C46" s="52">
        <f t="shared" si="54"/>
        <v>5</v>
      </c>
      <c r="D46" s="12">
        <v>1</v>
      </c>
      <c r="E46" s="45"/>
      <c r="F46" s="74"/>
      <c r="G46" s="12"/>
      <c r="H46" s="12"/>
      <c r="I46" s="12"/>
      <c r="J46" s="12">
        <v>20</v>
      </c>
      <c r="K46" s="12"/>
      <c r="L46" s="12"/>
      <c r="M46" s="12"/>
      <c r="N46" s="12"/>
      <c r="O46" s="12"/>
      <c r="P46" s="12">
        <f t="shared" si="55"/>
        <v>20</v>
      </c>
      <c r="Q46" s="53">
        <v>9.6999999999999993</v>
      </c>
      <c r="R46" s="53">
        <f t="shared" si="56"/>
        <v>9.6999999999999993</v>
      </c>
      <c r="S46" s="53">
        <f t="shared" si="57"/>
        <v>8.5</v>
      </c>
      <c r="T46" s="63" t="s">
        <v>66</v>
      </c>
      <c r="U46" s="64"/>
      <c r="V46" s="65"/>
      <c r="W46" s="29"/>
      <c r="X46" s="29"/>
    </row>
    <row r="47" spans="1:46" ht="45" customHeight="1" x14ac:dyDescent="0.7">
      <c r="A47" s="51">
        <f t="shared" si="53"/>
        <v>6</v>
      </c>
      <c r="B47" s="11" t="s">
        <v>60</v>
      </c>
      <c r="C47" s="52">
        <f t="shared" si="54"/>
        <v>6</v>
      </c>
      <c r="D47" s="12">
        <v>1</v>
      </c>
      <c r="E47" s="45"/>
      <c r="F47" s="74"/>
      <c r="G47" s="12"/>
      <c r="H47" s="12"/>
      <c r="I47" s="12"/>
      <c r="J47" s="12">
        <v>2</v>
      </c>
      <c r="K47" s="12"/>
      <c r="L47" s="12"/>
      <c r="M47" s="12"/>
      <c r="N47" s="12"/>
      <c r="O47" s="12"/>
      <c r="P47" s="12">
        <f t="shared" ref="P47" si="58">SUM(G47:O47)*D47</f>
        <v>2</v>
      </c>
      <c r="Q47" s="53">
        <v>9.6999999999999993</v>
      </c>
      <c r="R47" s="53">
        <f t="shared" ref="R47" si="59">Q47*D47</f>
        <v>9.6999999999999993</v>
      </c>
      <c r="S47" s="53">
        <f t="shared" ref="S47:S50" si="60">R47-1.2*D47</f>
        <v>8.5</v>
      </c>
      <c r="T47" s="63" t="s">
        <v>66</v>
      </c>
      <c r="U47" s="64"/>
      <c r="V47" s="65"/>
      <c r="W47" s="29"/>
      <c r="X47" s="29"/>
    </row>
    <row r="48" spans="1:46" ht="45" customHeight="1" x14ac:dyDescent="0.7">
      <c r="A48" s="51">
        <f t="shared" si="53"/>
        <v>7</v>
      </c>
      <c r="B48" s="11" t="s">
        <v>60</v>
      </c>
      <c r="C48" s="52">
        <f t="shared" si="54"/>
        <v>7</v>
      </c>
      <c r="D48" s="12">
        <v>1</v>
      </c>
      <c r="E48" s="45"/>
      <c r="F48" s="74"/>
      <c r="G48" s="12"/>
      <c r="H48" s="12"/>
      <c r="I48" s="12"/>
      <c r="J48" s="12"/>
      <c r="K48" s="12">
        <v>19</v>
      </c>
      <c r="L48" s="12"/>
      <c r="M48" s="12"/>
      <c r="N48" s="12"/>
      <c r="O48" s="12"/>
      <c r="P48" s="12">
        <f t="shared" ref="P48" si="61">SUM(G48:O48)*D48</f>
        <v>19</v>
      </c>
      <c r="Q48" s="53">
        <v>10.199999999999999</v>
      </c>
      <c r="R48" s="53">
        <f t="shared" si="56"/>
        <v>10.199999999999999</v>
      </c>
      <c r="S48" s="53">
        <f t="shared" si="60"/>
        <v>9</v>
      </c>
      <c r="T48" s="63" t="s">
        <v>66</v>
      </c>
      <c r="U48" s="64"/>
      <c r="V48" s="65"/>
      <c r="W48" s="29"/>
      <c r="X48" s="29"/>
    </row>
    <row r="49" spans="1:24" ht="45" customHeight="1" x14ac:dyDescent="0.7">
      <c r="A49" s="51">
        <f t="shared" si="53"/>
        <v>8</v>
      </c>
      <c r="B49" s="11" t="s">
        <v>60</v>
      </c>
      <c r="C49" s="52">
        <f t="shared" si="54"/>
        <v>8</v>
      </c>
      <c r="D49" s="12">
        <v>1</v>
      </c>
      <c r="E49" s="45"/>
      <c r="F49" s="74"/>
      <c r="G49" s="12"/>
      <c r="H49" s="12"/>
      <c r="I49" s="12"/>
      <c r="J49" s="12"/>
      <c r="K49" s="12"/>
      <c r="L49" s="12">
        <v>17</v>
      </c>
      <c r="M49" s="12"/>
      <c r="N49" s="12"/>
      <c r="O49" s="12"/>
      <c r="P49" s="12">
        <f t="shared" ref="P49" si="62">SUM(G49:O49)*D49</f>
        <v>17</v>
      </c>
      <c r="Q49" s="53">
        <v>10.45</v>
      </c>
      <c r="R49" s="53">
        <f t="shared" ref="R49" si="63">Q49*D49</f>
        <v>10.45</v>
      </c>
      <c r="S49" s="53">
        <f t="shared" si="60"/>
        <v>9.25</v>
      </c>
      <c r="T49" s="63" t="s">
        <v>66</v>
      </c>
      <c r="U49" s="64"/>
      <c r="V49" s="65"/>
      <c r="W49" s="29"/>
      <c r="X49" s="29"/>
    </row>
    <row r="50" spans="1:24" ht="45" customHeight="1" x14ac:dyDescent="0.7">
      <c r="A50" s="51">
        <f t="shared" si="53"/>
        <v>9</v>
      </c>
      <c r="B50" s="11" t="s">
        <v>60</v>
      </c>
      <c r="C50" s="52">
        <f t="shared" si="54"/>
        <v>9</v>
      </c>
      <c r="D50" s="12">
        <v>1</v>
      </c>
      <c r="E50" s="45"/>
      <c r="F50" s="74"/>
      <c r="G50" s="12"/>
      <c r="H50" s="12"/>
      <c r="I50" s="12"/>
      <c r="J50" s="12"/>
      <c r="K50" s="12"/>
      <c r="L50" s="12"/>
      <c r="M50" s="12">
        <v>13</v>
      </c>
      <c r="N50" s="12"/>
      <c r="O50" s="12"/>
      <c r="P50" s="12">
        <f t="shared" ref="P50:P51" si="64">SUM(G50:O50)*D50</f>
        <v>13</v>
      </c>
      <c r="Q50" s="53">
        <v>10.9</v>
      </c>
      <c r="R50" s="53">
        <f t="shared" si="56"/>
        <v>10.9</v>
      </c>
      <c r="S50" s="53">
        <f t="shared" si="60"/>
        <v>9.7000000000000011</v>
      </c>
      <c r="T50" s="63" t="s">
        <v>66</v>
      </c>
      <c r="U50" s="64"/>
      <c r="V50" s="65"/>
      <c r="W50" s="29"/>
      <c r="X50" s="29"/>
    </row>
    <row r="51" spans="1:24" ht="45" customHeight="1" thickBot="1" x14ac:dyDescent="0.75">
      <c r="A51" s="51">
        <f t="shared" si="53"/>
        <v>10</v>
      </c>
      <c r="B51" s="11" t="s">
        <v>60</v>
      </c>
      <c r="C51" s="52">
        <f t="shared" si="54"/>
        <v>10</v>
      </c>
      <c r="D51" s="12">
        <v>1</v>
      </c>
      <c r="E51" s="45"/>
      <c r="F51" s="134"/>
      <c r="G51" s="12"/>
      <c r="H51" s="12"/>
      <c r="I51" s="12"/>
      <c r="J51" s="12"/>
      <c r="K51" s="12"/>
      <c r="L51" s="12"/>
      <c r="M51" s="12"/>
      <c r="N51" s="12">
        <v>4</v>
      </c>
      <c r="O51" s="12"/>
      <c r="P51" s="12">
        <f t="shared" si="64"/>
        <v>4</v>
      </c>
      <c r="Q51" s="53">
        <v>11.25</v>
      </c>
      <c r="R51" s="53">
        <f t="shared" si="56"/>
        <v>11.25</v>
      </c>
      <c r="S51" s="53">
        <f t="shared" ref="S51" si="65">R51-1.2*D51</f>
        <v>10.050000000000001</v>
      </c>
      <c r="T51" s="63" t="s">
        <v>66</v>
      </c>
      <c r="U51" s="64"/>
      <c r="V51" s="65"/>
      <c r="W51" s="29"/>
      <c r="X51" s="29"/>
    </row>
    <row r="52" spans="1:24" ht="45" customHeight="1" thickBot="1" x14ac:dyDescent="0.75">
      <c r="A52" s="68" t="s">
        <v>19</v>
      </c>
      <c r="B52" s="69"/>
      <c r="C52" s="70"/>
      <c r="D52" s="54">
        <f>SUM(D42:D51)</f>
        <v>10</v>
      </c>
      <c r="E52" s="54"/>
      <c r="F52" s="54"/>
      <c r="G52" s="54">
        <f>P42</f>
        <v>11</v>
      </c>
      <c r="H52" s="54">
        <f>P43</f>
        <v>17</v>
      </c>
      <c r="I52" s="54">
        <f>P44+P45</f>
        <v>21</v>
      </c>
      <c r="J52" s="54">
        <f>P46+P47</f>
        <v>22</v>
      </c>
      <c r="K52" s="54">
        <f>P48</f>
        <v>19</v>
      </c>
      <c r="L52" s="54">
        <f>P49</f>
        <v>17</v>
      </c>
      <c r="M52" s="54">
        <f>P50</f>
        <v>13</v>
      </c>
      <c r="N52" s="54">
        <f>N51</f>
        <v>4</v>
      </c>
      <c r="O52" s="54">
        <v>0</v>
      </c>
      <c r="P52" s="55">
        <f>SUM(P42:P51)</f>
        <v>124</v>
      </c>
      <c r="Q52" s="56">
        <f>SUM(Q42:Q51)</f>
        <v>91.000000000000014</v>
      </c>
      <c r="R52" s="56">
        <f t="shared" ref="R52:S52" si="66">SUM(R42:R51)</f>
        <v>91.000000000000014</v>
      </c>
      <c r="S52" s="56">
        <f t="shared" si="66"/>
        <v>79</v>
      </c>
      <c r="T52" s="69"/>
      <c r="U52" s="69"/>
      <c r="V52" s="76"/>
      <c r="W52" s="29"/>
      <c r="X52" s="29"/>
    </row>
    <row r="53" spans="1:24" ht="45" customHeight="1" x14ac:dyDescent="0.7">
      <c r="A53" s="51">
        <f>C51+1</f>
        <v>11</v>
      </c>
      <c r="B53" s="11" t="s">
        <v>60</v>
      </c>
      <c r="C53" s="58">
        <f>A53-1+D53</f>
        <v>11</v>
      </c>
      <c r="D53" s="12">
        <v>1</v>
      </c>
      <c r="E53" s="45"/>
      <c r="F53" s="135" t="s">
        <v>80</v>
      </c>
      <c r="G53" s="12">
        <v>20</v>
      </c>
      <c r="H53" s="12"/>
      <c r="I53" s="12"/>
      <c r="J53" s="12"/>
      <c r="K53" s="12"/>
      <c r="L53" s="12"/>
      <c r="M53" s="12"/>
      <c r="N53" s="12"/>
      <c r="O53" s="12"/>
      <c r="P53" s="12">
        <f t="shared" ref="P53" si="67">SUM(G53:O53)*D53</f>
        <v>20</v>
      </c>
      <c r="Q53" s="53">
        <v>9.35</v>
      </c>
      <c r="R53" s="53">
        <f t="shared" ref="R53" si="68">Q53*D53</f>
        <v>9.35</v>
      </c>
      <c r="S53" s="53">
        <f t="shared" ref="S53" si="69">R53-1.2*D53</f>
        <v>8.15</v>
      </c>
      <c r="T53" s="63" t="s">
        <v>66</v>
      </c>
      <c r="U53" s="64"/>
      <c r="V53" s="65"/>
      <c r="W53" s="29"/>
      <c r="X53" s="29"/>
    </row>
    <row r="54" spans="1:24" ht="45" customHeight="1" x14ac:dyDescent="0.7">
      <c r="A54" s="51">
        <f>C53+1</f>
        <v>12</v>
      </c>
      <c r="B54" s="11" t="s">
        <v>60</v>
      </c>
      <c r="C54" s="58">
        <f>A54-1+D54</f>
        <v>12</v>
      </c>
      <c r="D54" s="12">
        <v>1</v>
      </c>
      <c r="E54" s="45"/>
      <c r="F54" s="74"/>
      <c r="G54" s="12">
        <v>2</v>
      </c>
      <c r="H54" s="12"/>
      <c r="I54" s="12"/>
      <c r="J54" s="12"/>
      <c r="K54" s="12"/>
      <c r="L54" s="12"/>
      <c r="M54" s="12"/>
      <c r="N54" s="12"/>
      <c r="O54" s="12"/>
      <c r="P54" s="12">
        <f t="shared" ref="P54:P55" si="70">SUM(G54:O54)*D54</f>
        <v>2</v>
      </c>
      <c r="Q54" s="53">
        <v>9.35</v>
      </c>
      <c r="R54" s="53">
        <f t="shared" ref="R54:R55" si="71">Q54*D54</f>
        <v>9.35</v>
      </c>
      <c r="S54" s="53">
        <f t="shared" ref="S54:S55" si="72">R54-1.2*D54</f>
        <v>8.15</v>
      </c>
      <c r="T54" s="63" t="s">
        <v>66</v>
      </c>
      <c r="U54" s="64"/>
      <c r="V54" s="65"/>
      <c r="W54" s="29"/>
      <c r="X54" s="29"/>
    </row>
    <row r="55" spans="1:24" ht="45" customHeight="1" x14ac:dyDescent="0.7">
      <c r="A55" s="51">
        <f>C54+1</f>
        <v>13</v>
      </c>
      <c r="B55" s="11" t="s">
        <v>60</v>
      </c>
      <c r="C55" s="58">
        <f>A55-1+D55</f>
        <v>17</v>
      </c>
      <c r="D55" s="12">
        <v>5</v>
      </c>
      <c r="E55" s="45"/>
      <c r="F55" s="74"/>
      <c r="G55" s="12"/>
      <c r="H55" s="12">
        <v>20</v>
      </c>
      <c r="I55" s="12"/>
      <c r="J55" s="12"/>
      <c r="K55" s="12"/>
      <c r="L55" s="12"/>
      <c r="M55" s="12"/>
      <c r="N55" s="12"/>
      <c r="O55" s="12"/>
      <c r="P55" s="12">
        <f t="shared" si="70"/>
        <v>100</v>
      </c>
      <c r="Q55" s="53">
        <v>9.35</v>
      </c>
      <c r="R55" s="53">
        <f t="shared" si="71"/>
        <v>46.75</v>
      </c>
      <c r="S55" s="53">
        <f t="shared" si="72"/>
        <v>40.75</v>
      </c>
      <c r="T55" s="63" t="s">
        <v>66</v>
      </c>
      <c r="U55" s="64"/>
      <c r="V55" s="65"/>
      <c r="W55" s="29"/>
      <c r="X55" s="29"/>
    </row>
    <row r="56" spans="1:24" ht="45" customHeight="1" x14ac:dyDescent="0.7">
      <c r="A56" s="51">
        <f t="shared" ref="A56:A69" si="73">C55+1</f>
        <v>18</v>
      </c>
      <c r="B56" s="11" t="s">
        <v>60</v>
      </c>
      <c r="C56" s="58">
        <f t="shared" ref="C56:C69" si="74">A56-1+D56</f>
        <v>18</v>
      </c>
      <c r="D56" s="12">
        <v>1</v>
      </c>
      <c r="E56" s="45"/>
      <c r="F56" s="74"/>
      <c r="G56" s="12"/>
      <c r="H56" s="12">
        <v>10</v>
      </c>
      <c r="I56" s="12"/>
      <c r="J56" s="12"/>
      <c r="K56" s="12"/>
      <c r="L56" s="12"/>
      <c r="M56" s="12"/>
      <c r="N56" s="12"/>
      <c r="O56" s="12"/>
      <c r="P56" s="12">
        <f t="shared" ref="P56" si="75">SUM(G56:O56)*D56</f>
        <v>10</v>
      </c>
      <c r="Q56" s="53">
        <v>9.35</v>
      </c>
      <c r="R56" s="53">
        <f t="shared" ref="R56" si="76">Q56*D56</f>
        <v>9.35</v>
      </c>
      <c r="S56" s="53">
        <f t="shared" ref="S56:S68" si="77">R56-1.2*D56</f>
        <v>8.15</v>
      </c>
      <c r="T56" s="63" t="s">
        <v>66</v>
      </c>
      <c r="U56" s="64"/>
      <c r="V56" s="65"/>
      <c r="W56" s="29"/>
      <c r="X56" s="29"/>
    </row>
    <row r="57" spans="1:24" ht="45" customHeight="1" x14ac:dyDescent="0.7">
      <c r="A57" s="51">
        <f t="shared" si="73"/>
        <v>19</v>
      </c>
      <c r="B57" s="11" t="s">
        <v>60</v>
      </c>
      <c r="C57" s="58">
        <f t="shared" si="74"/>
        <v>26</v>
      </c>
      <c r="D57" s="12">
        <v>8</v>
      </c>
      <c r="E57" s="45"/>
      <c r="F57" s="74"/>
      <c r="G57" s="12"/>
      <c r="H57" s="12"/>
      <c r="I57" s="12">
        <v>20</v>
      </c>
      <c r="J57" s="12"/>
      <c r="K57" s="12"/>
      <c r="L57" s="12"/>
      <c r="M57" s="12"/>
      <c r="N57" s="12"/>
      <c r="O57" s="12"/>
      <c r="P57" s="12">
        <f t="shared" ref="P57" si="78">SUM(G57:O57)*D57</f>
        <v>160</v>
      </c>
      <c r="Q57" s="53">
        <v>9.65</v>
      </c>
      <c r="R57" s="53">
        <f t="shared" ref="R57" si="79">Q57*D57</f>
        <v>77.2</v>
      </c>
      <c r="S57" s="53">
        <f t="shared" si="77"/>
        <v>67.600000000000009</v>
      </c>
      <c r="T57" s="63" t="s">
        <v>66</v>
      </c>
      <c r="U57" s="64"/>
      <c r="V57" s="65"/>
      <c r="W57" s="29"/>
      <c r="X57" s="29"/>
    </row>
    <row r="58" spans="1:24" ht="45" customHeight="1" x14ac:dyDescent="0.7">
      <c r="A58" s="51">
        <f t="shared" si="73"/>
        <v>27</v>
      </c>
      <c r="B58" s="11" t="s">
        <v>60</v>
      </c>
      <c r="C58" s="58">
        <f t="shared" si="74"/>
        <v>27</v>
      </c>
      <c r="D58" s="12">
        <v>1</v>
      </c>
      <c r="E58" s="45"/>
      <c r="F58" s="74"/>
      <c r="G58" s="12"/>
      <c r="H58" s="12"/>
      <c r="I58" s="12">
        <v>19</v>
      </c>
      <c r="J58" s="12"/>
      <c r="K58" s="12"/>
      <c r="L58" s="12"/>
      <c r="M58" s="12"/>
      <c r="N58" s="12"/>
      <c r="O58" s="12"/>
      <c r="P58" s="12">
        <f t="shared" ref="P58" si="80">SUM(G58:O58)*D58</f>
        <v>19</v>
      </c>
      <c r="Q58" s="53">
        <v>7.1</v>
      </c>
      <c r="R58" s="53">
        <f t="shared" ref="R58:R65" si="81">Q58*D58</f>
        <v>7.1</v>
      </c>
      <c r="S58" s="53">
        <f t="shared" si="77"/>
        <v>5.8999999999999995</v>
      </c>
      <c r="T58" s="63" t="s">
        <v>66</v>
      </c>
      <c r="U58" s="64"/>
      <c r="V58" s="65"/>
      <c r="W58" s="29"/>
      <c r="X58" s="29"/>
    </row>
    <row r="59" spans="1:24" ht="45" customHeight="1" x14ac:dyDescent="0.7">
      <c r="A59" s="51">
        <f t="shared" si="73"/>
        <v>28</v>
      </c>
      <c r="B59" s="11" t="s">
        <v>60</v>
      </c>
      <c r="C59" s="58">
        <f t="shared" si="74"/>
        <v>39</v>
      </c>
      <c r="D59" s="12">
        <v>12</v>
      </c>
      <c r="E59" s="45"/>
      <c r="F59" s="74"/>
      <c r="G59" s="12"/>
      <c r="H59" s="12"/>
      <c r="I59" s="12"/>
      <c r="J59" s="12">
        <v>20</v>
      </c>
      <c r="K59" s="12"/>
      <c r="L59" s="12"/>
      <c r="M59" s="12"/>
      <c r="N59" s="12"/>
      <c r="O59" s="12"/>
      <c r="P59" s="12">
        <f t="shared" ref="P59" si="82">SUM(G59:O59)*D59</f>
        <v>240</v>
      </c>
      <c r="Q59" s="53">
        <v>9.9499999999999993</v>
      </c>
      <c r="R59" s="53">
        <f t="shared" ref="R59" si="83">Q59*D59</f>
        <v>119.39999999999999</v>
      </c>
      <c r="S59" s="53">
        <f t="shared" si="77"/>
        <v>105</v>
      </c>
      <c r="T59" s="63" t="s">
        <v>66</v>
      </c>
      <c r="U59" s="64"/>
      <c r="V59" s="65"/>
      <c r="W59" s="29"/>
      <c r="X59" s="29"/>
    </row>
    <row r="60" spans="1:24" ht="45" customHeight="1" x14ac:dyDescent="0.7">
      <c r="A60" s="51">
        <f t="shared" si="73"/>
        <v>40</v>
      </c>
      <c r="B60" s="11" t="s">
        <v>60</v>
      </c>
      <c r="C60" s="58">
        <f t="shared" si="74"/>
        <v>40</v>
      </c>
      <c r="D60" s="12">
        <v>1</v>
      </c>
      <c r="E60" s="45"/>
      <c r="F60" s="74"/>
      <c r="G60" s="12"/>
      <c r="H60" s="12"/>
      <c r="I60" s="12"/>
      <c r="J60" s="12">
        <v>13</v>
      </c>
      <c r="K60" s="12"/>
      <c r="L60" s="12"/>
      <c r="M60" s="12"/>
      <c r="N60" s="12"/>
      <c r="O60" s="12"/>
      <c r="P60" s="12">
        <f t="shared" ref="P60:P62" si="84">SUM(G60:O60)*D60</f>
        <v>13</v>
      </c>
      <c r="Q60" s="53">
        <v>6.45</v>
      </c>
      <c r="R60" s="53">
        <f t="shared" si="81"/>
        <v>6.45</v>
      </c>
      <c r="S60" s="53">
        <f t="shared" si="77"/>
        <v>5.25</v>
      </c>
      <c r="T60" s="63" t="s">
        <v>66</v>
      </c>
      <c r="U60" s="64"/>
      <c r="V60" s="65"/>
      <c r="W60" s="29"/>
      <c r="X60" s="29"/>
    </row>
    <row r="61" spans="1:24" ht="45" customHeight="1" x14ac:dyDescent="0.7">
      <c r="A61" s="51">
        <f t="shared" si="73"/>
        <v>41</v>
      </c>
      <c r="B61" s="11" t="s">
        <v>60</v>
      </c>
      <c r="C61" s="58">
        <f t="shared" si="74"/>
        <v>51</v>
      </c>
      <c r="D61" s="12">
        <v>11</v>
      </c>
      <c r="E61" s="45"/>
      <c r="F61" s="74"/>
      <c r="G61" s="12"/>
      <c r="H61" s="12"/>
      <c r="I61" s="12"/>
      <c r="J61" s="12"/>
      <c r="K61" s="12">
        <v>20</v>
      </c>
      <c r="L61" s="12"/>
      <c r="M61" s="12"/>
      <c r="N61" s="12"/>
      <c r="O61" s="12"/>
      <c r="P61" s="12">
        <f t="shared" ref="P61" si="85">SUM(G61:O61)*D61</f>
        <v>220</v>
      </c>
      <c r="Q61" s="53">
        <v>10.35</v>
      </c>
      <c r="R61" s="53">
        <f t="shared" ref="R61" si="86">Q61*D61</f>
        <v>113.85</v>
      </c>
      <c r="S61" s="53">
        <f t="shared" ref="S61" si="87">R61-1.2*D61</f>
        <v>100.64999999999999</v>
      </c>
      <c r="T61" s="63" t="s">
        <v>66</v>
      </c>
      <c r="U61" s="64"/>
      <c r="V61" s="65"/>
      <c r="W61" s="29"/>
      <c r="X61" s="29"/>
    </row>
    <row r="62" spans="1:24" ht="45" customHeight="1" x14ac:dyDescent="0.7">
      <c r="A62" s="51">
        <f t="shared" si="73"/>
        <v>52</v>
      </c>
      <c r="B62" s="11" t="s">
        <v>60</v>
      </c>
      <c r="C62" s="58">
        <f t="shared" si="74"/>
        <v>52</v>
      </c>
      <c r="D62" s="12">
        <v>1</v>
      </c>
      <c r="E62" s="45"/>
      <c r="F62" s="74"/>
      <c r="G62" s="12"/>
      <c r="H62" s="12"/>
      <c r="I62" s="12"/>
      <c r="J62" s="12"/>
      <c r="K62" s="12">
        <v>9</v>
      </c>
      <c r="L62" s="12"/>
      <c r="M62" s="12"/>
      <c r="N62" s="12"/>
      <c r="O62" s="12"/>
      <c r="P62" s="12">
        <f t="shared" si="84"/>
        <v>9</v>
      </c>
      <c r="Q62" s="53">
        <v>10.35</v>
      </c>
      <c r="R62" s="53">
        <f t="shared" si="81"/>
        <v>10.35</v>
      </c>
      <c r="S62" s="53">
        <f t="shared" si="77"/>
        <v>9.15</v>
      </c>
      <c r="T62" s="63" t="s">
        <v>66</v>
      </c>
      <c r="U62" s="64"/>
      <c r="V62" s="65"/>
      <c r="W62" s="29"/>
      <c r="X62" s="29"/>
    </row>
    <row r="63" spans="1:24" ht="45" customHeight="1" x14ac:dyDescent="0.7">
      <c r="A63" s="51">
        <f t="shared" si="73"/>
        <v>53</v>
      </c>
      <c r="B63" s="11" t="s">
        <v>60</v>
      </c>
      <c r="C63" s="58">
        <f t="shared" si="74"/>
        <v>60</v>
      </c>
      <c r="D63" s="12">
        <v>8</v>
      </c>
      <c r="E63" s="45"/>
      <c r="F63" s="74"/>
      <c r="G63" s="12"/>
      <c r="H63" s="12"/>
      <c r="I63" s="12"/>
      <c r="J63" s="12"/>
      <c r="K63" s="12"/>
      <c r="L63" s="12">
        <v>20</v>
      </c>
      <c r="M63" s="12"/>
      <c r="N63" s="12"/>
      <c r="O63" s="12"/>
      <c r="P63" s="12">
        <f t="shared" ref="P63" si="88">SUM(G63:O63)*D63</f>
        <v>160</v>
      </c>
      <c r="Q63" s="53">
        <v>10.72</v>
      </c>
      <c r="R63" s="53">
        <f t="shared" ref="R63" si="89">Q63*D63</f>
        <v>85.76</v>
      </c>
      <c r="S63" s="53">
        <f t="shared" ref="S63" si="90">R63-1.2*D63</f>
        <v>76.160000000000011</v>
      </c>
      <c r="T63" s="63" t="s">
        <v>66</v>
      </c>
      <c r="U63" s="64"/>
      <c r="V63" s="65"/>
      <c r="W63" s="29"/>
      <c r="X63" s="29"/>
    </row>
    <row r="64" spans="1:24" ht="45" customHeight="1" x14ac:dyDescent="0.7">
      <c r="A64" s="51">
        <f t="shared" si="73"/>
        <v>61</v>
      </c>
      <c r="B64" s="11" t="s">
        <v>60</v>
      </c>
      <c r="C64" s="58">
        <f t="shared" si="74"/>
        <v>61</v>
      </c>
      <c r="D64" s="12">
        <v>1</v>
      </c>
      <c r="E64" s="45"/>
      <c r="F64" s="74"/>
      <c r="G64" s="12"/>
      <c r="H64" s="12"/>
      <c r="I64" s="12"/>
      <c r="J64" s="12"/>
      <c r="K64" s="12"/>
      <c r="L64" s="12">
        <v>11</v>
      </c>
      <c r="M64" s="12"/>
      <c r="N64" s="12"/>
      <c r="O64" s="12"/>
      <c r="P64" s="12">
        <f t="shared" ref="P64" si="91">SUM(G64:O64)*D64</f>
        <v>11</v>
      </c>
      <c r="Q64" s="53">
        <v>8.35</v>
      </c>
      <c r="R64" s="53">
        <f t="shared" si="81"/>
        <v>8.35</v>
      </c>
      <c r="S64" s="53">
        <f t="shared" si="77"/>
        <v>7.1499999999999995</v>
      </c>
      <c r="T64" s="63" t="s">
        <v>66</v>
      </c>
      <c r="U64" s="64"/>
      <c r="V64" s="65"/>
      <c r="W64" s="29"/>
      <c r="X64" s="29"/>
    </row>
    <row r="65" spans="1:24" ht="45" customHeight="1" x14ac:dyDescent="0.7">
      <c r="A65" s="51">
        <f t="shared" si="73"/>
        <v>62</v>
      </c>
      <c r="B65" s="11" t="s">
        <v>60</v>
      </c>
      <c r="C65" s="58">
        <f t="shared" si="74"/>
        <v>68</v>
      </c>
      <c r="D65" s="12">
        <v>7</v>
      </c>
      <c r="E65" s="45"/>
      <c r="F65" s="74"/>
      <c r="G65" s="12"/>
      <c r="H65" s="12"/>
      <c r="I65" s="12"/>
      <c r="J65" s="12"/>
      <c r="K65" s="12"/>
      <c r="L65" s="12"/>
      <c r="M65" s="12">
        <v>20</v>
      </c>
      <c r="N65" s="12"/>
      <c r="O65" s="12"/>
      <c r="P65" s="12">
        <f>SUM(G65:O65)*D65</f>
        <v>140</v>
      </c>
      <c r="Q65" s="53">
        <v>11.15</v>
      </c>
      <c r="R65" s="53">
        <f t="shared" si="81"/>
        <v>78.05</v>
      </c>
      <c r="S65" s="53">
        <f t="shared" ref="S65" si="92">R65-1.2*D65</f>
        <v>69.649999999999991</v>
      </c>
      <c r="T65" s="63" t="s">
        <v>66</v>
      </c>
      <c r="U65" s="64"/>
      <c r="V65" s="65"/>
      <c r="W65" s="29"/>
      <c r="X65" s="29"/>
    </row>
    <row r="66" spans="1:24" ht="45" customHeight="1" x14ac:dyDescent="0.7">
      <c r="A66" s="51">
        <f t="shared" si="73"/>
        <v>69</v>
      </c>
      <c r="B66" s="11" t="s">
        <v>60</v>
      </c>
      <c r="C66" s="58">
        <f t="shared" si="74"/>
        <v>69</v>
      </c>
      <c r="D66" s="12">
        <v>1</v>
      </c>
      <c r="E66" s="45"/>
      <c r="F66" s="74"/>
      <c r="G66" s="12"/>
      <c r="H66" s="12"/>
      <c r="I66" s="12"/>
      <c r="J66" s="12"/>
      <c r="K66" s="12"/>
      <c r="L66" s="12"/>
      <c r="M66" s="12">
        <v>1</v>
      </c>
      <c r="N66" s="12"/>
      <c r="O66" s="12"/>
      <c r="P66" s="12">
        <f>SUM(G66:O66)*D66</f>
        <v>1</v>
      </c>
      <c r="Q66" s="53">
        <v>11.15</v>
      </c>
      <c r="R66" s="53">
        <f t="shared" ref="R66:R67" si="93">Q66*D66</f>
        <v>11.15</v>
      </c>
      <c r="S66" s="53">
        <f t="shared" si="77"/>
        <v>9.9500000000000011</v>
      </c>
      <c r="T66" s="63" t="s">
        <v>66</v>
      </c>
      <c r="U66" s="64"/>
      <c r="V66" s="65"/>
      <c r="W66" s="29"/>
      <c r="X66" s="29"/>
    </row>
    <row r="67" spans="1:24" ht="45" customHeight="1" x14ac:dyDescent="0.7">
      <c r="A67" s="51">
        <f t="shared" si="73"/>
        <v>70</v>
      </c>
      <c r="B67" s="11" t="s">
        <v>60</v>
      </c>
      <c r="C67" s="58">
        <f t="shared" si="74"/>
        <v>72</v>
      </c>
      <c r="D67" s="12">
        <v>3</v>
      </c>
      <c r="E67" s="45"/>
      <c r="F67" s="74"/>
      <c r="G67" s="12"/>
      <c r="H67" s="12"/>
      <c r="I67" s="12"/>
      <c r="J67" s="12"/>
      <c r="K67" s="12"/>
      <c r="L67" s="12"/>
      <c r="M67" s="12"/>
      <c r="N67" s="12">
        <v>20</v>
      </c>
      <c r="O67" s="12"/>
      <c r="P67" s="12">
        <f>SUM(G67:O67)*D67</f>
        <v>60</v>
      </c>
      <c r="Q67" s="53">
        <v>11.55</v>
      </c>
      <c r="R67" s="53">
        <f t="shared" si="93"/>
        <v>34.650000000000006</v>
      </c>
      <c r="S67" s="53">
        <f t="shared" ref="S67" si="94">R67-1.2*D67</f>
        <v>31.050000000000004</v>
      </c>
      <c r="T67" s="63" t="s">
        <v>66</v>
      </c>
      <c r="U67" s="64"/>
      <c r="V67" s="65"/>
      <c r="W67" s="29"/>
      <c r="X67" s="29"/>
    </row>
    <row r="68" spans="1:24" ht="45" customHeight="1" x14ac:dyDescent="0.7">
      <c r="A68" s="51">
        <f t="shared" si="73"/>
        <v>73</v>
      </c>
      <c r="B68" s="11" t="s">
        <v>60</v>
      </c>
      <c r="C68" s="58">
        <f t="shared" si="74"/>
        <v>73</v>
      </c>
      <c r="D68" s="12">
        <v>1</v>
      </c>
      <c r="E68" s="45"/>
      <c r="F68" s="74"/>
      <c r="G68" s="12"/>
      <c r="H68" s="12"/>
      <c r="I68" s="12"/>
      <c r="J68" s="12"/>
      <c r="K68" s="12"/>
      <c r="L68" s="12"/>
      <c r="M68" s="12"/>
      <c r="N68" s="12">
        <v>5</v>
      </c>
      <c r="O68" s="12"/>
      <c r="P68" s="12">
        <f>SUM(G68:O68)*D68</f>
        <v>5</v>
      </c>
      <c r="Q68" s="53">
        <v>11.55</v>
      </c>
      <c r="R68" s="53">
        <f t="shared" ref="R68:R69" si="95">Q68*D68</f>
        <v>11.55</v>
      </c>
      <c r="S68" s="53">
        <f t="shared" si="77"/>
        <v>10.350000000000001</v>
      </c>
      <c r="T68" s="63" t="s">
        <v>66</v>
      </c>
      <c r="U68" s="64"/>
      <c r="V68" s="65"/>
      <c r="W68" s="29"/>
      <c r="X68" s="29"/>
    </row>
    <row r="69" spans="1:24" ht="45" customHeight="1" thickBot="1" x14ac:dyDescent="0.75">
      <c r="A69" s="51">
        <f t="shared" si="73"/>
        <v>74</v>
      </c>
      <c r="B69" s="11" t="s">
        <v>60</v>
      </c>
      <c r="C69" s="58">
        <f t="shared" si="74"/>
        <v>74</v>
      </c>
      <c r="D69" s="12">
        <v>1</v>
      </c>
      <c r="E69" s="45"/>
      <c r="F69" s="134"/>
      <c r="G69" s="12"/>
      <c r="H69" s="12"/>
      <c r="I69" s="12"/>
      <c r="J69" s="12"/>
      <c r="K69" s="12"/>
      <c r="L69" s="12"/>
      <c r="M69" s="12"/>
      <c r="N69" s="12"/>
      <c r="O69" s="12">
        <v>9</v>
      </c>
      <c r="P69" s="12">
        <f>SUM(G69:O69)*D69</f>
        <v>9</v>
      </c>
      <c r="Q69" s="53">
        <v>9.5</v>
      </c>
      <c r="R69" s="53">
        <f t="shared" si="95"/>
        <v>9.5</v>
      </c>
      <c r="S69" s="53">
        <f t="shared" ref="S69" si="96">R69-1.2*D69</f>
        <v>8.3000000000000007</v>
      </c>
      <c r="T69" s="63" t="s">
        <v>66</v>
      </c>
      <c r="U69" s="64"/>
      <c r="V69" s="65"/>
      <c r="W69" s="29"/>
      <c r="X69" s="29"/>
    </row>
    <row r="70" spans="1:24" s="3" customFormat="1" ht="45" customHeight="1" thickBot="1" x14ac:dyDescent="0.25">
      <c r="A70" s="68" t="s">
        <v>19</v>
      </c>
      <c r="B70" s="69"/>
      <c r="C70" s="70"/>
      <c r="D70" s="54">
        <f>SUM(D53:D69)</f>
        <v>64</v>
      </c>
      <c r="E70" s="54"/>
      <c r="F70" s="54"/>
      <c r="G70" s="54">
        <f>P53+P54</f>
        <v>22</v>
      </c>
      <c r="H70" s="54">
        <f>P55+P56</f>
        <v>110</v>
      </c>
      <c r="I70" s="54">
        <f>P57+P58</f>
        <v>179</v>
      </c>
      <c r="J70" s="54">
        <f>P59+P60</f>
        <v>253</v>
      </c>
      <c r="K70" s="54">
        <f>P61+P62</f>
        <v>229</v>
      </c>
      <c r="L70" s="54">
        <f>P63+P64</f>
        <v>171</v>
      </c>
      <c r="M70" s="54">
        <f>P65+P66</f>
        <v>141</v>
      </c>
      <c r="N70" s="54">
        <f>P67+P68</f>
        <v>65</v>
      </c>
      <c r="O70" s="54">
        <f>P69</f>
        <v>9</v>
      </c>
      <c r="P70" s="54">
        <f>SUM(P53:P69)</f>
        <v>1179</v>
      </c>
      <c r="Q70" s="57">
        <f>SUM(Q53:Q69)</f>
        <v>165.22</v>
      </c>
      <c r="R70" s="57">
        <f t="shared" ref="R70:S70" si="97">SUM(R53:R69)</f>
        <v>648.15999999999985</v>
      </c>
      <c r="S70" s="57">
        <f t="shared" si="97"/>
        <v>571.3599999999999</v>
      </c>
      <c r="T70" s="75"/>
      <c r="U70" s="69"/>
      <c r="V70" s="76"/>
      <c r="W70" s="31"/>
      <c r="X70" s="31"/>
    </row>
    <row r="71" spans="1:24" ht="45" customHeight="1" x14ac:dyDescent="0.7">
      <c r="A71" s="51">
        <f>C69+1</f>
        <v>75</v>
      </c>
      <c r="B71" s="11" t="s">
        <v>60</v>
      </c>
      <c r="C71" s="52">
        <f>A71-1+D71</f>
        <v>75</v>
      </c>
      <c r="D71" s="12">
        <v>1</v>
      </c>
      <c r="E71" s="45"/>
      <c r="F71" s="136" t="s">
        <v>81</v>
      </c>
      <c r="G71" s="12">
        <v>9</v>
      </c>
      <c r="H71" s="12"/>
      <c r="I71" s="12"/>
      <c r="J71" s="12"/>
      <c r="K71" s="12"/>
      <c r="L71" s="12"/>
      <c r="M71" s="12"/>
      <c r="N71" s="12"/>
      <c r="O71" s="12"/>
      <c r="P71" s="12">
        <f t="shared" ref="P71:P72" si="98">SUM(G71:O71)*D71</f>
        <v>9</v>
      </c>
      <c r="Q71" s="53">
        <v>6.85</v>
      </c>
      <c r="R71" s="53">
        <f t="shared" ref="R71:R72" si="99">Q71*D71</f>
        <v>6.85</v>
      </c>
      <c r="S71" s="53">
        <f t="shared" ref="S71:S72" si="100">R71-1.2*D71</f>
        <v>5.6499999999999995</v>
      </c>
      <c r="T71" s="63" t="s">
        <v>66</v>
      </c>
      <c r="U71" s="64"/>
      <c r="V71" s="65"/>
      <c r="W71" s="29"/>
      <c r="X71" s="29"/>
    </row>
    <row r="72" spans="1:24" ht="45" customHeight="1" x14ac:dyDescent="0.7">
      <c r="A72" s="51">
        <f>C71+1</f>
        <v>76</v>
      </c>
      <c r="B72" s="11" t="s">
        <v>60</v>
      </c>
      <c r="C72" s="52">
        <f>A72-1+D72</f>
        <v>77</v>
      </c>
      <c r="D72" s="12">
        <v>2</v>
      </c>
      <c r="E72" s="45"/>
      <c r="F72" s="137"/>
      <c r="G72" s="12"/>
      <c r="H72" s="12">
        <v>20</v>
      </c>
      <c r="I72" s="12"/>
      <c r="J72" s="12"/>
      <c r="K72" s="12"/>
      <c r="L72" s="12"/>
      <c r="M72" s="12"/>
      <c r="N72" s="12"/>
      <c r="O72" s="12"/>
      <c r="P72" s="12">
        <f t="shared" si="98"/>
        <v>40</v>
      </c>
      <c r="Q72" s="53">
        <v>6.85</v>
      </c>
      <c r="R72" s="53">
        <f t="shared" si="99"/>
        <v>13.7</v>
      </c>
      <c r="S72" s="53">
        <f t="shared" si="100"/>
        <v>11.299999999999999</v>
      </c>
      <c r="T72" s="63" t="s">
        <v>66</v>
      </c>
      <c r="U72" s="64"/>
      <c r="V72" s="65"/>
      <c r="W72" s="29"/>
      <c r="X72" s="29"/>
    </row>
    <row r="73" spans="1:24" ht="45" customHeight="1" x14ac:dyDescent="0.7">
      <c r="A73" s="51">
        <f>C72+1</f>
        <v>78</v>
      </c>
      <c r="B73" s="11" t="s">
        <v>60</v>
      </c>
      <c r="C73" s="52">
        <f>A73-1+D73</f>
        <v>78</v>
      </c>
      <c r="D73" s="12">
        <v>1</v>
      </c>
      <c r="E73" s="45"/>
      <c r="F73" s="137"/>
      <c r="G73" s="12"/>
      <c r="H73" s="12">
        <v>6</v>
      </c>
      <c r="I73" s="12"/>
      <c r="J73" s="12"/>
      <c r="K73" s="12"/>
      <c r="L73" s="12"/>
      <c r="M73" s="12"/>
      <c r="N73" s="12"/>
      <c r="O73" s="12"/>
      <c r="P73" s="12">
        <f t="shared" ref="P73" si="101">SUM(G73:O73)*D73</f>
        <v>6</v>
      </c>
      <c r="Q73" s="53">
        <v>6.85</v>
      </c>
      <c r="R73" s="53">
        <f t="shared" ref="R73:R74" si="102">Q73*D73</f>
        <v>6.85</v>
      </c>
      <c r="S73" s="53">
        <f t="shared" ref="S73:S85" si="103">R73-1.2*D73</f>
        <v>5.6499999999999995</v>
      </c>
      <c r="T73" s="63" t="s">
        <v>66</v>
      </c>
      <c r="U73" s="64"/>
      <c r="V73" s="65"/>
      <c r="W73" s="29"/>
      <c r="X73" s="29"/>
    </row>
    <row r="74" spans="1:24" ht="45" customHeight="1" x14ac:dyDescent="0.7">
      <c r="A74" s="51">
        <f t="shared" ref="A74:A86" si="104">C73+1</f>
        <v>79</v>
      </c>
      <c r="B74" s="11" t="s">
        <v>60</v>
      </c>
      <c r="C74" s="52">
        <f t="shared" ref="C74:C86" si="105">A74-1+D74</f>
        <v>81</v>
      </c>
      <c r="D74" s="12">
        <v>3</v>
      </c>
      <c r="E74" s="45"/>
      <c r="F74" s="137"/>
      <c r="G74" s="12"/>
      <c r="H74" s="12"/>
      <c r="I74" s="12">
        <v>20</v>
      </c>
      <c r="J74" s="12"/>
      <c r="K74" s="12"/>
      <c r="L74" s="12"/>
      <c r="M74" s="12"/>
      <c r="N74" s="12"/>
      <c r="O74" s="12"/>
      <c r="P74" s="12">
        <f t="shared" ref="P74" si="106">SUM(G74:O74)*D74</f>
        <v>60</v>
      </c>
      <c r="Q74" s="53">
        <v>9.9</v>
      </c>
      <c r="R74" s="53">
        <f t="shared" si="102"/>
        <v>29.700000000000003</v>
      </c>
      <c r="S74" s="53">
        <f t="shared" ref="S74" si="107">R74-1.2*D74</f>
        <v>26.1</v>
      </c>
      <c r="T74" s="63" t="s">
        <v>66</v>
      </c>
      <c r="U74" s="64"/>
      <c r="V74" s="65"/>
      <c r="W74" s="29"/>
      <c r="X74" s="29"/>
    </row>
    <row r="75" spans="1:24" ht="45" customHeight="1" x14ac:dyDescent="0.7">
      <c r="A75" s="51">
        <f t="shared" si="104"/>
        <v>82</v>
      </c>
      <c r="B75" s="11" t="s">
        <v>60</v>
      </c>
      <c r="C75" s="52">
        <f t="shared" si="105"/>
        <v>82</v>
      </c>
      <c r="D75" s="12">
        <v>1</v>
      </c>
      <c r="E75" s="45"/>
      <c r="F75" s="137"/>
      <c r="G75" s="12"/>
      <c r="H75" s="12"/>
      <c r="I75" s="12">
        <v>16</v>
      </c>
      <c r="J75" s="12"/>
      <c r="K75" s="12"/>
      <c r="L75" s="12"/>
      <c r="M75" s="12"/>
      <c r="N75" s="12"/>
      <c r="O75" s="12"/>
      <c r="P75" s="12">
        <f t="shared" ref="P75" si="108">SUM(G75:O75)*D75</f>
        <v>16</v>
      </c>
      <c r="Q75" s="53">
        <v>9.9</v>
      </c>
      <c r="R75" s="53">
        <f t="shared" ref="R75:R76" si="109">Q75*D75</f>
        <v>9.9</v>
      </c>
      <c r="S75" s="53">
        <f t="shared" si="103"/>
        <v>8.7000000000000011</v>
      </c>
      <c r="T75" s="63" t="s">
        <v>66</v>
      </c>
      <c r="U75" s="64"/>
      <c r="V75" s="65"/>
      <c r="W75" s="29"/>
      <c r="X75" s="29"/>
    </row>
    <row r="76" spans="1:24" ht="45" customHeight="1" x14ac:dyDescent="0.7">
      <c r="A76" s="51">
        <f t="shared" si="104"/>
        <v>83</v>
      </c>
      <c r="B76" s="11" t="s">
        <v>60</v>
      </c>
      <c r="C76" s="52">
        <f t="shared" si="105"/>
        <v>86</v>
      </c>
      <c r="D76" s="12">
        <v>4</v>
      </c>
      <c r="E76" s="45"/>
      <c r="F76" s="137"/>
      <c r="G76" s="12"/>
      <c r="H76" s="12"/>
      <c r="I76" s="12"/>
      <c r="J76" s="12">
        <v>20</v>
      </c>
      <c r="K76" s="12"/>
      <c r="L76" s="12"/>
      <c r="M76" s="12"/>
      <c r="N76" s="12"/>
      <c r="O76" s="12"/>
      <c r="P76" s="12">
        <f t="shared" ref="P76" si="110">SUM(G76:O76)*D76</f>
        <v>80</v>
      </c>
      <c r="Q76" s="53">
        <v>10.25</v>
      </c>
      <c r="R76" s="53">
        <f t="shared" si="109"/>
        <v>41</v>
      </c>
      <c r="S76" s="53">
        <f t="shared" ref="S76" si="111">R76-1.2*D76</f>
        <v>36.200000000000003</v>
      </c>
      <c r="T76" s="63" t="s">
        <v>66</v>
      </c>
      <c r="U76" s="64"/>
      <c r="V76" s="65"/>
      <c r="W76" s="29"/>
      <c r="X76" s="29"/>
    </row>
    <row r="77" spans="1:24" ht="45" customHeight="1" x14ac:dyDescent="0.7">
      <c r="A77" s="51">
        <f t="shared" si="104"/>
        <v>87</v>
      </c>
      <c r="B77" s="11" t="s">
        <v>60</v>
      </c>
      <c r="C77" s="52">
        <f t="shared" si="105"/>
        <v>87</v>
      </c>
      <c r="D77" s="12">
        <v>1</v>
      </c>
      <c r="E77" s="45"/>
      <c r="F77" s="137"/>
      <c r="G77" s="12"/>
      <c r="H77" s="12"/>
      <c r="I77" s="12"/>
      <c r="J77" s="12">
        <v>7</v>
      </c>
      <c r="K77" s="12"/>
      <c r="L77" s="12"/>
      <c r="M77" s="12"/>
      <c r="N77" s="12"/>
      <c r="O77" s="12"/>
      <c r="P77" s="12">
        <f t="shared" ref="P77" si="112">SUM(G77:O77)*D77</f>
        <v>7</v>
      </c>
      <c r="Q77" s="53">
        <v>10.25</v>
      </c>
      <c r="R77" s="53">
        <f t="shared" ref="R77:R78" si="113">Q77*D77</f>
        <v>10.25</v>
      </c>
      <c r="S77" s="53">
        <f t="shared" si="103"/>
        <v>9.0500000000000007</v>
      </c>
      <c r="T77" s="63" t="s">
        <v>66</v>
      </c>
      <c r="U77" s="64"/>
      <c r="V77" s="65"/>
      <c r="W77" s="29"/>
      <c r="X77" s="29"/>
    </row>
    <row r="78" spans="1:24" ht="45" customHeight="1" x14ac:dyDescent="0.7">
      <c r="A78" s="51">
        <f t="shared" si="104"/>
        <v>88</v>
      </c>
      <c r="B78" s="11" t="s">
        <v>60</v>
      </c>
      <c r="C78" s="52">
        <f t="shared" si="105"/>
        <v>90</v>
      </c>
      <c r="D78" s="12">
        <v>3</v>
      </c>
      <c r="E78" s="45"/>
      <c r="F78" s="137"/>
      <c r="G78" s="12"/>
      <c r="H78" s="12"/>
      <c r="I78" s="12"/>
      <c r="J78" s="12"/>
      <c r="K78" s="12">
        <v>20</v>
      </c>
      <c r="L78" s="12"/>
      <c r="M78" s="12"/>
      <c r="N78" s="12"/>
      <c r="O78" s="12"/>
      <c r="P78" s="12">
        <f t="shared" ref="P78" si="114">SUM(G78:O78)*D78</f>
        <v>60</v>
      </c>
      <c r="Q78" s="53">
        <v>10.6</v>
      </c>
      <c r="R78" s="53">
        <f t="shared" si="113"/>
        <v>31.799999999999997</v>
      </c>
      <c r="S78" s="53">
        <f t="shared" si="103"/>
        <v>28.199999999999996</v>
      </c>
      <c r="T78" s="63" t="s">
        <v>66</v>
      </c>
      <c r="U78" s="64"/>
      <c r="V78" s="65"/>
      <c r="W78" s="29"/>
      <c r="X78" s="29"/>
    </row>
    <row r="79" spans="1:24" ht="45" customHeight="1" x14ac:dyDescent="0.7">
      <c r="A79" s="51">
        <f t="shared" si="104"/>
        <v>91</v>
      </c>
      <c r="B79" s="11" t="s">
        <v>60</v>
      </c>
      <c r="C79" s="52">
        <f t="shared" si="105"/>
        <v>91</v>
      </c>
      <c r="D79" s="12">
        <v>1</v>
      </c>
      <c r="E79" s="45"/>
      <c r="F79" s="137"/>
      <c r="G79" s="12"/>
      <c r="H79" s="12"/>
      <c r="I79" s="12"/>
      <c r="J79" s="12"/>
      <c r="K79" s="12">
        <v>13</v>
      </c>
      <c r="L79" s="12"/>
      <c r="M79" s="12"/>
      <c r="N79" s="12"/>
      <c r="O79" s="12"/>
      <c r="P79" s="12">
        <f t="shared" ref="P79" si="115">SUM(G79:O79)*D79</f>
        <v>13</v>
      </c>
      <c r="Q79" s="53">
        <v>9.1999999999999993</v>
      </c>
      <c r="R79" s="53">
        <f t="shared" ref="R79" si="116">Q79*D79</f>
        <v>9.1999999999999993</v>
      </c>
      <c r="S79" s="53">
        <f t="shared" ref="S79" si="117">R79-1.2*D79</f>
        <v>7.9999999999999991</v>
      </c>
      <c r="T79" s="63" t="s">
        <v>66</v>
      </c>
      <c r="U79" s="64"/>
      <c r="V79" s="65"/>
      <c r="W79" s="29"/>
      <c r="X79" s="29"/>
    </row>
    <row r="80" spans="1:24" ht="45" customHeight="1" x14ac:dyDescent="0.7">
      <c r="A80" s="51">
        <f t="shared" si="104"/>
        <v>92</v>
      </c>
      <c r="B80" s="11" t="s">
        <v>60</v>
      </c>
      <c r="C80" s="52">
        <f t="shared" si="105"/>
        <v>94</v>
      </c>
      <c r="D80" s="12">
        <v>3</v>
      </c>
      <c r="E80" s="45"/>
      <c r="F80" s="137"/>
      <c r="G80" s="12"/>
      <c r="H80" s="12"/>
      <c r="I80" s="12"/>
      <c r="J80" s="12"/>
      <c r="K80" s="12"/>
      <c r="L80" s="12">
        <v>20</v>
      </c>
      <c r="M80" s="12"/>
      <c r="N80" s="12"/>
      <c r="O80" s="12"/>
      <c r="P80" s="12">
        <f t="shared" ref="P80" si="118">SUM(G80:O80)*D80</f>
        <v>60</v>
      </c>
      <c r="Q80" s="53">
        <v>11.1</v>
      </c>
      <c r="R80" s="53">
        <f t="shared" ref="R80" si="119">Q80*D80</f>
        <v>33.299999999999997</v>
      </c>
      <c r="S80" s="53">
        <f t="shared" ref="S80" si="120">R80-1.2*D80</f>
        <v>29.699999999999996</v>
      </c>
      <c r="T80" s="63" t="s">
        <v>66</v>
      </c>
      <c r="U80" s="64"/>
      <c r="V80" s="65"/>
      <c r="W80" s="29"/>
      <c r="X80" s="29"/>
    </row>
    <row r="81" spans="1:24" ht="45" customHeight="1" x14ac:dyDescent="0.7">
      <c r="A81" s="51">
        <f t="shared" si="104"/>
        <v>95</v>
      </c>
      <c r="B81" s="11" t="s">
        <v>60</v>
      </c>
      <c r="C81" s="52">
        <f t="shared" si="105"/>
        <v>95</v>
      </c>
      <c r="D81" s="12">
        <v>1</v>
      </c>
      <c r="E81" s="45"/>
      <c r="F81" s="137"/>
      <c r="G81" s="12"/>
      <c r="H81" s="12"/>
      <c r="I81" s="12"/>
      <c r="J81" s="12"/>
      <c r="K81" s="12"/>
      <c r="L81" s="12">
        <v>4</v>
      </c>
      <c r="M81" s="12"/>
      <c r="N81" s="12"/>
      <c r="O81" s="12"/>
      <c r="P81" s="12">
        <f t="shared" ref="P81" si="121">SUM(G81:O81)*D81</f>
        <v>4</v>
      </c>
      <c r="Q81" s="53">
        <v>10.199999999999999</v>
      </c>
      <c r="R81" s="53">
        <f t="shared" ref="R81:R82" si="122">Q81*D81</f>
        <v>10.199999999999999</v>
      </c>
      <c r="S81" s="53">
        <f t="shared" si="103"/>
        <v>9</v>
      </c>
      <c r="T81" s="63" t="s">
        <v>66</v>
      </c>
      <c r="U81" s="64"/>
      <c r="V81" s="65"/>
      <c r="W81" s="29"/>
      <c r="X81" s="29"/>
    </row>
    <row r="82" spans="1:24" ht="45" customHeight="1" x14ac:dyDescent="0.7">
      <c r="A82" s="51">
        <f t="shared" si="104"/>
        <v>96</v>
      </c>
      <c r="B82" s="11" t="s">
        <v>60</v>
      </c>
      <c r="C82" s="52">
        <f t="shared" si="105"/>
        <v>97</v>
      </c>
      <c r="D82" s="12">
        <v>2</v>
      </c>
      <c r="E82" s="45"/>
      <c r="F82" s="137"/>
      <c r="G82" s="12"/>
      <c r="H82" s="12"/>
      <c r="I82" s="12"/>
      <c r="J82" s="12"/>
      <c r="K82" s="12"/>
      <c r="L82" s="12"/>
      <c r="M82" s="12">
        <v>20</v>
      </c>
      <c r="N82" s="12"/>
      <c r="O82" s="12"/>
      <c r="P82" s="12">
        <f t="shared" ref="P82" si="123">SUM(G82:O82)*D82</f>
        <v>40</v>
      </c>
      <c r="Q82" s="53">
        <v>11.52</v>
      </c>
      <c r="R82" s="53">
        <f t="shared" si="122"/>
        <v>23.04</v>
      </c>
      <c r="S82" s="53">
        <f t="shared" ref="S82" si="124">R82-1.2*D82</f>
        <v>20.64</v>
      </c>
      <c r="T82" s="63" t="s">
        <v>66</v>
      </c>
      <c r="U82" s="64"/>
      <c r="V82" s="65"/>
      <c r="W82" s="29"/>
      <c r="X82" s="29"/>
    </row>
    <row r="83" spans="1:24" ht="45" customHeight="1" x14ac:dyDescent="0.7">
      <c r="A83" s="51">
        <f t="shared" si="104"/>
        <v>98</v>
      </c>
      <c r="B83" s="11" t="s">
        <v>60</v>
      </c>
      <c r="C83" s="52">
        <f t="shared" si="105"/>
        <v>98</v>
      </c>
      <c r="D83" s="12">
        <v>1</v>
      </c>
      <c r="E83" s="45"/>
      <c r="F83" s="137"/>
      <c r="G83" s="12"/>
      <c r="H83" s="12"/>
      <c r="I83" s="12"/>
      <c r="J83" s="12"/>
      <c r="K83" s="12"/>
      <c r="L83" s="12"/>
      <c r="M83" s="12">
        <v>4</v>
      </c>
      <c r="N83" s="12"/>
      <c r="O83" s="12"/>
      <c r="P83" s="12">
        <f t="shared" ref="P83" si="125">SUM(G83:O83)*D83</f>
        <v>4</v>
      </c>
      <c r="Q83" s="53">
        <v>11.52</v>
      </c>
      <c r="R83" s="53">
        <f t="shared" ref="R83:R84" si="126">Q83*D83</f>
        <v>11.52</v>
      </c>
      <c r="S83" s="53">
        <f t="shared" si="103"/>
        <v>10.32</v>
      </c>
      <c r="T83" s="63" t="s">
        <v>66</v>
      </c>
      <c r="U83" s="64"/>
      <c r="V83" s="65"/>
      <c r="W83" s="29"/>
      <c r="X83" s="29"/>
    </row>
    <row r="84" spans="1:24" ht="45" customHeight="1" x14ac:dyDescent="0.7">
      <c r="A84" s="51">
        <f t="shared" si="104"/>
        <v>99</v>
      </c>
      <c r="B84" s="11" t="s">
        <v>60</v>
      </c>
      <c r="C84" s="52">
        <f t="shared" si="105"/>
        <v>99</v>
      </c>
      <c r="D84" s="12">
        <v>1</v>
      </c>
      <c r="E84" s="45"/>
      <c r="F84" s="137"/>
      <c r="G84" s="12"/>
      <c r="H84" s="12"/>
      <c r="I84" s="12"/>
      <c r="J84" s="12"/>
      <c r="K84" s="12"/>
      <c r="L84" s="12"/>
      <c r="M84" s="12"/>
      <c r="N84" s="12">
        <v>20</v>
      </c>
      <c r="O84" s="12"/>
      <c r="P84" s="12">
        <f t="shared" ref="P84" si="127">SUM(G84:O84)*D84</f>
        <v>20</v>
      </c>
      <c r="Q84" s="53">
        <v>11.85</v>
      </c>
      <c r="R84" s="53">
        <f t="shared" si="126"/>
        <v>11.85</v>
      </c>
      <c r="S84" s="53">
        <f t="shared" ref="S84" si="128">R84-1.2*D84</f>
        <v>10.65</v>
      </c>
      <c r="T84" s="63" t="s">
        <v>66</v>
      </c>
      <c r="U84" s="64"/>
      <c r="V84" s="65"/>
      <c r="W84" s="29"/>
      <c r="X84" s="29"/>
    </row>
    <row r="85" spans="1:24" ht="45" customHeight="1" x14ac:dyDescent="0.7">
      <c r="A85" s="51">
        <f t="shared" si="104"/>
        <v>100</v>
      </c>
      <c r="B85" s="11" t="s">
        <v>60</v>
      </c>
      <c r="C85" s="52">
        <f t="shared" si="105"/>
        <v>100</v>
      </c>
      <c r="D85" s="12">
        <v>1</v>
      </c>
      <c r="E85" s="45"/>
      <c r="F85" s="137"/>
      <c r="G85" s="12"/>
      <c r="H85" s="12"/>
      <c r="I85" s="12"/>
      <c r="J85" s="12"/>
      <c r="K85" s="12"/>
      <c r="L85" s="12"/>
      <c r="M85" s="12"/>
      <c r="N85" s="12">
        <v>6</v>
      </c>
      <c r="O85" s="12"/>
      <c r="P85" s="12">
        <f t="shared" ref="P85" si="129">SUM(G85:O85)*D85</f>
        <v>6</v>
      </c>
      <c r="Q85" s="53">
        <v>10.25</v>
      </c>
      <c r="R85" s="53">
        <f t="shared" ref="R85:R86" si="130">Q85*D85</f>
        <v>10.25</v>
      </c>
      <c r="S85" s="53">
        <f t="shared" si="103"/>
        <v>9.0500000000000007</v>
      </c>
      <c r="T85" s="63" t="s">
        <v>66</v>
      </c>
      <c r="U85" s="64"/>
      <c r="V85" s="65"/>
      <c r="W85" s="29"/>
      <c r="X85" s="29"/>
    </row>
    <row r="86" spans="1:24" ht="45" customHeight="1" thickBot="1" x14ac:dyDescent="0.75">
      <c r="A86" s="51">
        <f t="shared" si="104"/>
        <v>101</v>
      </c>
      <c r="B86" s="11" t="s">
        <v>60</v>
      </c>
      <c r="C86" s="52">
        <f t="shared" si="105"/>
        <v>101</v>
      </c>
      <c r="D86" s="12">
        <v>1</v>
      </c>
      <c r="E86" s="45"/>
      <c r="F86" s="138"/>
      <c r="G86" s="12"/>
      <c r="H86" s="12"/>
      <c r="I86" s="12"/>
      <c r="J86" s="12"/>
      <c r="K86" s="12"/>
      <c r="L86" s="12"/>
      <c r="M86" s="12"/>
      <c r="N86" s="12"/>
      <c r="O86" s="12">
        <v>3</v>
      </c>
      <c r="P86" s="12">
        <f t="shared" ref="P86" si="131">SUM(G86:O86)*D86</f>
        <v>3</v>
      </c>
      <c r="Q86" s="53">
        <v>12.2</v>
      </c>
      <c r="R86" s="53">
        <f t="shared" si="130"/>
        <v>12.2</v>
      </c>
      <c r="S86" s="53">
        <f t="shared" ref="S86" si="132">R86-1.2*D86</f>
        <v>11</v>
      </c>
      <c r="T86" s="63" t="s">
        <v>66</v>
      </c>
      <c r="U86" s="64"/>
      <c r="V86" s="65"/>
      <c r="W86" s="29"/>
      <c r="X86" s="29"/>
    </row>
    <row r="87" spans="1:24" ht="45" customHeight="1" thickBot="1" x14ac:dyDescent="0.75">
      <c r="A87" s="68" t="s">
        <v>19</v>
      </c>
      <c r="B87" s="69"/>
      <c r="C87" s="70"/>
      <c r="D87" s="54">
        <f>SUM(D71:D86)</f>
        <v>27</v>
      </c>
      <c r="E87" s="54"/>
      <c r="F87" s="54"/>
      <c r="G87" s="54">
        <f>P71</f>
        <v>9</v>
      </c>
      <c r="H87" s="54">
        <f>P72+P73</f>
        <v>46</v>
      </c>
      <c r="I87" s="54">
        <f>P74+P75</f>
        <v>76</v>
      </c>
      <c r="J87" s="54">
        <f>P76+P77</f>
        <v>87</v>
      </c>
      <c r="K87" s="54">
        <f>P78+P79</f>
        <v>73</v>
      </c>
      <c r="L87" s="54">
        <f>P80+P81</f>
        <v>64</v>
      </c>
      <c r="M87" s="54">
        <f>P82+P83</f>
        <v>44</v>
      </c>
      <c r="N87" s="54">
        <f>P84+P85</f>
        <v>26</v>
      </c>
      <c r="O87" s="54">
        <f>P86</f>
        <v>3</v>
      </c>
      <c r="P87" s="55">
        <f>SUM(P71:P86)</f>
        <v>428</v>
      </c>
      <c r="Q87" s="56">
        <f>SUM(Q71:Q86)</f>
        <v>159.28999999999996</v>
      </c>
      <c r="R87" s="56">
        <f t="shared" ref="R87:S87" si="133">SUM(R71:R86)</f>
        <v>271.60999999999996</v>
      </c>
      <c r="S87" s="57">
        <f t="shared" si="133"/>
        <v>239.21</v>
      </c>
      <c r="T87" s="69"/>
      <c r="U87" s="69"/>
      <c r="V87" s="76"/>
      <c r="W87" s="29"/>
      <c r="X87" s="29"/>
    </row>
    <row r="88" spans="1:24" ht="45" customHeight="1" x14ac:dyDescent="0.7">
      <c r="A88" s="51">
        <f>C86+1</f>
        <v>102</v>
      </c>
      <c r="B88" s="11" t="s">
        <v>60</v>
      </c>
      <c r="C88" s="58">
        <f t="shared" ref="C88:C89" si="134">A88-1+D88</f>
        <v>102</v>
      </c>
      <c r="D88" s="12">
        <v>1</v>
      </c>
      <c r="E88" s="45"/>
      <c r="F88" s="135" t="s">
        <v>82</v>
      </c>
      <c r="G88" s="12">
        <v>4</v>
      </c>
      <c r="H88" s="12"/>
      <c r="I88" s="12"/>
      <c r="J88" s="12"/>
      <c r="K88" s="12"/>
      <c r="L88" s="12"/>
      <c r="M88" s="12"/>
      <c r="N88" s="12"/>
      <c r="O88" s="12"/>
      <c r="P88" s="12">
        <f>SUM(G88:O88)*D88</f>
        <v>4</v>
      </c>
      <c r="Q88" s="53">
        <v>6.6</v>
      </c>
      <c r="R88" s="53">
        <f t="shared" ref="R88:R89" si="135">Q88*D88</f>
        <v>6.6</v>
      </c>
      <c r="S88" s="53">
        <f t="shared" ref="S88:S89" si="136">R88-1.2*D88</f>
        <v>5.3999999999999995</v>
      </c>
      <c r="T88" s="63" t="s">
        <v>66</v>
      </c>
      <c r="U88" s="64"/>
      <c r="V88" s="65"/>
      <c r="W88" s="29"/>
      <c r="X88" s="29"/>
    </row>
    <row r="89" spans="1:24" ht="45" customHeight="1" x14ac:dyDescent="0.7">
      <c r="A89" s="51">
        <f>C88+1</f>
        <v>103</v>
      </c>
      <c r="B89" s="11" t="s">
        <v>60</v>
      </c>
      <c r="C89" s="58">
        <f t="shared" si="134"/>
        <v>103</v>
      </c>
      <c r="D89" s="12">
        <v>1</v>
      </c>
      <c r="E89" s="45"/>
      <c r="F89" s="74"/>
      <c r="G89" s="12"/>
      <c r="H89" s="12">
        <v>6</v>
      </c>
      <c r="I89" s="12"/>
      <c r="J89" s="12"/>
      <c r="K89" s="12"/>
      <c r="L89" s="12"/>
      <c r="M89" s="12"/>
      <c r="N89" s="12"/>
      <c r="O89" s="12"/>
      <c r="P89" s="12">
        <f t="shared" ref="P89" si="137">SUM(G89:O89)*D89</f>
        <v>6</v>
      </c>
      <c r="Q89" s="53">
        <v>6.6</v>
      </c>
      <c r="R89" s="53">
        <f t="shared" si="135"/>
        <v>6.6</v>
      </c>
      <c r="S89" s="53">
        <f t="shared" si="136"/>
        <v>5.3999999999999995</v>
      </c>
      <c r="T89" s="63" t="s">
        <v>66</v>
      </c>
      <c r="U89" s="64"/>
      <c r="V89" s="65"/>
      <c r="W89" s="29"/>
      <c r="X89" s="29"/>
    </row>
    <row r="90" spans="1:24" ht="45" customHeight="1" x14ac:dyDescent="0.7">
      <c r="A90" s="51">
        <f>C89+1</f>
        <v>104</v>
      </c>
      <c r="B90" s="11" t="s">
        <v>60</v>
      </c>
      <c r="C90" s="58">
        <f t="shared" ref="C90:C91" si="138">A90-1+D90</f>
        <v>104</v>
      </c>
      <c r="D90" s="12">
        <v>1</v>
      </c>
      <c r="E90" s="45"/>
      <c r="F90" s="74"/>
      <c r="G90" s="12"/>
      <c r="H90" s="12"/>
      <c r="I90" s="12">
        <v>8</v>
      </c>
      <c r="J90" s="12"/>
      <c r="K90" s="12"/>
      <c r="L90" s="12"/>
      <c r="M90" s="12"/>
      <c r="N90" s="12"/>
      <c r="O90" s="12"/>
      <c r="P90" s="12">
        <f t="shared" ref="P90" si="139">SUM(G90:O90)*D90</f>
        <v>8</v>
      </c>
      <c r="Q90" s="53">
        <v>6.6</v>
      </c>
      <c r="R90" s="53">
        <f t="shared" ref="R90:R91" si="140">Q90*D90</f>
        <v>6.6</v>
      </c>
      <c r="S90" s="53">
        <f t="shared" ref="S90:S95" si="141">R90-1.2*D90</f>
        <v>5.3999999999999995</v>
      </c>
      <c r="T90" s="63" t="s">
        <v>66</v>
      </c>
      <c r="U90" s="64"/>
      <c r="V90" s="65"/>
      <c r="W90" s="29"/>
      <c r="X90" s="29"/>
    </row>
    <row r="91" spans="1:24" ht="45" customHeight="1" x14ac:dyDescent="0.7">
      <c r="A91" s="51">
        <f t="shared" ref="A91:A95" si="142">C90+1</f>
        <v>105</v>
      </c>
      <c r="B91" s="11" t="s">
        <v>60</v>
      </c>
      <c r="C91" s="58">
        <f t="shared" si="138"/>
        <v>105</v>
      </c>
      <c r="D91" s="12">
        <v>1</v>
      </c>
      <c r="E91" s="45"/>
      <c r="F91" s="74"/>
      <c r="G91" s="12"/>
      <c r="H91" s="12"/>
      <c r="I91" s="12"/>
      <c r="J91" s="12">
        <v>9</v>
      </c>
      <c r="K91" s="12"/>
      <c r="L91" s="12"/>
      <c r="M91" s="12"/>
      <c r="N91" s="12"/>
      <c r="O91" s="12"/>
      <c r="P91" s="12">
        <f t="shared" ref="P91" si="143">SUM(G91:O91)*D91</f>
        <v>9</v>
      </c>
      <c r="Q91" s="53">
        <v>10.199999999999999</v>
      </c>
      <c r="R91" s="53">
        <f t="shared" si="140"/>
        <v>10.199999999999999</v>
      </c>
      <c r="S91" s="53">
        <f t="shared" ref="S91" si="144">R91-1.2*D91</f>
        <v>9</v>
      </c>
      <c r="T91" s="63" t="s">
        <v>66</v>
      </c>
      <c r="U91" s="64"/>
      <c r="V91" s="65"/>
      <c r="W91" s="29"/>
      <c r="X91" s="29"/>
    </row>
    <row r="92" spans="1:24" ht="45" customHeight="1" x14ac:dyDescent="0.7">
      <c r="A92" s="51">
        <f t="shared" si="142"/>
        <v>106</v>
      </c>
      <c r="B92" s="11" t="s">
        <v>60</v>
      </c>
      <c r="C92" s="58">
        <f t="shared" ref="C92:C95" si="145">A92-1+D92</f>
        <v>106</v>
      </c>
      <c r="D92" s="12">
        <v>1</v>
      </c>
      <c r="E92" s="45"/>
      <c r="F92" s="74"/>
      <c r="G92" s="12"/>
      <c r="H92" s="12"/>
      <c r="I92" s="12"/>
      <c r="J92" s="12"/>
      <c r="K92" s="12">
        <v>10</v>
      </c>
      <c r="L92" s="12"/>
      <c r="M92" s="12"/>
      <c r="N92" s="12"/>
      <c r="O92" s="12"/>
      <c r="P92" s="12">
        <f t="shared" ref="P92" si="146">SUM(G92:O92)*D92</f>
        <v>10</v>
      </c>
      <c r="Q92" s="53">
        <v>10.95</v>
      </c>
      <c r="R92" s="53">
        <f t="shared" ref="R92" si="147">Q92*D92</f>
        <v>10.95</v>
      </c>
      <c r="S92" s="53">
        <f t="shared" si="141"/>
        <v>9.75</v>
      </c>
      <c r="T92" s="63" t="s">
        <v>66</v>
      </c>
      <c r="U92" s="64"/>
      <c r="V92" s="65"/>
      <c r="W92" s="29"/>
      <c r="X92" s="29"/>
    </row>
    <row r="93" spans="1:24" ht="45" customHeight="1" x14ac:dyDescent="0.7">
      <c r="A93" s="51">
        <f t="shared" si="142"/>
        <v>107</v>
      </c>
      <c r="B93" s="11" t="s">
        <v>60</v>
      </c>
      <c r="C93" s="58">
        <f t="shared" si="145"/>
        <v>107</v>
      </c>
      <c r="D93" s="12">
        <v>1</v>
      </c>
      <c r="E93" s="45"/>
      <c r="F93" s="74"/>
      <c r="G93" s="12"/>
      <c r="H93" s="12"/>
      <c r="I93" s="12"/>
      <c r="J93" s="12"/>
      <c r="K93" s="12"/>
      <c r="L93" s="12">
        <v>8</v>
      </c>
      <c r="M93" s="12"/>
      <c r="N93" s="12"/>
      <c r="O93" s="12"/>
      <c r="P93" s="12">
        <f t="shared" ref="P93" si="148">SUM(G93:O93)*D93</f>
        <v>8</v>
      </c>
      <c r="Q93" s="53">
        <v>11.25</v>
      </c>
      <c r="R93" s="53">
        <f t="shared" ref="R93" si="149">Q93*D93</f>
        <v>11.25</v>
      </c>
      <c r="S93" s="53">
        <f t="shared" si="141"/>
        <v>10.050000000000001</v>
      </c>
      <c r="T93" s="63" t="s">
        <v>66</v>
      </c>
      <c r="U93" s="64"/>
      <c r="V93" s="65"/>
      <c r="W93" s="29"/>
      <c r="X93" s="29"/>
    </row>
    <row r="94" spans="1:24" ht="45" customHeight="1" x14ac:dyDescent="0.7">
      <c r="A94" s="51">
        <f t="shared" si="142"/>
        <v>108</v>
      </c>
      <c r="B94" s="11" t="s">
        <v>60</v>
      </c>
      <c r="C94" s="58">
        <f t="shared" si="145"/>
        <v>108</v>
      </c>
      <c r="D94" s="12">
        <v>1</v>
      </c>
      <c r="E94" s="45"/>
      <c r="F94" s="74"/>
      <c r="G94" s="12"/>
      <c r="H94" s="12"/>
      <c r="I94" s="12"/>
      <c r="J94" s="12"/>
      <c r="K94" s="12"/>
      <c r="L94" s="12"/>
      <c r="M94" s="12">
        <v>7</v>
      </c>
      <c r="N94" s="12"/>
      <c r="O94" s="12"/>
      <c r="P94" s="12">
        <f t="shared" ref="P94" si="150">SUM(G94:O94)*D94</f>
        <v>7</v>
      </c>
      <c r="Q94" s="53">
        <v>11.75</v>
      </c>
      <c r="R94" s="53">
        <f t="shared" ref="R94" si="151">Q94*D94</f>
        <v>11.75</v>
      </c>
      <c r="S94" s="53">
        <f t="shared" ref="S94" si="152">R94-1.2*D94</f>
        <v>10.55</v>
      </c>
      <c r="T94" s="63" t="s">
        <v>66</v>
      </c>
      <c r="U94" s="64"/>
      <c r="V94" s="65"/>
      <c r="W94" s="29"/>
      <c r="X94" s="29"/>
    </row>
    <row r="95" spans="1:24" ht="45" customHeight="1" thickBot="1" x14ac:dyDescent="0.75">
      <c r="A95" s="51">
        <f t="shared" si="142"/>
        <v>109</v>
      </c>
      <c r="B95" s="11" t="s">
        <v>60</v>
      </c>
      <c r="C95" s="58">
        <f t="shared" si="145"/>
        <v>109</v>
      </c>
      <c r="D95" s="12">
        <v>1</v>
      </c>
      <c r="E95" s="45"/>
      <c r="F95" s="134"/>
      <c r="G95" s="12"/>
      <c r="H95" s="12"/>
      <c r="I95" s="12"/>
      <c r="J95" s="12"/>
      <c r="K95" s="12"/>
      <c r="L95" s="12"/>
      <c r="M95" s="12"/>
      <c r="N95" s="12">
        <v>3</v>
      </c>
      <c r="O95" s="12"/>
      <c r="P95" s="12">
        <f t="shared" ref="P95" si="153">SUM(G95:O95)*D95</f>
        <v>3</v>
      </c>
      <c r="Q95" s="53">
        <v>12.15</v>
      </c>
      <c r="R95" s="53">
        <f t="shared" ref="R95" si="154">Q95*D95</f>
        <v>12.15</v>
      </c>
      <c r="S95" s="53">
        <f t="shared" si="141"/>
        <v>10.950000000000001</v>
      </c>
      <c r="T95" s="63" t="s">
        <v>66</v>
      </c>
      <c r="U95" s="64"/>
      <c r="V95" s="65"/>
      <c r="W95" s="29"/>
      <c r="X95" s="29"/>
    </row>
    <row r="96" spans="1:24" s="3" customFormat="1" ht="45" customHeight="1" thickBot="1" x14ac:dyDescent="0.25">
      <c r="A96" s="68" t="s">
        <v>19</v>
      </c>
      <c r="B96" s="69"/>
      <c r="C96" s="70"/>
      <c r="D96" s="54">
        <f>SUM(D88:D95)</f>
        <v>8</v>
      </c>
      <c r="E96" s="54"/>
      <c r="F96" s="54"/>
      <c r="G96" s="54">
        <f>P88</f>
        <v>4</v>
      </c>
      <c r="H96" s="54">
        <f>P89</f>
        <v>6</v>
      </c>
      <c r="I96" s="54">
        <f>P90</f>
        <v>8</v>
      </c>
      <c r="J96" s="54">
        <f>P91</f>
        <v>9</v>
      </c>
      <c r="K96" s="54">
        <f>P92</f>
        <v>10</v>
      </c>
      <c r="L96" s="54">
        <f>P93</f>
        <v>8</v>
      </c>
      <c r="M96" s="54">
        <f>P94</f>
        <v>7</v>
      </c>
      <c r="N96" s="54">
        <f>P95</f>
        <v>3</v>
      </c>
      <c r="O96" s="54">
        <v>0</v>
      </c>
      <c r="P96" s="54">
        <f>SUM(P88:P95)</f>
        <v>55</v>
      </c>
      <c r="Q96" s="57">
        <f>SUM(Q88:Q95)</f>
        <v>76.099999999999994</v>
      </c>
      <c r="R96" s="57">
        <f t="shared" ref="R96:S96" si="155">SUM(R88:R95)</f>
        <v>76.099999999999994</v>
      </c>
      <c r="S96" s="57">
        <f t="shared" si="155"/>
        <v>66.5</v>
      </c>
      <c r="T96" s="75"/>
      <c r="U96" s="69"/>
      <c r="V96" s="76"/>
      <c r="W96" s="31"/>
      <c r="X96" s="31"/>
    </row>
    <row r="97" spans="1:24" ht="45" customHeight="1" x14ac:dyDescent="0.7">
      <c r="A97" s="51">
        <f>C95+1</f>
        <v>110</v>
      </c>
      <c r="B97" s="11" t="s">
        <v>60</v>
      </c>
      <c r="C97" s="52">
        <f>A97-1+D97</f>
        <v>110</v>
      </c>
      <c r="D97" s="12">
        <v>1</v>
      </c>
      <c r="E97" s="45"/>
      <c r="F97" s="135" t="s">
        <v>83</v>
      </c>
      <c r="G97" s="12">
        <v>5</v>
      </c>
      <c r="H97" s="12"/>
      <c r="I97" s="12"/>
      <c r="J97" s="12"/>
      <c r="K97" s="12"/>
      <c r="L97" s="12"/>
      <c r="M97" s="12"/>
      <c r="N97" s="12"/>
      <c r="O97" s="12"/>
      <c r="P97" s="12">
        <f t="shared" ref="P97:P98" si="156">SUM(G97:O97)*D97</f>
        <v>5</v>
      </c>
      <c r="Q97" s="53">
        <v>6.2</v>
      </c>
      <c r="R97" s="53">
        <f t="shared" ref="R97:R98" si="157">Q97*D97</f>
        <v>6.2</v>
      </c>
      <c r="S97" s="53">
        <f t="shared" ref="S97:S98" si="158">R97-1.2*D97</f>
        <v>5</v>
      </c>
      <c r="T97" s="63" t="s">
        <v>66</v>
      </c>
      <c r="U97" s="64"/>
      <c r="V97" s="65"/>
      <c r="W97" s="29"/>
      <c r="X97" s="29"/>
    </row>
    <row r="98" spans="1:24" ht="45" customHeight="1" x14ac:dyDescent="0.7">
      <c r="A98" s="51">
        <f>C97+1</f>
        <v>111</v>
      </c>
      <c r="B98" s="11" t="s">
        <v>60</v>
      </c>
      <c r="C98" s="52">
        <f>A98-1+D98</f>
        <v>116</v>
      </c>
      <c r="D98" s="12">
        <v>6</v>
      </c>
      <c r="E98" s="45"/>
      <c r="F98" s="74"/>
      <c r="G98" s="12"/>
      <c r="H98" s="12">
        <v>20</v>
      </c>
      <c r="I98" s="12"/>
      <c r="J98" s="12"/>
      <c r="K98" s="12"/>
      <c r="L98" s="12"/>
      <c r="M98" s="12"/>
      <c r="N98" s="12"/>
      <c r="O98" s="12"/>
      <c r="P98" s="12">
        <f t="shared" si="156"/>
        <v>120</v>
      </c>
      <c r="Q98" s="53">
        <v>6.2</v>
      </c>
      <c r="R98" s="53">
        <f t="shared" si="157"/>
        <v>37.200000000000003</v>
      </c>
      <c r="S98" s="53">
        <f t="shared" si="158"/>
        <v>30.000000000000004</v>
      </c>
      <c r="T98" s="63" t="s">
        <v>66</v>
      </c>
      <c r="U98" s="64"/>
      <c r="V98" s="65"/>
      <c r="W98" s="29"/>
      <c r="X98" s="29"/>
    </row>
    <row r="99" spans="1:24" ht="45" customHeight="1" x14ac:dyDescent="0.7">
      <c r="A99" s="51">
        <f>C98+1</f>
        <v>117</v>
      </c>
      <c r="B99" s="11" t="s">
        <v>60</v>
      </c>
      <c r="C99" s="52">
        <f>A99-1+D99</f>
        <v>117</v>
      </c>
      <c r="D99" s="12">
        <v>1</v>
      </c>
      <c r="E99" s="45"/>
      <c r="F99" s="74"/>
      <c r="G99" s="12"/>
      <c r="H99" s="12">
        <v>1</v>
      </c>
      <c r="I99" s="12"/>
      <c r="J99" s="12"/>
      <c r="K99" s="12"/>
      <c r="L99" s="12"/>
      <c r="M99" s="12"/>
      <c r="N99" s="12"/>
      <c r="O99" s="12"/>
      <c r="P99" s="12">
        <f t="shared" ref="P99" si="159">SUM(G99:O99)*D99</f>
        <v>1</v>
      </c>
      <c r="Q99" s="53">
        <v>6.2</v>
      </c>
      <c r="R99" s="53">
        <f t="shared" ref="R99:R109" si="160">Q99*D99</f>
        <v>6.2</v>
      </c>
      <c r="S99" s="53">
        <f t="shared" ref="S99:S109" si="161">R99-1.2*D99</f>
        <v>5</v>
      </c>
      <c r="T99" s="63" t="s">
        <v>66</v>
      </c>
      <c r="U99" s="64"/>
      <c r="V99" s="65"/>
      <c r="W99" s="29"/>
      <c r="X99" s="29"/>
    </row>
    <row r="100" spans="1:24" ht="45" customHeight="1" x14ac:dyDescent="0.7">
      <c r="A100" s="51">
        <f t="shared" ref="A100:A111" si="162">C99+1</f>
        <v>118</v>
      </c>
      <c r="B100" s="11" t="s">
        <v>60</v>
      </c>
      <c r="C100" s="52">
        <f t="shared" ref="C100:C111" si="163">A100-1+D100</f>
        <v>134</v>
      </c>
      <c r="D100" s="12">
        <v>17</v>
      </c>
      <c r="E100" s="45"/>
      <c r="F100" s="74"/>
      <c r="G100" s="12"/>
      <c r="H100" s="12"/>
      <c r="I100" s="12">
        <v>20</v>
      </c>
      <c r="J100" s="12"/>
      <c r="K100" s="12"/>
      <c r="L100" s="12"/>
      <c r="M100" s="12"/>
      <c r="N100" s="12"/>
      <c r="O100" s="12"/>
      <c r="P100" s="12">
        <f t="shared" ref="P100" si="164">SUM(G100:O100)*D100</f>
        <v>340</v>
      </c>
      <c r="Q100" s="53">
        <v>9.1999999999999993</v>
      </c>
      <c r="R100" s="53">
        <f t="shared" ref="R100" si="165">Q100*D100</f>
        <v>156.39999999999998</v>
      </c>
      <c r="S100" s="53">
        <f t="shared" ref="S100" si="166">R100-1.2*D100</f>
        <v>135.99999999999997</v>
      </c>
      <c r="T100" s="63" t="s">
        <v>66</v>
      </c>
      <c r="U100" s="64"/>
      <c r="V100" s="65"/>
      <c r="W100" s="29"/>
      <c r="X100" s="29"/>
    </row>
    <row r="101" spans="1:24" ht="45" customHeight="1" x14ac:dyDescent="0.7">
      <c r="A101" s="51">
        <f t="shared" si="162"/>
        <v>135</v>
      </c>
      <c r="B101" s="11" t="s">
        <v>60</v>
      </c>
      <c r="C101" s="52">
        <f t="shared" si="163"/>
        <v>135</v>
      </c>
      <c r="D101" s="12">
        <v>1</v>
      </c>
      <c r="E101" s="45"/>
      <c r="F101" s="74"/>
      <c r="G101" s="12"/>
      <c r="H101" s="12"/>
      <c r="I101" s="12">
        <v>4</v>
      </c>
      <c r="J101" s="12"/>
      <c r="K101" s="12"/>
      <c r="L101" s="12"/>
      <c r="M101" s="12"/>
      <c r="N101" s="12"/>
      <c r="O101" s="12"/>
      <c r="P101" s="12">
        <f t="shared" ref="P101:P103" si="167">SUM(G101:O101)*D101</f>
        <v>4</v>
      </c>
      <c r="Q101" s="53">
        <v>8.4</v>
      </c>
      <c r="R101" s="53">
        <f t="shared" si="160"/>
        <v>8.4</v>
      </c>
      <c r="S101" s="53">
        <f t="shared" si="161"/>
        <v>7.2</v>
      </c>
      <c r="T101" s="63" t="s">
        <v>66</v>
      </c>
      <c r="U101" s="64"/>
      <c r="V101" s="65"/>
      <c r="W101" s="29"/>
      <c r="X101" s="29"/>
    </row>
    <row r="102" spans="1:24" ht="45" customHeight="1" x14ac:dyDescent="0.7">
      <c r="A102" s="51">
        <f t="shared" si="162"/>
        <v>136</v>
      </c>
      <c r="B102" s="11" t="s">
        <v>60</v>
      </c>
      <c r="C102" s="52">
        <f t="shared" si="163"/>
        <v>156</v>
      </c>
      <c r="D102" s="12">
        <v>21</v>
      </c>
      <c r="E102" s="45"/>
      <c r="F102" s="74"/>
      <c r="G102" s="12"/>
      <c r="H102" s="12"/>
      <c r="I102" s="12"/>
      <c r="J102" s="12">
        <v>20</v>
      </c>
      <c r="K102" s="12"/>
      <c r="L102" s="12"/>
      <c r="M102" s="12"/>
      <c r="N102" s="12"/>
      <c r="O102" s="12"/>
      <c r="P102" s="12">
        <f t="shared" ref="P102" si="168">SUM(G102:O102)*D102</f>
        <v>420</v>
      </c>
      <c r="Q102" s="53">
        <v>9.6999999999999993</v>
      </c>
      <c r="R102" s="53">
        <f t="shared" ref="R102" si="169">Q102*D102</f>
        <v>203.7</v>
      </c>
      <c r="S102" s="53">
        <f t="shared" ref="S102" si="170">R102-1.2*D102</f>
        <v>178.5</v>
      </c>
      <c r="T102" s="63" t="s">
        <v>66</v>
      </c>
      <c r="U102" s="64"/>
      <c r="V102" s="65"/>
      <c r="W102" s="29"/>
      <c r="X102" s="29"/>
    </row>
    <row r="103" spans="1:24" ht="45" customHeight="1" x14ac:dyDescent="0.7">
      <c r="A103" s="51">
        <f t="shared" si="162"/>
        <v>157</v>
      </c>
      <c r="B103" s="11" t="s">
        <v>60</v>
      </c>
      <c r="C103" s="52">
        <f t="shared" si="163"/>
        <v>157</v>
      </c>
      <c r="D103" s="12">
        <v>1</v>
      </c>
      <c r="E103" s="45"/>
      <c r="F103" s="74"/>
      <c r="G103" s="12"/>
      <c r="H103" s="12"/>
      <c r="I103" s="12"/>
      <c r="J103" s="12">
        <v>11</v>
      </c>
      <c r="K103" s="12"/>
      <c r="L103" s="12"/>
      <c r="M103" s="12"/>
      <c r="N103" s="12"/>
      <c r="O103" s="12"/>
      <c r="P103" s="12">
        <f t="shared" si="167"/>
        <v>11</v>
      </c>
      <c r="Q103" s="53">
        <v>9.6999999999999993</v>
      </c>
      <c r="R103" s="53">
        <f t="shared" si="160"/>
        <v>9.6999999999999993</v>
      </c>
      <c r="S103" s="53">
        <f t="shared" si="161"/>
        <v>8.5</v>
      </c>
      <c r="T103" s="63" t="s">
        <v>66</v>
      </c>
      <c r="U103" s="64"/>
      <c r="V103" s="65"/>
      <c r="W103" s="29"/>
      <c r="X103" s="29"/>
    </row>
    <row r="104" spans="1:24" ht="45" customHeight="1" x14ac:dyDescent="0.7">
      <c r="A104" s="51">
        <f t="shared" si="162"/>
        <v>158</v>
      </c>
      <c r="B104" s="11" t="s">
        <v>60</v>
      </c>
      <c r="C104" s="52">
        <f t="shared" si="163"/>
        <v>184</v>
      </c>
      <c r="D104" s="12">
        <v>27</v>
      </c>
      <c r="E104" s="45"/>
      <c r="F104" s="74"/>
      <c r="G104" s="12"/>
      <c r="H104" s="12"/>
      <c r="I104" s="12"/>
      <c r="J104" s="12"/>
      <c r="K104" s="12">
        <v>20</v>
      </c>
      <c r="L104" s="12"/>
      <c r="M104" s="12"/>
      <c r="N104" s="12"/>
      <c r="O104" s="12"/>
      <c r="P104" s="12">
        <f t="shared" ref="P104" si="171">SUM(G104:O104)*D104</f>
        <v>540</v>
      </c>
      <c r="Q104" s="53">
        <v>10</v>
      </c>
      <c r="R104" s="53">
        <f t="shared" ref="R104" si="172">Q104*D104</f>
        <v>270</v>
      </c>
      <c r="S104" s="53">
        <f t="shared" ref="S104" si="173">R104-1.2*D104</f>
        <v>237.6</v>
      </c>
      <c r="T104" s="63" t="s">
        <v>66</v>
      </c>
      <c r="U104" s="64"/>
      <c r="V104" s="65"/>
      <c r="W104" s="29"/>
      <c r="X104" s="29"/>
    </row>
    <row r="105" spans="1:24" ht="45" customHeight="1" x14ac:dyDescent="0.7">
      <c r="A105" s="51">
        <f t="shared" si="162"/>
        <v>185</v>
      </c>
      <c r="B105" s="11" t="s">
        <v>60</v>
      </c>
      <c r="C105" s="52">
        <f t="shared" si="163"/>
        <v>185</v>
      </c>
      <c r="D105" s="12">
        <v>1</v>
      </c>
      <c r="E105" s="45"/>
      <c r="F105" s="74"/>
      <c r="G105" s="12"/>
      <c r="H105" s="12"/>
      <c r="I105" s="12"/>
      <c r="J105" s="12"/>
      <c r="K105" s="12">
        <v>9</v>
      </c>
      <c r="L105" s="12"/>
      <c r="M105" s="12"/>
      <c r="N105" s="12"/>
      <c r="O105" s="12"/>
      <c r="P105" s="12">
        <f t="shared" ref="P105" si="174">SUM(G105:O105)*D105</f>
        <v>9</v>
      </c>
      <c r="Q105" s="53">
        <v>10</v>
      </c>
      <c r="R105" s="53">
        <f t="shared" si="160"/>
        <v>10</v>
      </c>
      <c r="S105" s="53">
        <f t="shared" si="161"/>
        <v>8.8000000000000007</v>
      </c>
      <c r="T105" s="63" t="s">
        <v>66</v>
      </c>
      <c r="U105" s="64"/>
      <c r="V105" s="65"/>
      <c r="W105" s="29"/>
      <c r="X105" s="29"/>
    </row>
    <row r="106" spans="1:24" ht="45" customHeight="1" x14ac:dyDescent="0.7">
      <c r="A106" s="51">
        <f t="shared" si="162"/>
        <v>186</v>
      </c>
      <c r="B106" s="11" t="s">
        <v>60</v>
      </c>
      <c r="C106" s="52">
        <f t="shared" si="163"/>
        <v>203</v>
      </c>
      <c r="D106" s="12">
        <v>18</v>
      </c>
      <c r="E106" s="45"/>
      <c r="F106" s="74"/>
      <c r="G106" s="12"/>
      <c r="H106" s="12"/>
      <c r="I106" s="12"/>
      <c r="J106" s="12"/>
      <c r="K106" s="12"/>
      <c r="L106" s="12">
        <v>20</v>
      </c>
      <c r="M106" s="12"/>
      <c r="N106" s="12"/>
      <c r="O106" s="12"/>
      <c r="P106" s="12">
        <f t="shared" ref="P106" si="175">SUM(G106:O106)*D106</f>
        <v>360</v>
      </c>
      <c r="Q106" s="53">
        <v>10.45</v>
      </c>
      <c r="R106" s="53">
        <f t="shared" ref="R106" si="176">Q106*D106</f>
        <v>188.1</v>
      </c>
      <c r="S106" s="53">
        <f t="shared" ref="S106" si="177">R106-1.2*D106</f>
        <v>166.5</v>
      </c>
      <c r="T106" s="63" t="s">
        <v>66</v>
      </c>
      <c r="U106" s="64"/>
      <c r="V106" s="65"/>
      <c r="W106" s="29"/>
      <c r="X106" s="29"/>
    </row>
    <row r="107" spans="1:24" ht="45" customHeight="1" x14ac:dyDescent="0.7">
      <c r="A107" s="51">
        <f t="shared" si="162"/>
        <v>204</v>
      </c>
      <c r="B107" s="11" t="s">
        <v>60</v>
      </c>
      <c r="C107" s="52">
        <f t="shared" si="163"/>
        <v>204</v>
      </c>
      <c r="D107" s="12">
        <v>1</v>
      </c>
      <c r="E107" s="45"/>
      <c r="F107" s="74"/>
      <c r="G107" s="12"/>
      <c r="H107" s="12"/>
      <c r="I107" s="12"/>
      <c r="J107" s="12"/>
      <c r="K107" s="12"/>
      <c r="L107" s="12">
        <v>14</v>
      </c>
      <c r="M107" s="12"/>
      <c r="N107" s="12"/>
      <c r="O107" s="12"/>
      <c r="P107" s="12">
        <f t="shared" ref="P107:P109" si="178">SUM(G107:O107)*D107</f>
        <v>14</v>
      </c>
      <c r="Q107" s="53">
        <v>10.45</v>
      </c>
      <c r="R107" s="53">
        <f t="shared" si="160"/>
        <v>10.45</v>
      </c>
      <c r="S107" s="53">
        <f t="shared" si="161"/>
        <v>9.25</v>
      </c>
      <c r="T107" s="63" t="s">
        <v>66</v>
      </c>
      <c r="U107" s="64"/>
      <c r="V107" s="65"/>
      <c r="W107" s="29"/>
      <c r="X107" s="29"/>
    </row>
    <row r="108" spans="1:24" ht="45" customHeight="1" x14ac:dyDescent="0.7">
      <c r="A108" s="51">
        <f t="shared" si="162"/>
        <v>205</v>
      </c>
      <c r="B108" s="11" t="s">
        <v>60</v>
      </c>
      <c r="C108" s="52">
        <f t="shared" si="163"/>
        <v>218</v>
      </c>
      <c r="D108" s="12">
        <v>14</v>
      </c>
      <c r="E108" s="45"/>
      <c r="F108" s="74"/>
      <c r="G108" s="12"/>
      <c r="H108" s="12"/>
      <c r="I108" s="12"/>
      <c r="J108" s="12"/>
      <c r="K108" s="12"/>
      <c r="L108" s="12"/>
      <c r="M108" s="12">
        <v>20</v>
      </c>
      <c r="N108" s="12"/>
      <c r="O108" s="12"/>
      <c r="P108" s="12">
        <f t="shared" ref="P108" si="179">SUM(G108:O108)*D108</f>
        <v>280</v>
      </c>
      <c r="Q108" s="53">
        <v>11.1</v>
      </c>
      <c r="R108" s="53">
        <f t="shared" ref="R108" si="180">Q108*D108</f>
        <v>155.4</v>
      </c>
      <c r="S108" s="53">
        <f t="shared" ref="S108" si="181">R108-1.2*D108</f>
        <v>138.6</v>
      </c>
      <c r="T108" s="63" t="s">
        <v>66</v>
      </c>
      <c r="U108" s="64"/>
      <c r="V108" s="65"/>
      <c r="W108" s="29"/>
      <c r="X108" s="29"/>
    </row>
    <row r="109" spans="1:24" ht="45" customHeight="1" x14ac:dyDescent="0.7">
      <c r="A109" s="51">
        <f t="shared" si="162"/>
        <v>219</v>
      </c>
      <c r="B109" s="11" t="s">
        <v>60</v>
      </c>
      <c r="C109" s="52">
        <f t="shared" si="163"/>
        <v>219</v>
      </c>
      <c r="D109" s="12">
        <v>1</v>
      </c>
      <c r="E109" s="45"/>
      <c r="F109" s="74"/>
      <c r="G109" s="12"/>
      <c r="H109" s="12"/>
      <c r="I109" s="12"/>
      <c r="J109" s="12"/>
      <c r="K109" s="12"/>
      <c r="L109" s="12"/>
      <c r="M109" s="12">
        <v>2</v>
      </c>
      <c r="N109" s="12"/>
      <c r="O109" s="12"/>
      <c r="P109" s="12">
        <f t="shared" si="178"/>
        <v>2</v>
      </c>
      <c r="Q109" s="53">
        <v>11.1</v>
      </c>
      <c r="R109" s="53">
        <f t="shared" si="160"/>
        <v>11.1</v>
      </c>
      <c r="S109" s="53">
        <f t="shared" si="161"/>
        <v>9.9</v>
      </c>
      <c r="T109" s="63" t="s">
        <v>66</v>
      </c>
      <c r="U109" s="64"/>
      <c r="V109" s="65"/>
      <c r="W109" s="29"/>
      <c r="X109" s="29"/>
    </row>
    <row r="110" spans="1:24" ht="45" customHeight="1" x14ac:dyDescent="0.7">
      <c r="A110" s="51">
        <f t="shared" si="162"/>
        <v>220</v>
      </c>
      <c r="B110" s="11" t="s">
        <v>60</v>
      </c>
      <c r="C110" s="52">
        <f t="shared" si="163"/>
        <v>223</v>
      </c>
      <c r="D110" s="12">
        <v>4</v>
      </c>
      <c r="E110" s="45"/>
      <c r="F110" s="74"/>
      <c r="G110" s="12"/>
      <c r="H110" s="12"/>
      <c r="I110" s="12"/>
      <c r="J110" s="12"/>
      <c r="K110" s="12"/>
      <c r="L110" s="12"/>
      <c r="M110" s="12"/>
      <c r="N110" s="12">
        <v>20</v>
      </c>
      <c r="O110" s="12"/>
      <c r="P110" s="12">
        <f t="shared" ref="P110" si="182">SUM(G110:O110)*D110</f>
        <v>80</v>
      </c>
      <c r="Q110" s="53">
        <v>11.25</v>
      </c>
      <c r="R110" s="53">
        <f t="shared" ref="R110:R111" si="183">Q110*D110</f>
        <v>45</v>
      </c>
      <c r="S110" s="53">
        <f t="shared" ref="S110:S111" si="184">R110-1.2*D110</f>
        <v>40.200000000000003</v>
      </c>
      <c r="T110" s="63" t="s">
        <v>66</v>
      </c>
      <c r="U110" s="64"/>
      <c r="V110" s="65"/>
      <c r="W110" s="29"/>
      <c r="X110" s="29"/>
    </row>
    <row r="111" spans="1:24" ht="45" customHeight="1" thickBot="1" x14ac:dyDescent="0.75">
      <c r="A111" s="51">
        <f t="shared" si="162"/>
        <v>224</v>
      </c>
      <c r="B111" s="11" t="s">
        <v>60</v>
      </c>
      <c r="C111" s="52">
        <f t="shared" si="163"/>
        <v>224</v>
      </c>
      <c r="D111" s="12">
        <v>1</v>
      </c>
      <c r="E111" s="45"/>
      <c r="F111" s="134"/>
      <c r="G111" s="12"/>
      <c r="H111" s="12"/>
      <c r="I111" s="12"/>
      <c r="J111" s="12"/>
      <c r="K111" s="12"/>
      <c r="L111" s="12"/>
      <c r="M111" s="12"/>
      <c r="N111" s="12">
        <v>5</v>
      </c>
      <c r="O111" s="12"/>
      <c r="P111" s="12">
        <f t="shared" ref="P111" si="185">SUM(G111:O111)*D111</f>
        <v>5</v>
      </c>
      <c r="Q111" s="53">
        <v>8.6</v>
      </c>
      <c r="R111" s="53">
        <f t="shared" si="183"/>
        <v>8.6</v>
      </c>
      <c r="S111" s="53">
        <f t="shared" si="184"/>
        <v>7.3999999999999995</v>
      </c>
      <c r="T111" s="63" t="s">
        <v>66</v>
      </c>
      <c r="U111" s="64"/>
      <c r="V111" s="65"/>
      <c r="W111" s="29"/>
      <c r="X111" s="29"/>
    </row>
    <row r="112" spans="1:24" ht="45" customHeight="1" thickBot="1" x14ac:dyDescent="0.75">
      <c r="A112" s="68" t="s">
        <v>19</v>
      </c>
      <c r="B112" s="69"/>
      <c r="C112" s="70"/>
      <c r="D112" s="54">
        <f>SUM(D97:D111)</f>
        <v>115</v>
      </c>
      <c r="E112" s="54"/>
      <c r="F112" s="54"/>
      <c r="G112" s="54">
        <f>P97</f>
        <v>5</v>
      </c>
      <c r="H112" s="54">
        <f>P98+P99</f>
        <v>121</v>
      </c>
      <c r="I112" s="54">
        <f>P100+P101</f>
        <v>344</v>
      </c>
      <c r="J112" s="54">
        <f>P102+P103</f>
        <v>431</v>
      </c>
      <c r="K112" s="54">
        <f>P104+P105</f>
        <v>549</v>
      </c>
      <c r="L112" s="54">
        <f>P106+P107</f>
        <v>374</v>
      </c>
      <c r="M112" s="54">
        <f>P108+P109</f>
        <v>282</v>
      </c>
      <c r="N112" s="54">
        <f>P110+P111</f>
        <v>85</v>
      </c>
      <c r="O112" s="54">
        <v>0</v>
      </c>
      <c r="P112" s="55">
        <f>SUM(P97:P111)</f>
        <v>2191</v>
      </c>
      <c r="Q112" s="56">
        <f>SUM(Q97:Q111)</f>
        <v>138.54999999999998</v>
      </c>
      <c r="R112" s="56">
        <f>SUM(R97:R111)</f>
        <v>1126.4499999999998</v>
      </c>
      <c r="S112" s="56">
        <f t="shared" ref="S112" si="186">SUM(S97:S111)</f>
        <v>988.44999999999993</v>
      </c>
      <c r="T112" s="69"/>
      <c r="U112" s="69"/>
      <c r="V112" s="76"/>
      <c r="W112" s="29"/>
      <c r="X112" s="29"/>
    </row>
    <row r="113" spans="1:24" ht="45" customHeight="1" x14ac:dyDescent="0.7">
      <c r="A113" s="51">
        <f>C111+1</f>
        <v>225</v>
      </c>
      <c r="B113" s="11" t="s">
        <v>60</v>
      </c>
      <c r="C113" s="58">
        <f>A113-1+D113</f>
        <v>225</v>
      </c>
      <c r="D113" s="12">
        <v>1</v>
      </c>
      <c r="E113" s="45"/>
      <c r="F113" s="135" t="s">
        <v>84</v>
      </c>
      <c r="G113" s="12">
        <v>20</v>
      </c>
      <c r="H113" s="12"/>
      <c r="I113" s="12"/>
      <c r="J113" s="12"/>
      <c r="K113" s="12"/>
      <c r="L113" s="12"/>
      <c r="M113" s="12"/>
      <c r="N113" s="12"/>
      <c r="O113" s="12"/>
      <c r="P113" s="12">
        <f t="shared" ref="P113:P114" si="187">SUM(G113:O113)*D113</f>
        <v>20</v>
      </c>
      <c r="Q113" s="53">
        <v>9.35</v>
      </c>
      <c r="R113" s="53">
        <f t="shared" ref="R113:R114" si="188">Q113*D113</f>
        <v>9.35</v>
      </c>
      <c r="S113" s="53">
        <f t="shared" ref="S113:S114" si="189">R113-1.2*D113</f>
        <v>8.15</v>
      </c>
      <c r="T113" s="63" t="s">
        <v>66</v>
      </c>
      <c r="U113" s="64"/>
      <c r="V113" s="65"/>
      <c r="W113" s="29"/>
      <c r="X113" s="29"/>
    </row>
    <row r="114" spans="1:24" ht="45" customHeight="1" x14ac:dyDescent="0.7">
      <c r="A114" s="51">
        <f>C113+1</f>
        <v>226</v>
      </c>
      <c r="B114" s="11" t="s">
        <v>60</v>
      </c>
      <c r="C114" s="58">
        <f>A114-1+D114</f>
        <v>226</v>
      </c>
      <c r="D114" s="12">
        <v>1</v>
      </c>
      <c r="E114" s="45"/>
      <c r="F114" s="74"/>
      <c r="G114" s="12">
        <v>15</v>
      </c>
      <c r="H114" s="12"/>
      <c r="I114" s="12"/>
      <c r="J114" s="12"/>
      <c r="K114" s="12"/>
      <c r="L114" s="12"/>
      <c r="M114" s="12"/>
      <c r="N114" s="12"/>
      <c r="O114" s="12"/>
      <c r="P114" s="12">
        <f t="shared" si="187"/>
        <v>15</v>
      </c>
      <c r="Q114" s="53">
        <v>7.3</v>
      </c>
      <c r="R114" s="53">
        <f t="shared" si="188"/>
        <v>7.3</v>
      </c>
      <c r="S114" s="53">
        <f t="shared" si="189"/>
        <v>6.1</v>
      </c>
      <c r="T114" s="63" t="s">
        <v>66</v>
      </c>
      <c r="U114" s="64"/>
      <c r="V114" s="65"/>
      <c r="W114" s="29"/>
      <c r="X114" s="29"/>
    </row>
    <row r="115" spans="1:24" ht="45" customHeight="1" x14ac:dyDescent="0.7">
      <c r="A115" s="51">
        <f>C114+1</f>
        <v>227</v>
      </c>
      <c r="B115" s="11" t="s">
        <v>60</v>
      </c>
      <c r="C115" s="58">
        <f>A115-1+D115</f>
        <v>245</v>
      </c>
      <c r="D115" s="12">
        <v>19</v>
      </c>
      <c r="E115" s="45"/>
      <c r="F115" s="74"/>
      <c r="G115" s="12"/>
      <c r="H115" s="12">
        <v>20</v>
      </c>
      <c r="I115" s="12"/>
      <c r="J115" s="12"/>
      <c r="K115" s="12"/>
      <c r="L115" s="12"/>
      <c r="M115" s="12"/>
      <c r="N115" s="12"/>
      <c r="O115" s="12"/>
      <c r="P115" s="12">
        <f t="shared" ref="P115" si="190">SUM(G115:O115)*D115</f>
        <v>380</v>
      </c>
      <c r="Q115" s="53">
        <v>9.35</v>
      </c>
      <c r="R115" s="53">
        <f t="shared" ref="R115" si="191">Q115*D115</f>
        <v>177.65</v>
      </c>
      <c r="S115" s="53">
        <f t="shared" ref="S115" si="192">R115-1.2*D115</f>
        <v>154.85</v>
      </c>
      <c r="T115" s="63" t="s">
        <v>66</v>
      </c>
      <c r="U115" s="64"/>
      <c r="V115" s="65"/>
      <c r="W115" s="29"/>
      <c r="X115" s="29"/>
    </row>
    <row r="116" spans="1:24" ht="45" customHeight="1" x14ac:dyDescent="0.7">
      <c r="A116" s="51">
        <f t="shared" ref="A116:A129" si="193">C115+1</f>
        <v>246</v>
      </c>
      <c r="B116" s="11" t="s">
        <v>60</v>
      </c>
      <c r="C116" s="58">
        <f t="shared" ref="C116:C129" si="194">A116-1+D116</f>
        <v>246</v>
      </c>
      <c r="D116" s="12">
        <v>1</v>
      </c>
      <c r="E116" s="45"/>
      <c r="F116" s="74"/>
      <c r="G116" s="12"/>
      <c r="H116" s="12">
        <v>10</v>
      </c>
      <c r="I116" s="12"/>
      <c r="J116" s="12"/>
      <c r="K116" s="12"/>
      <c r="L116" s="12"/>
      <c r="M116" s="12"/>
      <c r="N116" s="12"/>
      <c r="O116" s="12"/>
      <c r="P116" s="12">
        <f t="shared" ref="P116" si="195">SUM(G116:O116)*D116</f>
        <v>10</v>
      </c>
      <c r="Q116" s="53">
        <v>7.3</v>
      </c>
      <c r="R116" s="53">
        <f t="shared" ref="R116:R128" si="196">Q116*D116</f>
        <v>7.3</v>
      </c>
      <c r="S116" s="53">
        <f t="shared" ref="S116:S128" si="197">R116-1.2*D116</f>
        <v>6.1</v>
      </c>
      <c r="T116" s="63" t="s">
        <v>66</v>
      </c>
      <c r="U116" s="64"/>
      <c r="V116" s="65"/>
      <c r="W116" s="29"/>
      <c r="X116" s="29"/>
    </row>
    <row r="117" spans="1:24" ht="45" customHeight="1" x14ac:dyDescent="0.7">
      <c r="A117" s="51">
        <f t="shared" si="193"/>
        <v>247</v>
      </c>
      <c r="B117" s="11" t="s">
        <v>60</v>
      </c>
      <c r="C117" s="58">
        <f t="shared" si="194"/>
        <v>283</v>
      </c>
      <c r="D117" s="12">
        <v>37</v>
      </c>
      <c r="E117" s="45"/>
      <c r="F117" s="74"/>
      <c r="G117" s="12"/>
      <c r="H117" s="12"/>
      <c r="I117" s="12">
        <v>20</v>
      </c>
      <c r="J117" s="12"/>
      <c r="K117" s="12"/>
      <c r="L117" s="12"/>
      <c r="M117" s="12"/>
      <c r="N117" s="12"/>
      <c r="O117" s="12"/>
      <c r="P117" s="12">
        <f t="shared" ref="P117" si="198">SUM(G117:O117)*D117</f>
        <v>740</v>
      </c>
      <c r="Q117" s="53">
        <v>9.65</v>
      </c>
      <c r="R117" s="53">
        <f t="shared" si="196"/>
        <v>357.05</v>
      </c>
      <c r="S117" s="53">
        <f t="shared" si="197"/>
        <v>312.65000000000003</v>
      </c>
      <c r="T117" s="63" t="s">
        <v>66</v>
      </c>
      <c r="U117" s="64"/>
      <c r="V117" s="65"/>
      <c r="W117" s="29"/>
      <c r="X117" s="29"/>
    </row>
    <row r="118" spans="1:24" ht="45" customHeight="1" x14ac:dyDescent="0.7">
      <c r="A118" s="51">
        <f t="shared" si="193"/>
        <v>284</v>
      </c>
      <c r="B118" s="11" t="s">
        <v>60</v>
      </c>
      <c r="C118" s="58">
        <f t="shared" si="194"/>
        <v>284</v>
      </c>
      <c r="D118" s="12">
        <v>1</v>
      </c>
      <c r="E118" s="45"/>
      <c r="F118" s="74"/>
      <c r="G118" s="12"/>
      <c r="H118" s="12"/>
      <c r="I118" s="12">
        <v>15</v>
      </c>
      <c r="J118" s="12"/>
      <c r="K118" s="12"/>
      <c r="L118" s="12"/>
      <c r="M118" s="12"/>
      <c r="N118" s="12"/>
      <c r="O118" s="12"/>
      <c r="P118" s="12">
        <f t="shared" ref="P118" si="199">SUM(G118:O118)*D118</f>
        <v>15</v>
      </c>
      <c r="Q118" s="53">
        <v>9.25</v>
      </c>
      <c r="R118" s="53">
        <f t="shared" si="196"/>
        <v>9.25</v>
      </c>
      <c r="S118" s="53">
        <f t="shared" si="197"/>
        <v>8.0500000000000007</v>
      </c>
      <c r="T118" s="63" t="s">
        <v>66</v>
      </c>
      <c r="U118" s="64"/>
      <c r="V118" s="65"/>
      <c r="W118" s="29"/>
      <c r="X118" s="29"/>
    </row>
    <row r="119" spans="1:24" ht="45" customHeight="1" x14ac:dyDescent="0.7">
      <c r="A119" s="51">
        <f t="shared" si="193"/>
        <v>285</v>
      </c>
      <c r="B119" s="11" t="s">
        <v>60</v>
      </c>
      <c r="C119" s="58">
        <f t="shared" si="194"/>
        <v>331</v>
      </c>
      <c r="D119" s="12">
        <v>47</v>
      </c>
      <c r="E119" s="45"/>
      <c r="F119" s="74"/>
      <c r="G119" s="12"/>
      <c r="H119" s="12"/>
      <c r="I119" s="12"/>
      <c r="J119" s="12">
        <v>20</v>
      </c>
      <c r="K119" s="12"/>
      <c r="L119" s="12"/>
      <c r="M119" s="12"/>
      <c r="N119" s="12"/>
      <c r="O119" s="12"/>
      <c r="P119" s="12">
        <f t="shared" ref="P119" si="200">SUM(G119:O119)*D119</f>
        <v>940</v>
      </c>
      <c r="Q119" s="53">
        <v>9.9499999999999993</v>
      </c>
      <c r="R119" s="53">
        <f t="shared" ref="R119" si="201">Q119*D119</f>
        <v>467.65</v>
      </c>
      <c r="S119" s="53">
        <f t="shared" ref="S119" si="202">R119-1.2*D119</f>
        <v>411.25</v>
      </c>
      <c r="T119" s="63" t="s">
        <v>66</v>
      </c>
      <c r="U119" s="64"/>
      <c r="V119" s="65"/>
      <c r="W119" s="29"/>
      <c r="X119" s="29"/>
    </row>
    <row r="120" spans="1:24" ht="45" customHeight="1" x14ac:dyDescent="0.7">
      <c r="A120" s="51">
        <f t="shared" si="193"/>
        <v>332</v>
      </c>
      <c r="B120" s="11" t="s">
        <v>60</v>
      </c>
      <c r="C120" s="58">
        <f t="shared" si="194"/>
        <v>332</v>
      </c>
      <c r="D120" s="12">
        <v>1</v>
      </c>
      <c r="E120" s="45"/>
      <c r="F120" s="74"/>
      <c r="G120" s="12"/>
      <c r="H120" s="12"/>
      <c r="I120" s="12"/>
      <c r="J120" s="12">
        <v>7</v>
      </c>
      <c r="K120" s="12"/>
      <c r="L120" s="12"/>
      <c r="M120" s="12"/>
      <c r="N120" s="12"/>
      <c r="O120" s="12"/>
      <c r="P120" s="12">
        <f t="shared" ref="P120:P122" si="203">SUM(G120:O120)*D120</f>
        <v>7</v>
      </c>
      <c r="Q120" s="53">
        <v>9.9499999999999993</v>
      </c>
      <c r="R120" s="53">
        <f t="shared" si="196"/>
        <v>9.9499999999999993</v>
      </c>
      <c r="S120" s="53">
        <f t="shared" si="197"/>
        <v>8.75</v>
      </c>
      <c r="T120" s="63" t="s">
        <v>66</v>
      </c>
      <c r="U120" s="64"/>
      <c r="V120" s="65"/>
      <c r="W120" s="29"/>
      <c r="X120" s="29"/>
    </row>
    <row r="121" spans="1:24" ht="45" customHeight="1" x14ac:dyDescent="0.7">
      <c r="A121" s="51">
        <f t="shared" si="193"/>
        <v>333</v>
      </c>
      <c r="B121" s="11" t="s">
        <v>60</v>
      </c>
      <c r="C121" s="58">
        <f t="shared" si="194"/>
        <v>372</v>
      </c>
      <c r="D121" s="12">
        <v>40</v>
      </c>
      <c r="E121" s="45"/>
      <c r="F121" s="74"/>
      <c r="G121" s="12"/>
      <c r="H121" s="12"/>
      <c r="I121" s="12"/>
      <c r="J121" s="12"/>
      <c r="K121" s="12">
        <v>20</v>
      </c>
      <c r="L121" s="12"/>
      <c r="M121" s="12"/>
      <c r="N121" s="12"/>
      <c r="O121" s="12"/>
      <c r="P121" s="12">
        <f t="shared" ref="P121" si="204">SUM(G121:O121)*D121</f>
        <v>800</v>
      </c>
      <c r="Q121" s="53">
        <v>10.35</v>
      </c>
      <c r="R121" s="53">
        <f t="shared" ref="R121" si="205">Q121*D121</f>
        <v>414</v>
      </c>
      <c r="S121" s="53">
        <f t="shared" ref="S121" si="206">R121-1.2*D121</f>
        <v>366</v>
      </c>
      <c r="T121" s="63" t="s">
        <v>66</v>
      </c>
      <c r="U121" s="64"/>
      <c r="V121" s="65"/>
      <c r="W121" s="29"/>
      <c r="X121" s="29"/>
    </row>
    <row r="122" spans="1:24" ht="45" customHeight="1" x14ac:dyDescent="0.7">
      <c r="A122" s="51">
        <f t="shared" si="193"/>
        <v>373</v>
      </c>
      <c r="B122" s="11" t="s">
        <v>60</v>
      </c>
      <c r="C122" s="58">
        <f t="shared" si="194"/>
        <v>373</v>
      </c>
      <c r="D122" s="12">
        <v>1</v>
      </c>
      <c r="E122" s="45"/>
      <c r="F122" s="74"/>
      <c r="G122" s="12"/>
      <c r="H122" s="12"/>
      <c r="I122" s="12"/>
      <c r="J122" s="12"/>
      <c r="K122" s="12">
        <v>14</v>
      </c>
      <c r="L122" s="12"/>
      <c r="M122" s="12"/>
      <c r="N122" s="12"/>
      <c r="O122" s="12"/>
      <c r="P122" s="12">
        <f t="shared" si="203"/>
        <v>14</v>
      </c>
      <c r="Q122" s="53">
        <v>10.35</v>
      </c>
      <c r="R122" s="53">
        <f t="shared" si="196"/>
        <v>10.35</v>
      </c>
      <c r="S122" s="53">
        <f t="shared" si="197"/>
        <v>9.15</v>
      </c>
      <c r="T122" s="63" t="s">
        <v>66</v>
      </c>
      <c r="U122" s="64"/>
      <c r="V122" s="65"/>
      <c r="W122" s="29"/>
      <c r="X122" s="29"/>
    </row>
    <row r="123" spans="1:24" ht="45" customHeight="1" x14ac:dyDescent="0.7">
      <c r="A123" s="51">
        <f t="shared" si="193"/>
        <v>374</v>
      </c>
      <c r="B123" s="11" t="s">
        <v>60</v>
      </c>
      <c r="C123" s="58">
        <f t="shared" si="194"/>
        <v>405</v>
      </c>
      <c r="D123" s="12">
        <v>32</v>
      </c>
      <c r="E123" s="45"/>
      <c r="F123" s="74"/>
      <c r="G123" s="12"/>
      <c r="H123" s="12"/>
      <c r="I123" s="12"/>
      <c r="J123" s="12"/>
      <c r="K123" s="12"/>
      <c r="L123" s="12">
        <v>20</v>
      </c>
      <c r="M123" s="12"/>
      <c r="N123" s="12"/>
      <c r="O123" s="12"/>
      <c r="P123" s="12">
        <f t="shared" ref="P123" si="207">SUM(G123:O123)*D123</f>
        <v>640</v>
      </c>
      <c r="Q123" s="53">
        <v>10.72</v>
      </c>
      <c r="R123" s="53">
        <f t="shared" si="196"/>
        <v>343.04</v>
      </c>
      <c r="S123" s="53">
        <f t="shared" si="197"/>
        <v>304.64000000000004</v>
      </c>
      <c r="T123" s="63" t="s">
        <v>66</v>
      </c>
      <c r="U123" s="64"/>
      <c r="V123" s="65"/>
      <c r="W123" s="29"/>
      <c r="X123" s="29"/>
    </row>
    <row r="124" spans="1:24" ht="45" customHeight="1" x14ac:dyDescent="0.7">
      <c r="A124" s="51">
        <f t="shared" si="193"/>
        <v>406</v>
      </c>
      <c r="B124" s="11" t="s">
        <v>60</v>
      </c>
      <c r="C124" s="58">
        <f t="shared" si="194"/>
        <v>406</v>
      </c>
      <c r="D124" s="12">
        <v>1</v>
      </c>
      <c r="E124" s="45"/>
      <c r="F124" s="74"/>
      <c r="G124" s="12"/>
      <c r="H124" s="12"/>
      <c r="I124" s="12"/>
      <c r="J124" s="12"/>
      <c r="K124" s="12"/>
      <c r="L124" s="12">
        <v>19</v>
      </c>
      <c r="M124" s="12"/>
      <c r="N124" s="12"/>
      <c r="O124" s="12"/>
      <c r="P124" s="12">
        <f t="shared" ref="P124" si="208">SUM(G124:O124)*D124</f>
        <v>19</v>
      </c>
      <c r="Q124" s="53">
        <v>10.72</v>
      </c>
      <c r="R124" s="53">
        <f t="shared" ref="R124" si="209">Q124*D124</f>
        <v>10.72</v>
      </c>
      <c r="S124" s="53">
        <f t="shared" ref="S124" si="210">R124-1.2*D124</f>
        <v>9.5200000000000014</v>
      </c>
      <c r="T124" s="63" t="s">
        <v>66</v>
      </c>
      <c r="U124" s="64"/>
      <c r="V124" s="65"/>
      <c r="W124" s="29"/>
      <c r="X124" s="29"/>
    </row>
    <row r="125" spans="1:24" ht="45" customHeight="1" x14ac:dyDescent="0.7">
      <c r="A125" s="51">
        <f t="shared" si="193"/>
        <v>407</v>
      </c>
      <c r="B125" s="11" t="s">
        <v>60</v>
      </c>
      <c r="C125" s="58">
        <f t="shared" si="194"/>
        <v>433</v>
      </c>
      <c r="D125" s="12">
        <v>27</v>
      </c>
      <c r="E125" s="45"/>
      <c r="F125" s="74"/>
      <c r="G125" s="12"/>
      <c r="H125" s="12"/>
      <c r="I125" s="12"/>
      <c r="J125" s="12"/>
      <c r="K125" s="12"/>
      <c r="L125" s="12"/>
      <c r="M125" s="12">
        <v>20</v>
      </c>
      <c r="N125" s="12"/>
      <c r="O125" s="12"/>
      <c r="P125" s="12">
        <f t="shared" ref="P125:P129" si="211">SUM(G125:O125)*D125</f>
        <v>540</v>
      </c>
      <c r="Q125" s="53">
        <v>11.15</v>
      </c>
      <c r="R125" s="53">
        <f t="shared" si="196"/>
        <v>301.05</v>
      </c>
      <c r="S125" s="53">
        <f t="shared" si="197"/>
        <v>268.65000000000003</v>
      </c>
      <c r="T125" s="63" t="s">
        <v>66</v>
      </c>
      <c r="U125" s="64"/>
      <c r="V125" s="65"/>
      <c r="W125" s="29"/>
      <c r="X125" s="29"/>
    </row>
    <row r="126" spans="1:24" ht="45" customHeight="1" x14ac:dyDescent="0.7">
      <c r="A126" s="51">
        <f t="shared" si="193"/>
        <v>434</v>
      </c>
      <c r="B126" s="11" t="s">
        <v>60</v>
      </c>
      <c r="C126" s="58">
        <f t="shared" si="194"/>
        <v>434</v>
      </c>
      <c r="D126" s="12">
        <v>1</v>
      </c>
      <c r="E126" s="45"/>
      <c r="F126" s="74"/>
      <c r="G126" s="12"/>
      <c r="H126" s="12"/>
      <c r="I126" s="12"/>
      <c r="J126" s="12"/>
      <c r="K126" s="12"/>
      <c r="L126" s="12"/>
      <c r="M126" s="12">
        <v>17</v>
      </c>
      <c r="N126" s="12"/>
      <c r="O126" s="12"/>
      <c r="P126" s="12">
        <f t="shared" si="211"/>
        <v>17</v>
      </c>
      <c r="Q126" s="53">
        <v>8.85</v>
      </c>
      <c r="R126" s="53">
        <f t="shared" si="196"/>
        <v>8.85</v>
      </c>
      <c r="S126" s="53">
        <f t="shared" si="197"/>
        <v>7.6499999999999995</v>
      </c>
      <c r="T126" s="63" t="s">
        <v>66</v>
      </c>
      <c r="U126" s="64"/>
      <c r="V126" s="65"/>
      <c r="W126" s="29"/>
      <c r="X126" s="29"/>
    </row>
    <row r="127" spans="1:24" ht="45" customHeight="1" x14ac:dyDescent="0.7">
      <c r="A127" s="51">
        <f t="shared" si="193"/>
        <v>435</v>
      </c>
      <c r="B127" s="11" t="s">
        <v>60</v>
      </c>
      <c r="C127" s="58">
        <f t="shared" si="194"/>
        <v>451</v>
      </c>
      <c r="D127" s="12">
        <v>17</v>
      </c>
      <c r="E127" s="45"/>
      <c r="F127" s="74"/>
      <c r="G127" s="12"/>
      <c r="H127" s="12"/>
      <c r="I127" s="12"/>
      <c r="J127" s="12"/>
      <c r="K127" s="12"/>
      <c r="L127" s="12"/>
      <c r="M127" s="12"/>
      <c r="N127" s="12">
        <v>20</v>
      </c>
      <c r="O127" s="12"/>
      <c r="P127" s="12">
        <f t="shared" si="211"/>
        <v>340</v>
      </c>
      <c r="Q127" s="53">
        <v>11.55</v>
      </c>
      <c r="R127" s="53">
        <f t="shared" si="196"/>
        <v>196.35000000000002</v>
      </c>
      <c r="S127" s="53">
        <f t="shared" si="197"/>
        <v>175.95000000000002</v>
      </c>
      <c r="T127" s="63" t="s">
        <v>66</v>
      </c>
      <c r="U127" s="64"/>
      <c r="V127" s="65"/>
      <c r="W127" s="29"/>
      <c r="X127" s="29"/>
    </row>
    <row r="128" spans="1:24" ht="45" customHeight="1" x14ac:dyDescent="0.7">
      <c r="A128" s="51">
        <f t="shared" si="193"/>
        <v>452</v>
      </c>
      <c r="B128" s="11" t="s">
        <v>60</v>
      </c>
      <c r="C128" s="58">
        <f t="shared" si="194"/>
        <v>452</v>
      </c>
      <c r="D128" s="12">
        <v>1</v>
      </c>
      <c r="E128" s="45"/>
      <c r="F128" s="74"/>
      <c r="G128" s="12"/>
      <c r="H128" s="12"/>
      <c r="I128" s="12"/>
      <c r="J128" s="12"/>
      <c r="K128" s="12"/>
      <c r="L128" s="12"/>
      <c r="M128" s="12"/>
      <c r="N128" s="12"/>
      <c r="O128" s="12">
        <v>20</v>
      </c>
      <c r="P128" s="12">
        <f t="shared" si="211"/>
        <v>20</v>
      </c>
      <c r="Q128" s="53">
        <v>7.8</v>
      </c>
      <c r="R128" s="53">
        <f t="shared" si="196"/>
        <v>7.8</v>
      </c>
      <c r="S128" s="53">
        <f t="shared" si="197"/>
        <v>6.6</v>
      </c>
      <c r="T128" s="63" t="s">
        <v>66</v>
      </c>
      <c r="U128" s="64"/>
      <c r="V128" s="65"/>
      <c r="W128" s="29"/>
      <c r="X128" s="29"/>
    </row>
    <row r="129" spans="1:24" ht="45" customHeight="1" thickBot="1" x14ac:dyDescent="0.75">
      <c r="A129" s="51">
        <f t="shared" si="193"/>
        <v>453</v>
      </c>
      <c r="B129" s="11" t="s">
        <v>60</v>
      </c>
      <c r="C129" s="58">
        <f t="shared" si="194"/>
        <v>453</v>
      </c>
      <c r="D129" s="12">
        <v>1</v>
      </c>
      <c r="E129" s="45"/>
      <c r="F129" s="134"/>
      <c r="G129" s="12"/>
      <c r="H129" s="12"/>
      <c r="I129" s="12"/>
      <c r="J129" s="12"/>
      <c r="K129" s="12"/>
      <c r="L129" s="12"/>
      <c r="M129" s="12"/>
      <c r="N129" s="12"/>
      <c r="O129" s="12">
        <v>4</v>
      </c>
      <c r="P129" s="12">
        <f t="shared" si="211"/>
        <v>4</v>
      </c>
      <c r="Q129" s="53">
        <v>9.4499999999999993</v>
      </c>
      <c r="R129" s="53">
        <f t="shared" ref="R129" si="212">Q129*D129</f>
        <v>9.4499999999999993</v>
      </c>
      <c r="S129" s="53">
        <f t="shared" ref="S129" si="213">R129-1.2*D129</f>
        <v>8.25</v>
      </c>
      <c r="T129" s="63" t="s">
        <v>66</v>
      </c>
      <c r="U129" s="64"/>
      <c r="V129" s="65"/>
      <c r="W129" s="29"/>
      <c r="X129" s="29"/>
    </row>
    <row r="130" spans="1:24" s="3" customFormat="1" ht="45" customHeight="1" thickBot="1" x14ac:dyDescent="0.25">
      <c r="A130" s="68" t="s">
        <v>19</v>
      </c>
      <c r="B130" s="69"/>
      <c r="C130" s="70"/>
      <c r="D130" s="54">
        <f>SUM(D113:D129)</f>
        <v>229</v>
      </c>
      <c r="E130" s="54"/>
      <c r="F130" s="54"/>
      <c r="G130" s="54">
        <f>P113+P114</f>
        <v>35</v>
      </c>
      <c r="H130" s="54">
        <f>P115+P116</f>
        <v>390</v>
      </c>
      <c r="I130" s="54">
        <f>P117+P118</f>
        <v>755</v>
      </c>
      <c r="J130" s="54">
        <f>P119+P120</f>
        <v>947</v>
      </c>
      <c r="K130" s="54">
        <f>P121+P122</f>
        <v>814</v>
      </c>
      <c r="L130" s="54">
        <f>P123+P124</f>
        <v>659</v>
      </c>
      <c r="M130" s="54">
        <f>P125+P126</f>
        <v>557</v>
      </c>
      <c r="N130" s="54">
        <f>P127</f>
        <v>340</v>
      </c>
      <c r="O130" s="54">
        <f>P128+P129</f>
        <v>24</v>
      </c>
      <c r="P130" s="54">
        <f>SUM(P113:P129)</f>
        <v>4521</v>
      </c>
      <c r="Q130" s="57">
        <f>SUM(Q113:Q129)</f>
        <v>163.04</v>
      </c>
      <c r="R130" s="57">
        <f t="shared" ref="R130:S130" si="214">SUM(R113:R129)</f>
        <v>2347.11</v>
      </c>
      <c r="S130" s="57">
        <f t="shared" si="214"/>
        <v>2072.3100000000004</v>
      </c>
      <c r="T130" s="75"/>
      <c r="U130" s="69"/>
      <c r="V130" s="76"/>
      <c r="W130" s="31"/>
      <c r="X130" s="31"/>
    </row>
    <row r="131" spans="1:24" ht="45" customHeight="1" x14ac:dyDescent="0.7">
      <c r="A131" s="51">
        <f>C129+1</f>
        <v>454</v>
      </c>
      <c r="B131" s="11" t="s">
        <v>60</v>
      </c>
      <c r="C131" s="52">
        <f>A131-1+D131</f>
        <v>454</v>
      </c>
      <c r="D131" s="12">
        <v>1</v>
      </c>
      <c r="E131" s="45"/>
      <c r="F131" s="136" t="s">
        <v>85</v>
      </c>
      <c r="G131" s="12">
        <v>20</v>
      </c>
      <c r="H131" s="12"/>
      <c r="I131" s="12"/>
      <c r="J131" s="12"/>
      <c r="K131" s="12"/>
      <c r="L131" s="12"/>
      <c r="M131" s="12"/>
      <c r="N131" s="12"/>
      <c r="O131" s="12"/>
      <c r="P131" s="12">
        <f t="shared" ref="P131" si="215">SUM(G131:O131)*D131</f>
        <v>20</v>
      </c>
      <c r="Q131" s="53">
        <v>9.1999999999999993</v>
      </c>
      <c r="R131" s="53">
        <f t="shared" ref="R131" si="216">Q131*D131</f>
        <v>9.1999999999999993</v>
      </c>
      <c r="S131" s="53">
        <f t="shared" ref="S131" si="217">R131-1.2*D131</f>
        <v>7.9999999999999991</v>
      </c>
      <c r="T131" s="63" t="s">
        <v>66</v>
      </c>
      <c r="U131" s="64"/>
      <c r="V131" s="65"/>
      <c r="W131" s="29"/>
      <c r="X131" s="29"/>
    </row>
    <row r="132" spans="1:24" ht="45" customHeight="1" x14ac:dyDescent="0.7">
      <c r="A132" s="51">
        <f>C131+1</f>
        <v>455</v>
      </c>
      <c r="B132" s="11" t="s">
        <v>60</v>
      </c>
      <c r="C132" s="52">
        <f>A132-1+D132</f>
        <v>455</v>
      </c>
      <c r="D132" s="12">
        <v>1</v>
      </c>
      <c r="E132" s="45"/>
      <c r="F132" s="137"/>
      <c r="G132" s="12">
        <v>13</v>
      </c>
      <c r="H132" s="12"/>
      <c r="I132" s="12"/>
      <c r="J132" s="12"/>
      <c r="K132" s="12"/>
      <c r="L132" s="12"/>
      <c r="M132" s="12"/>
      <c r="N132" s="12"/>
      <c r="O132" s="12"/>
      <c r="P132" s="12">
        <f t="shared" ref="P132:P133" si="218">SUM(G132:O132)*D132</f>
        <v>13</v>
      </c>
      <c r="Q132" s="53">
        <v>9.1999999999999993</v>
      </c>
      <c r="R132" s="53">
        <f t="shared" ref="R132:R133" si="219">Q132*D132</f>
        <v>9.1999999999999993</v>
      </c>
      <c r="S132" s="53">
        <f t="shared" ref="S132:S133" si="220">R132-1.2*D132</f>
        <v>7.9999999999999991</v>
      </c>
      <c r="T132" s="63" t="s">
        <v>66</v>
      </c>
      <c r="U132" s="64"/>
      <c r="V132" s="65"/>
      <c r="W132" s="29"/>
      <c r="X132" s="29"/>
    </row>
    <row r="133" spans="1:24" ht="45" customHeight="1" x14ac:dyDescent="0.7">
      <c r="A133" s="51">
        <f>C132+1</f>
        <v>456</v>
      </c>
      <c r="B133" s="11" t="s">
        <v>60</v>
      </c>
      <c r="C133" s="52">
        <f>A133-1+D133</f>
        <v>459</v>
      </c>
      <c r="D133" s="12">
        <v>4</v>
      </c>
      <c r="E133" s="45"/>
      <c r="F133" s="137"/>
      <c r="G133" s="12"/>
      <c r="H133" s="12">
        <v>20</v>
      </c>
      <c r="I133" s="12"/>
      <c r="J133" s="12"/>
      <c r="K133" s="12"/>
      <c r="L133" s="12"/>
      <c r="M133" s="12"/>
      <c r="N133" s="12"/>
      <c r="O133" s="12"/>
      <c r="P133" s="12">
        <f t="shared" si="218"/>
        <v>80</v>
      </c>
      <c r="Q133" s="53">
        <v>9.1999999999999993</v>
      </c>
      <c r="R133" s="53">
        <f t="shared" si="219"/>
        <v>36.799999999999997</v>
      </c>
      <c r="S133" s="53">
        <f t="shared" si="220"/>
        <v>31.999999999999996</v>
      </c>
      <c r="T133" s="63" t="s">
        <v>66</v>
      </c>
      <c r="U133" s="64"/>
      <c r="V133" s="65"/>
      <c r="W133" s="29"/>
      <c r="X133" s="29"/>
    </row>
    <row r="134" spans="1:24" ht="45" customHeight="1" x14ac:dyDescent="0.7">
      <c r="A134" s="51">
        <f t="shared" ref="A134:A147" si="221">C133+1</f>
        <v>460</v>
      </c>
      <c r="B134" s="11" t="s">
        <v>60</v>
      </c>
      <c r="C134" s="52">
        <f t="shared" ref="C134:C147" si="222">A134-1+D134</f>
        <v>460</v>
      </c>
      <c r="D134" s="12">
        <v>1</v>
      </c>
      <c r="E134" s="45"/>
      <c r="F134" s="137"/>
      <c r="G134" s="12"/>
      <c r="H134" s="12">
        <v>7</v>
      </c>
      <c r="I134" s="12"/>
      <c r="J134" s="12"/>
      <c r="K134" s="12"/>
      <c r="L134" s="12"/>
      <c r="M134" s="12"/>
      <c r="N134" s="12"/>
      <c r="O134" s="12"/>
      <c r="P134" s="12">
        <f t="shared" ref="P134" si="223">SUM(G134:O134)*D134</f>
        <v>7</v>
      </c>
      <c r="Q134" s="53">
        <v>9.1999999999999993</v>
      </c>
      <c r="R134" s="53">
        <f t="shared" ref="R134:R147" si="224">Q134*D134</f>
        <v>9.1999999999999993</v>
      </c>
      <c r="S134" s="53">
        <f t="shared" ref="S134:S147" si="225">R134-1.2*D134</f>
        <v>7.9999999999999991</v>
      </c>
      <c r="T134" s="63" t="s">
        <v>66</v>
      </c>
      <c r="U134" s="64"/>
      <c r="V134" s="65"/>
      <c r="W134" s="29"/>
      <c r="X134" s="29"/>
    </row>
    <row r="135" spans="1:24" ht="45" customHeight="1" x14ac:dyDescent="0.7">
      <c r="A135" s="51">
        <f t="shared" si="221"/>
        <v>461</v>
      </c>
      <c r="B135" s="11" t="s">
        <v>60</v>
      </c>
      <c r="C135" s="52">
        <f t="shared" si="222"/>
        <v>467</v>
      </c>
      <c r="D135" s="12">
        <v>7</v>
      </c>
      <c r="E135" s="45"/>
      <c r="F135" s="137"/>
      <c r="G135" s="12"/>
      <c r="H135" s="12"/>
      <c r="I135" s="12">
        <v>20</v>
      </c>
      <c r="J135" s="12"/>
      <c r="K135" s="12"/>
      <c r="L135" s="12"/>
      <c r="M135" s="12"/>
      <c r="N135" s="12"/>
      <c r="O135" s="12"/>
      <c r="P135" s="12">
        <f t="shared" ref="P135" si="226">SUM(G135:O135)*D135</f>
        <v>140</v>
      </c>
      <c r="Q135" s="53">
        <v>9.9</v>
      </c>
      <c r="R135" s="53">
        <f t="shared" ref="R135" si="227">Q135*D135</f>
        <v>69.3</v>
      </c>
      <c r="S135" s="53">
        <f t="shared" ref="S135" si="228">R135-1.2*D135</f>
        <v>60.9</v>
      </c>
      <c r="T135" s="63" t="s">
        <v>66</v>
      </c>
      <c r="U135" s="64"/>
      <c r="V135" s="65"/>
      <c r="W135" s="29"/>
      <c r="X135" s="29"/>
    </row>
    <row r="136" spans="1:24" ht="45" customHeight="1" x14ac:dyDescent="0.7">
      <c r="A136" s="51">
        <f t="shared" si="221"/>
        <v>468</v>
      </c>
      <c r="B136" s="11" t="s">
        <v>60</v>
      </c>
      <c r="C136" s="52">
        <f t="shared" si="222"/>
        <v>468</v>
      </c>
      <c r="D136" s="12">
        <v>1</v>
      </c>
      <c r="E136" s="45"/>
      <c r="F136" s="137"/>
      <c r="G136" s="12"/>
      <c r="H136" s="12"/>
      <c r="I136" s="12">
        <v>19</v>
      </c>
      <c r="J136" s="12"/>
      <c r="K136" s="12"/>
      <c r="L136" s="12"/>
      <c r="M136" s="12"/>
      <c r="N136" s="12"/>
      <c r="O136" s="12"/>
      <c r="P136" s="12">
        <f t="shared" ref="P136" si="229">SUM(G136:O136)*D136</f>
        <v>19</v>
      </c>
      <c r="Q136" s="53">
        <v>9.9</v>
      </c>
      <c r="R136" s="53">
        <f t="shared" si="224"/>
        <v>9.9</v>
      </c>
      <c r="S136" s="53">
        <f t="shared" si="225"/>
        <v>8.7000000000000011</v>
      </c>
      <c r="T136" s="63" t="s">
        <v>66</v>
      </c>
      <c r="U136" s="64"/>
      <c r="V136" s="65"/>
      <c r="W136" s="29"/>
      <c r="X136" s="29"/>
    </row>
    <row r="137" spans="1:24" ht="45" customHeight="1" x14ac:dyDescent="0.7">
      <c r="A137" s="51">
        <f t="shared" si="221"/>
        <v>469</v>
      </c>
      <c r="B137" s="11" t="s">
        <v>60</v>
      </c>
      <c r="C137" s="52">
        <f t="shared" si="222"/>
        <v>476</v>
      </c>
      <c r="D137" s="12">
        <v>8</v>
      </c>
      <c r="E137" s="45"/>
      <c r="F137" s="137"/>
      <c r="G137" s="12"/>
      <c r="H137" s="12"/>
      <c r="I137" s="12"/>
      <c r="J137" s="12">
        <v>20</v>
      </c>
      <c r="K137" s="12"/>
      <c r="L137" s="12"/>
      <c r="M137" s="12"/>
      <c r="N137" s="12"/>
      <c r="O137" s="12"/>
      <c r="P137" s="12">
        <f t="shared" ref="P137" si="230">SUM(G137:O137)*D137</f>
        <v>160</v>
      </c>
      <c r="Q137" s="53">
        <v>10.25</v>
      </c>
      <c r="R137" s="53">
        <f t="shared" ref="R137" si="231">Q137*D137</f>
        <v>82</v>
      </c>
      <c r="S137" s="53">
        <f t="shared" ref="S137" si="232">R137-1.2*D137</f>
        <v>72.400000000000006</v>
      </c>
      <c r="T137" s="63" t="s">
        <v>66</v>
      </c>
      <c r="U137" s="64"/>
      <c r="V137" s="65"/>
      <c r="W137" s="29"/>
      <c r="X137" s="29"/>
    </row>
    <row r="138" spans="1:24" ht="45" customHeight="1" x14ac:dyDescent="0.7">
      <c r="A138" s="51">
        <f t="shared" si="221"/>
        <v>477</v>
      </c>
      <c r="B138" s="11" t="s">
        <v>60</v>
      </c>
      <c r="C138" s="52">
        <f t="shared" si="222"/>
        <v>477</v>
      </c>
      <c r="D138" s="12">
        <v>1</v>
      </c>
      <c r="E138" s="45"/>
      <c r="F138" s="137"/>
      <c r="G138" s="12"/>
      <c r="H138" s="12"/>
      <c r="I138" s="12"/>
      <c r="J138" s="12">
        <v>19</v>
      </c>
      <c r="K138" s="12"/>
      <c r="L138" s="12"/>
      <c r="M138" s="12"/>
      <c r="N138" s="12"/>
      <c r="O138" s="12"/>
      <c r="P138" s="12">
        <f t="shared" ref="P138:P147" si="233">SUM(G138:O138)*D138</f>
        <v>19</v>
      </c>
      <c r="Q138" s="53">
        <v>8</v>
      </c>
      <c r="R138" s="53">
        <f t="shared" si="224"/>
        <v>8</v>
      </c>
      <c r="S138" s="53">
        <f t="shared" si="225"/>
        <v>6.8</v>
      </c>
      <c r="T138" s="63" t="s">
        <v>66</v>
      </c>
      <c r="U138" s="64"/>
      <c r="V138" s="65"/>
      <c r="W138" s="29"/>
      <c r="X138" s="29"/>
    </row>
    <row r="139" spans="1:24" ht="45" customHeight="1" x14ac:dyDescent="0.7">
      <c r="A139" s="51">
        <f t="shared" si="221"/>
        <v>478</v>
      </c>
      <c r="B139" s="11" t="s">
        <v>60</v>
      </c>
      <c r="C139" s="52">
        <f t="shared" si="222"/>
        <v>485</v>
      </c>
      <c r="D139" s="12">
        <v>8</v>
      </c>
      <c r="E139" s="45"/>
      <c r="F139" s="137"/>
      <c r="G139" s="12"/>
      <c r="H139" s="12"/>
      <c r="I139" s="12"/>
      <c r="J139" s="12"/>
      <c r="K139" s="12">
        <v>20</v>
      </c>
      <c r="L139" s="12"/>
      <c r="M139" s="12"/>
      <c r="N139" s="12"/>
      <c r="O139" s="12"/>
      <c r="P139" s="12">
        <f t="shared" ref="P139" si="234">SUM(G139:O139)*D139</f>
        <v>160</v>
      </c>
      <c r="Q139" s="53">
        <v>10.6</v>
      </c>
      <c r="R139" s="53">
        <f t="shared" ref="R139" si="235">Q139*D139</f>
        <v>84.8</v>
      </c>
      <c r="S139" s="53">
        <f t="shared" ref="S139" si="236">R139-1.2*D139</f>
        <v>75.2</v>
      </c>
      <c r="T139" s="63" t="s">
        <v>66</v>
      </c>
      <c r="U139" s="64"/>
      <c r="V139" s="65"/>
      <c r="W139" s="29"/>
      <c r="X139" s="29"/>
    </row>
    <row r="140" spans="1:24" ht="45" customHeight="1" x14ac:dyDescent="0.7">
      <c r="A140" s="51">
        <f t="shared" si="221"/>
        <v>486</v>
      </c>
      <c r="B140" s="11" t="s">
        <v>60</v>
      </c>
      <c r="C140" s="52">
        <f t="shared" si="222"/>
        <v>486</v>
      </c>
      <c r="D140" s="12">
        <v>1</v>
      </c>
      <c r="E140" s="45"/>
      <c r="F140" s="137"/>
      <c r="G140" s="12"/>
      <c r="H140" s="12"/>
      <c r="I140" s="12"/>
      <c r="J140" s="12"/>
      <c r="K140" s="12">
        <v>2</v>
      </c>
      <c r="L140" s="12"/>
      <c r="M140" s="12"/>
      <c r="N140" s="12"/>
      <c r="O140" s="12"/>
      <c r="P140" s="12">
        <f t="shared" si="233"/>
        <v>2</v>
      </c>
      <c r="Q140" s="53">
        <v>10.6</v>
      </c>
      <c r="R140" s="53">
        <f t="shared" si="224"/>
        <v>10.6</v>
      </c>
      <c r="S140" s="53">
        <f t="shared" si="225"/>
        <v>9.4</v>
      </c>
      <c r="T140" s="63" t="s">
        <v>66</v>
      </c>
      <c r="U140" s="64"/>
      <c r="V140" s="65"/>
      <c r="W140" s="29"/>
      <c r="X140" s="29"/>
    </row>
    <row r="141" spans="1:24" ht="45" customHeight="1" x14ac:dyDescent="0.7">
      <c r="A141" s="51">
        <f t="shared" si="221"/>
        <v>487</v>
      </c>
      <c r="B141" s="11" t="s">
        <v>60</v>
      </c>
      <c r="C141" s="52">
        <f t="shared" si="222"/>
        <v>492</v>
      </c>
      <c r="D141" s="12">
        <v>6</v>
      </c>
      <c r="E141" s="45"/>
      <c r="F141" s="137"/>
      <c r="G141" s="12"/>
      <c r="H141" s="12"/>
      <c r="I141" s="12"/>
      <c r="J141" s="12"/>
      <c r="K141" s="12"/>
      <c r="L141" s="12">
        <v>20</v>
      </c>
      <c r="M141" s="12"/>
      <c r="N141" s="12"/>
      <c r="O141" s="12"/>
      <c r="P141" s="12">
        <f t="shared" ref="P141" si="237">SUM(G141:O141)*D141</f>
        <v>120</v>
      </c>
      <c r="Q141" s="53">
        <v>11.1</v>
      </c>
      <c r="R141" s="53">
        <f t="shared" si="224"/>
        <v>66.599999999999994</v>
      </c>
      <c r="S141" s="53">
        <f t="shared" si="225"/>
        <v>59.399999999999991</v>
      </c>
      <c r="T141" s="63" t="s">
        <v>66</v>
      </c>
      <c r="U141" s="64"/>
      <c r="V141" s="65"/>
      <c r="W141" s="29"/>
      <c r="X141" s="29"/>
    </row>
    <row r="142" spans="1:24" ht="45" customHeight="1" x14ac:dyDescent="0.7">
      <c r="A142" s="51">
        <f t="shared" si="221"/>
        <v>493</v>
      </c>
      <c r="B142" s="11" t="s">
        <v>60</v>
      </c>
      <c r="C142" s="52">
        <f t="shared" si="222"/>
        <v>493</v>
      </c>
      <c r="D142" s="12">
        <v>1</v>
      </c>
      <c r="E142" s="45"/>
      <c r="F142" s="137"/>
      <c r="G142" s="12"/>
      <c r="H142" s="12"/>
      <c r="I142" s="12"/>
      <c r="J142" s="12"/>
      <c r="K142" s="12"/>
      <c r="L142" s="12">
        <v>17</v>
      </c>
      <c r="M142" s="12"/>
      <c r="N142" s="12"/>
      <c r="O142" s="12"/>
      <c r="P142" s="12">
        <f t="shared" ref="P142" si="238">SUM(G142:O142)*D142</f>
        <v>17</v>
      </c>
      <c r="Q142" s="53">
        <v>11.1</v>
      </c>
      <c r="R142" s="53">
        <f t="shared" ref="R142:R143" si="239">Q142*D142</f>
        <v>11.1</v>
      </c>
      <c r="S142" s="53">
        <f t="shared" ref="S142:S143" si="240">R142-1.2*D142</f>
        <v>9.9</v>
      </c>
      <c r="T142" s="63" t="s">
        <v>66</v>
      </c>
      <c r="U142" s="64"/>
      <c r="V142" s="65"/>
      <c r="W142" s="29"/>
      <c r="X142" s="29"/>
    </row>
    <row r="143" spans="1:24" ht="45" customHeight="1" x14ac:dyDescent="0.7">
      <c r="A143" s="51">
        <f t="shared" si="221"/>
        <v>494</v>
      </c>
      <c r="B143" s="11" t="s">
        <v>60</v>
      </c>
      <c r="C143" s="52">
        <f t="shared" si="222"/>
        <v>498</v>
      </c>
      <c r="D143" s="12">
        <v>5</v>
      </c>
      <c r="E143" s="45"/>
      <c r="F143" s="137"/>
      <c r="G143" s="12"/>
      <c r="H143" s="12"/>
      <c r="I143" s="12"/>
      <c r="J143" s="12"/>
      <c r="K143" s="12"/>
      <c r="L143" s="12"/>
      <c r="M143" s="12">
        <v>20</v>
      </c>
      <c r="N143" s="12"/>
      <c r="O143" s="12"/>
      <c r="P143" s="12">
        <f t="shared" ref="P143" si="241">SUM(G143:O143)*D143</f>
        <v>100</v>
      </c>
      <c r="Q143" s="53">
        <v>11.52</v>
      </c>
      <c r="R143" s="53">
        <f t="shared" si="239"/>
        <v>57.599999999999994</v>
      </c>
      <c r="S143" s="53">
        <f t="shared" si="240"/>
        <v>51.599999999999994</v>
      </c>
      <c r="T143" s="63" t="s">
        <v>66</v>
      </c>
      <c r="U143" s="64"/>
      <c r="V143" s="65"/>
      <c r="W143" s="29"/>
      <c r="X143" s="29"/>
    </row>
    <row r="144" spans="1:24" ht="45" customHeight="1" x14ac:dyDescent="0.7">
      <c r="A144" s="51">
        <f t="shared" si="221"/>
        <v>499</v>
      </c>
      <c r="B144" s="11" t="s">
        <v>60</v>
      </c>
      <c r="C144" s="52">
        <f t="shared" si="222"/>
        <v>499</v>
      </c>
      <c r="D144" s="12">
        <v>1</v>
      </c>
      <c r="E144" s="45"/>
      <c r="F144" s="137"/>
      <c r="G144" s="12"/>
      <c r="H144" s="12"/>
      <c r="I144" s="12"/>
      <c r="J144" s="12"/>
      <c r="K144" s="12"/>
      <c r="L144" s="12"/>
      <c r="M144" s="12">
        <v>5</v>
      </c>
      <c r="N144" s="12"/>
      <c r="O144" s="12"/>
      <c r="P144" s="12">
        <f t="shared" ref="P144" si="242">SUM(G144:O144)*D144</f>
        <v>5</v>
      </c>
      <c r="Q144" s="53">
        <v>6.9</v>
      </c>
      <c r="R144" s="53">
        <f t="shared" ref="R144:R145" si="243">Q144*D144</f>
        <v>6.9</v>
      </c>
      <c r="S144" s="53">
        <f t="shared" ref="S144:S145" si="244">R144-1.2*D144</f>
        <v>5.7</v>
      </c>
      <c r="T144" s="63" t="s">
        <v>66</v>
      </c>
      <c r="U144" s="64"/>
      <c r="V144" s="65"/>
      <c r="W144" s="29"/>
      <c r="X144" s="29"/>
    </row>
    <row r="145" spans="1:24" ht="45" customHeight="1" x14ac:dyDescent="0.7">
      <c r="A145" s="51">
        <f t="shared" si="221"/>
        <v>500</v>
      </c>
      <c r="B145" s="11" t="s">
        <v>60</v>
      </c>
      <c r="C145" s="52">
        <f t="shared" si="222"/>
        <v>502</v>
      </c>
      <c r="D145" s="12">
        <v>3</v>
      </c>
      <c r="E145" s="45"/>
      <c r="F145" s="137"/>
      <c r="G145" s="12"/>
      <c r="H145" s="12"/>
      <c r="I145" s="12"/>
      <c r="J145" s="12"/>
      <c r="K145" s="12"/>
      <c r="L145" s="12"/>
      <c r="M145" s="12"/>
      <c r="N145" s="12">
        <v>20</v>
      </c>
      <c r="O145" s="12"/>
      <c r="P145" s="12">
        <f t="shared" ref="P145" si="245">SUM(G145:O145)*D145</f>
        <v>60</v>
      </c>
      <c r="Q145" s="53">
        <v>11.85</v>
      </c>
      <c r="R145" s="53">
        <f t="shared" si="243"/>
        <v>35.549999999999997</v>
      </c>
      <c r="S145" s="53">
        <f t="shared" si="244"/>
        <v>31.949999999999996</v>
      </c>
      <c r="T145" s="63" t="s">
        <v>66</v>
      </c>
      <c r="U145" s="64"/>
      <c r="V145" s="65"/>
      <c r="W145" s="29"/>
      <c r="X145" s="29"/>
    </row>
    <row r="146" spans="1:24" ht="45" customHeight="1" x14ac:dyDescent="0.7">
      <c r="A146" s="51">
        <f t="shared" si="221"/>
        <v>503</v>
      </c>
      <c r="B146" s="11" t="s">
        <v>60</v>
      </c>
      <c r="C146" s="52">
        <f t="shared" si="222"/>
        <v>503</v>
      </c>
      <c r="D146" s="12">
        <v>1</v>
      </c>
      <c r="E146" s="45"/>
      <c r="F146" s="137"/>
      <c r="G146" s="12"/>
      <c r="H146" s="12"/>
      <c r="I146" s="12"/>
      <c r="J146" s="12"/>
      <c r="K146" s="12"/>
      <c r="L146" s="12"/>
      <c r="M146" s="12"/>
      <c r="N146" s="12">
        <v>16</v>
      </c>
      <c r="O146" s="12"/>
      <c r="P146" s="12">
        <f t="shared" si="233"/>
        <v>16</v>
      </c>
      <c r="Q146" s="53">
        <v>11.85</v>
      </c>
      <c r="R146" s="53">
        <f t="shared" si="224"/>
        <v>11.85</v>
      </c>
      <c r="S146" s="53">
        <f t="shared" si="225"/>
        <v>10.65</v>
      </c>
      <c r="T146" s="63" t="s">
        <v>66</v>
      </c>
      <c r="U146" s="64"/>
      <c r="V146" s="65"/>
      <c r="W146" s="29"/>
      <c r="X146" s="29"/>
    </row>
    <row r="147" spans="1:24" ht="45" customHeight="1" thickBot="1" x14ac:dyDescent="0.75">
      <c r="A147" s="51">
        <f t="shared" si="221"/>
        <v>504</v>
      </c>
      <c r="B147" s="11" t="s">
        <v>60</v>
      </c>
      <c r="C147" s="52">
        <f t="shared" si="222"/>
        <v>504</v>
      </c>
      <c r="D147" s="12">
        <v>1</v>
      </c>
      <c r="E147" s="45"/>
      <c r="F147" s="137"/>
      <c r="G147" s="12"/>
      <c r="H147" s="12"/>
      <c r="I147" s="12"/>
      <c r="J147" s="12"/>
      <c r="K147" s="12"/>
      <c r="L147" s="12"/>
      <c r="M147" s="12"/>
      <c r="N147" s="12"/>
      <c r="O147" s="12">
        <v>1</v>
      </c>
      <c r="P147" s="12">
        <f t="shared" si="233"/>
        <v>1</v>
      </c>
      <c r="Q147" s="53">
        <v>12.2</v>
      </c>
      <c r="R147" s="53">
        <f t="shared" si="224"/>
        <v>12.2</v>
      </c>
      <c r="S147" s="53">
        <f t="shared" si="225"/>
        <v>11</v>
      </c>
      <c r="T147" s="63" t="s">
        <v>66</v>
      </c>
      <c r="U147" s="64"/>
      <c r="V147" s="65"/>
      <c r="W147" s="29"/>
      <c r="X147" s="29"/>
    </row>
    <row r="148" spans="1:24" ht="45" customHeight="1" thickBot="1" x14ac:dyDescent="0.75">
      <c r="A148" s="68" t="s">
        <v>19</v>
      </c>
      <c r="B148" s="69"/>
      <c r="C148" s="70"/>
      <c r="D148" s="54">
        <f>SUM(D131:D147)</f>
        <v>51</v>
      </c>
      <c r="E148" s="54"/>
      <c r="F148" s="54"/>
      <c r="G148" s="54">
        <f>P131+P132</f>
        <v>33</v>
      </c>
      <c r="H148" s="54">
        <f>P133+P134</f>
        <v>87</v>
      </c>
      <c r="I148" s="54">
        <f>P135+P136</f>
        <v>159</v>
      </c>
      <c r="J148" s="54">
        <f>P137+P138</f>
        <v>179</v>
      </c>
      <c r="K148" s="54">
        <f>P139+P140</f>
        <v>162</v>
      </c>
      <c r="L148" s="54">
        <f>P141+P142</f>
        <v>137</v>
      </c>
      <c r="M148" s="54">
        <f>P143+P144</f>
        <v>105</v>
      </c>
      <c r="N148" s="54">
        <f>P145+P146</f>
        <v>76</v>
      </c>
      <c r="O148" s="54">
        <f>P147</f>
        <v>1</v>
      </c>
      <c r="P148" s="55">
        <f>SUM(P131:P147)</f>
        <v>939</v>
      </c>
      <c r="Q148" s="56">
        <f>SUM(Q131:Q147)</f>
        <v>172.56999999999996</v>
      </c>
      <c r="R148" s="56">
        <f t="shared" ref="R148:S148" si="246">SUM(R131:R147)</f>
        <v>530.80000000000007</v>
      </c>
      <c r="S148" s="56">
        <f t="shared" si="246"/>
        <v>469.59999999999991</v>
      </c>
      <c r="T148" s="69"/>
      <c r="U148" s="69"/>
      <c r="V148" s="76"/>
      <c r="W148" s="29"/>
      <c r="X148" s="29"/>
    </row>
    <row r="149" spans="1:24" ht="45" customHeight="1" x14ac:dyDescent="0.7">
      <c r="A149" s="51">
        <f>C147+1</f>
        <v>505</v>
      </c>
      <c r="B149" s="11" t="s">
        <v>60</v>
      </c>
      <c r="C149" s="58">
        <f t="shared" ref="C149" si="247">A149-1+D149</f>
        <v>505</v>
      </c>
      <c r="D149" s="12">
        <v>1</v>
      </c>
      <c r="E149" s="45"/>
      <c r="F149" s="49"/>
      <c r="G149" s="12">
        <v>2</v>
      </c>
      <c r="H149" s="12"/>
      <c r="I149" s="12"/>
      <c r="J149" s="12"/>
      <c r="K149" s="12"/>
      <c r="L149" s="12"/>
      <c r="M149" s="12"/>
      <c r="N149" s="12"/>
      <c r="O149" s="12"/>
      <c r="P149" s="12">
        <f t="shared" ref="P149" si="248">SUM(G149:O149)*D149</f>
        <v>2</v>
      </c>
      <c r="Q149" s="53">
        <v>9.6</v>
      </c>
      <c r="R149" s="53">
        <f t="shared" ref="R149" si="249">Q149*D149</f>
        <v>9.6</v>
      </c>
      <c r="S149" s="53">
        <f t="shared" ref="S149" si="250">R149-1.2*D149</f>
        <v>8.4</v>
      </c>
      <c r="T149" s="63" t="s">
        <v>66</v>
      </c>
      <c r="U149" s="64"/>
      <c r="V149" s="65"/>
      <c r="W149" s="29"/>
      <c r="X149" s="29"/>
    </row>
    <row r="150" spans="1:24" ht="45" customHeight="1" x14ac:dyDescent="0.7">
      <c r="A150" s="51">
        <f>C149+1</f>
        <v>506</v>
      </c>
      <c r="B150" s="11" t="s">
        <v>60</v>
      </c>
      <c r="C150" s="58">
        <f t="shared" ref="C150:C151" si="251">A150-1+D150</f>
        <v>506</v>
      </c>
      <c r="D150" s="12">
        <v>1</v>
      </c>
      <c r="E150" s="45"/>
      <c r="F150" s="49"/>
      <c r="G150" s="12"/>
      <c r="H150" s="12">
        <v>15</v>
      </c>
      <c r="I150" s="12"/>
      <c r="J150" s="12"/>
      <c r="K150" s="12"/>
      <c r="L150" s="12"/>
      <c r="M150" s="12"/>
      <c r="N150" s="12"/>
      <c r="O150" s="12"/>
      <c r="P150" s="12">
        <f t="shared" ref="P150:P151" si="252">SUM(G150:O150)*D150</f>
        <v>15</v>
      </c>
      <c r="Q150" s="53">
        <v>9.6</v>
      </c>
      <c r="R150" s="53">
        <f t="shared" ref="R150:R151" si="253">Q150*D150</f>
        <v>9.6</v>
      </c>
      <c r="S150" s="53">
        <f t="shared" ref="S150:S151" si="254">R150-1.2*D150</f>
        <v>8.4</v>
      </c>
      <c r="T150" s="63" t="s">
        <v>66</v>
      </c>
      <c r="U150" s="64"/>
      <c r="V150" s="65"/>
      <c r="W150" s="29"/>
      <c r="X150" s="29"/>
    </row>
    <row r="151" spans="1:24" ht="45" customHeight="1" x14ac:dyDescent="0.7">
      <c r="A151" s="51">
        <f>C150+1</f>
        <v>507</v>
      </c>
      <c r="B151" s="11" t="s">
        <v>60</v>
      </c>
      <c r="C151" s="58">
        <f t="shared" si="251"/>
        <v>507</v>
      </c>
      <c r="D151" s="12">
        <v>1</v>
      </c>
      <c r="E151" s="45"/>
      <c r="F151" s="49"/>
      <c r="G151" s="12"/>
      <c r="H151" s="12"/>
      <c r="I151" s="12">
        <v>20</v>
      </c>
      <c r="J151" s="12"/>
      <c r="K151" s="12"/>
      <c r="L151" s="12"/>
      <c r="M151" s="12"/>
      <c r="N151" s="12"/>
      <c r="O151" s="12"/>
      <c r="P151" s="12">
        <f t="shared" si="252"/>
        <v>20</v>
      </c>
      <c r="Q151" s="53">
        <v>9.6</v>
      </c>
      <c r="R151" s="53">
        <f t="shared" si="253"/>
        <v>9.6</v>
      </c>
      <c r="S151" s="53">
        <f t="shared" si="254"/>
        <v>8.4</v>
      </c>
      <c r="T151" s="63" t="s">
        <v>66</v>
      </c>
      <c r="U151" s="64"/>
      <c r="V151" s="65"/>
      <c r="W151" s="29"/>
      <c r="X151" s="29"/>
    </row>
    <row r="152" spans="1:24" ht="45" customHeight="1" x14ac:dyDescent="0.7">
      <c r="A152" s="51">
        <f t="shared" ref="A152:A161" si="255">C151+1</f>
        <v>508</v>
      </c>
      <c r="B152" s="11" t="s">
        <v>60</v>
      </c>
      <c r="C152" s="58">
        <f t="shared" ref="C152:C161" si="256">A152-1+D152</f>
        <v>508</v>
      </c>
      <c r="D152" s="12">
        <v>1</v>
      </c>
      <c r="E152" s="45"/>
      <c r="F152" s="74" t="s">
        <v>86</v>
      </c>
      <c r="G152" s="12"/>
      <c r="H152" s="12"/>
      <c r="I152" s="12">
        <v>1</v>
      </c>
      <c r="J152" s="12"/>
      <c r="K152" s="12"/>
      <c r="L152" s="12"/>
      <c r="M152" s="12"/>
      <c r="N152" s="12"/>
      <c r="O152" s="12"/>
      <c r="P152" s="12">
        <f t="shared" ref="P152" si="257">SUM(G152:O152)*D152</f>
        <v>1</v>
      </c>
      <c r="Q152" s="53">
        <v>9.6</v>
      </c>
      <c r="R152" s="53">
        <f t="shared" ref="R152:R158" si="258">Q152*D152</f>
        <v>9.6</v>
      </c>
      <c r="S152" s="53">
        <f t="shared" ref="S152:S158" si="259">R152-1.2*D152</f>
        <v>8.4</v>
      </c>
      <c r="T152" s="63" t="s">
        <v>66</v>
      </c>
      <c r="U152" s="64"/>
      <c r="V152" s="65"/>
      <c r="W152" s="29"/>
      <c r="X152" s="29"/>
    </row>
    <row r="153" spans="1:24" ht="45" customHeight="1" x14ac:dyDescent="0.7">
      <c r="A153" s="51">
        <f t="shared" si="255"/>
        <v>509</v>
      </c>
      <c r="B153" s="11" t="s">
        <v>60</v>
      </c>
      <c r="C153" s="58">
        <f t="shared" si="256"/>
        <v>509</v>
      </c>
      <c r="D153" s="12">
        <v>1</v>
      </c>
      <c r="E153" s="45"/>
      <c r="F153" s="74"/>
      <c r="G153" s="12"/>
      <c r="H153" s="12"/>
      <c r="I153" s="12"/>
      <c r="J153" s="12">
        <v>20</v>
      </c>
      <c r="K153" s="12"/>
      <c r="L153" s="12"/>
      <c r="M153" s="12"/>
      <c r="N153" s="12"/>
      <c r="O153" s="12"/>
      <c r="P153" s="12">
        <f t="shared" ref="P153" si="260">SUM(G153:O153)*D153</f>
        <v>20</v>
      </c>
      <c r="Q153" s="53">
        <v>10.199999999999999</v>
      </c>
      <c r="R153" s="53">
        <f t="shared" ref="R153" si="261">Q153*D153</f>
        <v>10.199999999999999</v>
      </c>
      <c r="S153" s="53">
        <f t="shared" ref="S153" si="262">R153-1.2*D153</f>
        <v>9</v>
      </c>
      <c r="T153" s="63" t="s">
        <v>66</v>
      </c>
      <c r="U153" s="64"/>
      <c r="V153" s="65"/>
      <c r="W153" s="29"/>
      <c r="X153" s="29"/>
    </row>
    <row r="154" spans="1:24" ht="45" customHeight="1" x14ac:dyDescent="0.7">
      <c r="A154" s="51">
        <f t="shared" si="255"/>
        <v>510</v>
      </c>
      <c r="B154" s="11" t="s">
        <v>60</v>
      </c>
      <c r="C154" s="58">
        <f t="shared" si="256"/>
        <v>510</v>
      </c>
      <c r="D154" s="12">
        <v>1</v>
      </c>
      <c r="E154" s="45"/>
      <c r="F154" s="74"/>
      <c r="G154" s="12"/>
      <c r="H154" s="12"/>
      <c r="I154" s="12"/>
      <c r="J154" s="12">
        <v>2</v>
      </c>
      <c r="K154" s="12"/>
      <c r="L154" s="12"/>
      <c r="M154" s="12"/>
      <c r="N154" s="12"/>
      <c r="O154" s="12"/>
      <c r="P154" s="12">
        <f t="shared" ref="P154" si="263">SUM(G154:O154)*D154</f>
        <v>2</v>
      </c>
      <c r="Q154" s="53">
        <v>10.199999999999999</v>
      </c>
      <c r="R154" s="53">
        <f t="shared" si="258"/>
        <v>10.199999999999999</v>
      </c>
      <c r="S154" s="53">
        <f t="shared" si="259"/>
        <v>9</v>
      </c>
      <c r="T154" s="63" t="s">
        <v>66</v>
      </c>
      <c r="U154" s="64"/>
      <c r="V154" s="65"/>
      <c r="W154" s="29"/>
      <c r="X154" s="29"/>
    </row>
    <row r="155" spans="1:24" ht="45" customHeight="1" x14ac:dyDescent="0.7">
      <c r="A155" s="51">
        <f t="shared" si="255"/>
        <v>511</v>
      </c>
      <c r="B155" s="11" t="s">
        <v>60</v>
      </c>
      <c r="C155" s="58">
        <f t="shared" si="256"/>
        <v>511</v>
      </c>
      <c r="D155" s="12">
        <v>1</v>
      </c>
      <c r="E155" s="45"/>
      <c r="F155" s="74"/>
      <c r="G155" s="12"/>
      <c r="H155" s="12"/>
      <c r="I155" s="12"/>
      <c r="J155" s="12"/>
      <c r="K155" s="12">
        <v>20</v>
      </c>
      <c r="L155" s="12"/>
      <c r="M155" s="12"/>
      <c r="N155" s="12"/>
      <c r="O155" s="12"/>
      <c r="P155" s="12">
        <f t="shared" ref="P155" si="264">SUM(G155:O155)*D155</f>
        <v>20</v>
      </c>
      <c r="Q155" s="53">
        <v>10.95</v>
      </c>
      <c r="R155" s="53">
        <f t="shared" si="258"/>
        <v>10.95</v>
      </c>
      <c r="S155" s="53">
        <f t="shared" si="259"/>
        <v>9.75</v>
      </c>
      <c r="T155" s="63" t="s">
        <v>66</v>
      </c>
      <c r="U155" s="64"/>
      <c r="V155" s="65"/>
      <c r="W155" s="29"/>
      <c r="X155" s="29"/>
    </row>
    <row r="156" spans="1:24" ht="45" customHeight="1" x14ac:dyDescent="0.7">
      <c r="A156" s="51">
        <f t="shared" si="255"/>
        <v>512</v>
      </c>
      <c r="B156" s="11" t="s">
        <v>60</v>
      </c>
      <c r="C156" s="58">
        <f t="shared" si="256"/>
        <v>512</v>
      </c>
      <c r="D156" s="12">
        <v>1</v>
      </c>
      <c r="E156" s="45"/>
      <c r="F156" s="74"/>
      <c r="G156" s="12"/>
      <c r="H156" s="12"/>
      <c r="I156" s="12"/>
      <c r="J156" s="12"/>
      <c r="K156" s="12">
        <v>8</v>
      </c>
      <c r="L156" s="12"/>
      <c r="M156" s="12"/>
      <c r="N156" s="12"/>
      <c r="O156" s="12"/>
      <c r="P156" s="12">
        <f t="shared" ref="P156:P158" si="265">SUM(G156:O156)*D156</f>
        <v>8</v>
      </c>
      <c r="Q156" s="53">
        <v>8.5</v>
      </c>
      <c r="R156" s="53">
        <f t="shared" si="258"/>
        <v>8.5</v>
      </c>
      <c r="S156" s="53">
        <f t="shared" si="259"/>
        <v>7.3</v>
      </c>
      <c r="T156" s="63" t="s">
        <v>66</v>
      </c>
      <c r="U156" s="64"/>
      <c r="V156" s="65"/>
      <c r="W156" s="29"/>
      <c r="X156" s="29"/>
    </row>
    <row r="157" spans="1:24" ht="45" customHeight="1" x14ac:dyDescent="0.7">
      <c r="A157" s="51">
        <f t="shared" si="255"/>
        <v>513</v>
      </c>
      <c r="B157" s="11" t="s">
        <v>60</v>
      </c>
      <c r="C157" s="58">
        <f t="shared" si="256"/>
        <v>513</v>
      </c>
      <c r="D157" s="12">
        <v>1</v>
      </c>
      <c r="E157" s="45"/>
      <c r="F157" s="74"/>
      <c r="G157" s="12"/>
      <c r="H157" s="12"/>
      <c r="I157" s="12"/>
      <c r="J157" s="12"/>
      <c r="K157" s="12"/>
      <c r="L157" s="12">
        <v>20</v>
      </c>
      <c r="M157" s="12"/>
      <c r="N157" s="12"/>
      <c r="O157" s="12"/>
      <c r="P157" s="12">
        <f t="shared" ref="P157" si="266">SUM(G157:O157)*D157</f>
        <v>20</v>
      </c>
      <c r="Q157" s="53">
        <v>11.25</v>
      </c>
      <c r="R157" s="53">
        <f t="shared" ref="R157" si="267">Q157*D157</f>
        <v>11.25</v>
      </c>
      <c r="S157" s="53">
        <f t="shared" ref="S157" si="268">R157-1.2*D157</f>
        <v>10.050000000000001</v>
      </c>
      <c r="T157" s="63" t="s">
        <v>66</v>
      </c>
      <c r="U157" s="64"/>
      <c r="V157" s="65"/>
      <c r="W157" s="29"/>
      <c r="X157" s="29"/>
    </row>
    <row r="158" spans="1:24" ht="45" customHeight="1" x14ac:dyDescent="0.7">
      <c r="A158" s="51">
        <f t="shared" si="255"/>
        <v>514</v>
      </c>
      <c r="B158" s="11" t="s">
        <v>60</v>
      </c>
      <c r="C158" s="58">
        <f t="shared" si="256"/>
        <v>514</v>
      </c>
      <c r="D158" s="12">
        <v>1</v>
      </c>
      <c r="E158" s="45"/>
      <c r="F158" s="74"/>
      <c r="G158" s="12"/>
      <c r="H158" s="12"/>
      <c r="I158" s="12"/>
      <c r="J158" s="12"/>
      <c r="K158" s="12"/>
      <c r="L158" s="12">
        <v>5</v>
      </c>
      <c r="M158" s="12"/>
      <c r="N158" s="12"/>
      <c r="O158" s="12"/>
      <c r="P158" s="12">
        <f t="shared" si="265"/>
        <v>5</v>
      </c>
      <c r="Q158" s="53">
        <v>11.25</v>
      </c>
      <c r="R158" s="53">
        <f t="shared" si="258"/>
        <v>11.25</v>
      </c>
      <c r="S158" s="53">
        <f t="shared" si="259"/>
        <v>10.050000000000001</v>
      </c>
      <c r="T158" s="63" t="s">
        <v>66</v>
      </c>
      <c r="U158" s="64"/>
      <c r="V158" s="65"/>
      <c r="W158" s="29"/>
      <c r="X158" s="29"/>
    </row>
    <row r="159" spans="1:24" ht="45" customHeight="1" x14ac:dyDescent="0.7">
      <c r="A159" s="51">
        <f t="shared" si="255"/>
        <v>515</v>
      </c>
      <c r="B159" s="11" t="s">
        <v>60</v>
      </c>
      <c r="C159" s="58">
        <f t="shared" si="256"/>
        <v>515</v>
      </c>
      <c r="D159" s="12">
        <v>1</v>
      </c>
      <c r="E159" s="45"/>
      <c r="F159" s="74"/>
      <c r="G159" s="12"/>
      <c r="H159" s="12"/>
      <c r="I159" s="12"/>
      <c r="J159" s="12"/>
      <c r="K159" s="12"/>
      <c r="L159" s="12"/>
      <c r="M159" s="12">
        <v>18</v>
      </c>
      <c r="N159" s="12"/>
      <c r="O159" s="12"/>
      <c r="P159" s="12">
        <f t="shared" ref="P159" si="269">SUM(G159:O159)*D159</f>
        <v>18</v>
      </c>
      <c r="Q159" s="53">
        <v>11.75</v>
      </c>
      <c r="R159" s="53">
        <f t="shared" ref="R159:R160" si="270">Q159*D159</f>
        <v>11.75</v>
      </c>
      <c r="S159" s="53">
        <f t="shared" ref="S159:S160" si="271">R159-1.2*D159</f>
        <v>10.55</v>
      </c>
      <c r="T159" s="63" t="s">
        <v>66</v>
      </c>
      <c r="U159" s="64"/>
      <c r="V159" s="65"/>
      <c r="W159" s="29"/>
      <c r="X159" s="29"/>
    </row>
    <row r="160" spans="1:24" ht="45" customHeight="1" x14ac:dyDescent="0.7">
      <c r="A160" s="51">
        <f t="shared" si="255"/>
        <v>516</v>
      </c>
      <c r="B160" s="11" t="s">
        <v>60</v>
      </c>
      <c r="C160" s="58">
        <f t="shared" si="256"/>
        <v>516</v>
      </c>
      <c r="D160" s="12">
        <v>1</v>
      </c>
      <c r="E160" s="45"/>
      <c r="F160" s="74"/>
      <c r="G160" s="12"/>
      <c r="H160" s="12"/>
      <c r="I160" s="12"/>
      <c r="J160" s="12"/>
      <c r="K160" s="12"/>
      <c r="L160" s="12"/>
      <c r="M160" s="12"/>
      <c r="N160" s="12">
        <v>8</v>
      </c>
      <c r="O160" s="12"/>
      <c r="P160" s="12">
        <f t="shared" ref="P160" si="272">SUM(G160:O160)*D160</f>
        <v>8</v>
      </c>
      <c r="Q160" s="53">
        <v>12.15</v>
      </c>
      <c r="R160" s="53">
        <f t="shared" si="270"/>
        <v>12.15</v>
      </c>
      <c r="S160" s="53">
        <f t="shared" si="271"/>
        <v>10.950000000000001</v>
      </c>
      <c r="T160" s="63" t="s">
        <v>66</v>
      </c>
      <c r="U160" s="64"/>
      <c r="V160" s="65"/>
      <c r="W160" s="29"/>
      <c r="X160" s="29"/>
    </row>
    <row r="161" spans="1:24" ht="45" customHeight="1" thickBot="1" x14ac:dyDescent="0.75">
      <c r="A161" s="51">
        <f t="shared" si="255"/>
        <v>517</v>
      </c>
      <c r="B161" s="11" t="s">
        <v>60</v>
      </c>
      <c r="C161" s="58">
        <f t="shared" si="256"/>
        <v>517</v>
      </c>
      <c r="D161" s="12">
        <v>1</v>
      </c>
      <c r="E161" s="45"/>
      <c r="F161" s="74"/>
      <c r="G161" s="12"/>
      <c r="H161" s="12"/>
      <c r="I161" s="12"/>
      <c r="J161" s="12"/>
      <c r="K161" s="12"/>
      <c r="L161" s="12"/>
      <c r="M161" s="12"/>
      <c r="N161" s="12"/>
      <c r="O161" s="12">
        <v>2</v>
      </c>
      <c r="P161" s="12">
        <f t="shared" ref="P161" si="273">SUM(G161:O161)*D161</f>
        <v>2</v>
      </c>
      <c r="Q161" s="53">
        <f>SUM(Q149:Q160)</f>
        <v>124.65</v>
      </c>
      <c r="R161" s="53">
        <f t="shared" ref="R161" si="274">Q161*D161</f>
        <v>124.65</v>
      </c>
      <c r="S161" s="53">
        <f t="shared" ref="S161" si="275">R161-1.2*D161</f>
        <v>123.45</v>
      </c>
      <c r="T161" s="63" t="s">
        <v>66</v>
      </c>
      <c r="U161" s="64"/>
      <c r="V161" s="65"/>
      <c r="W161" s="29"/>
      <c r="X161" s="29"/>
    </row>
    <row r="162" spans="1:24" s="3" customFormat="1" ht="45" customHeight="1" thickBot="1" x14ac:dyDescent="0.25">
      <c r="A162" s="68" t="s">
        <v>19</v>
      </c>
      <c r="B162" s="69"/>
      <c r="C162" s="70"/>
      <c r="D162" s="54">
        <f>SUM(D149:D161)</f>
        <v>13</v>
      </c>
      <c r="E162" s="54"/>
      <c r="F162" s="54"/>
      <c r="G162" s="54">
        <f>P149</f>
        <v>2</v>
      </c>
      <c r="H162" s="54">
        <f>P150</f>
        <v>15</v>
      </c>
      <c r="I162" s="54">
        <f>P151+P152</f>
        <v>21</v>
      </c>
      <c r="J162" s="54">
        <f>P153+P154</f>
        <v>22</v>
      </c>
      <c r="K162" s="54">
        <f>P155+P156</f>
        <v>28</v>
      </c>
      <c r="L162" s="54">
        <f>P157+P158</f>
        <v>25</v>
      </c>
      <c r="M162" s="54">
        <f>P159</f>
        <v>18</v>
      </c>
      <c r="N162" s="54">
        <f>P160</f>
        <v>8</v>
      </c>
      <c r="O162" s="54">
        <f>P161</f>
        <v>2</v>
      </c>
      <c r="P162" s="54">
        <f>SUM(P149:P161)</f>
        <v>141</v>
      </c>
      <c r="Q162" s="57">
        <f>SUM(Q152:Q161)</f>
        <v>220.5</v>
      </c>
      <c r="R162" s="57">
        <f t="shared" ref="R162:S162" si="276">SUM(R152:R161)</f>
        <v>220.5</v>
      </c>
      <c r="S162" s="57">
        <f t="shared" si="276"/>
        <v>208.5</v>
      </c>
      <c r="T162" s="75"/>
      <c r="U162" s="69"/>
      <c r="V162" s="76"/>
      <c r="W162" s="31"/>
      <c r="X162" s="31"/>
    </row>
    <row r="163" spans="1:24" s="3" customFormat="1" ht="18.75" customHeight="1" thickBot="1" x14ac:dyDescent="0.25">
      <c r="A163" s="132"/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</row>
    <row r="164" spans="1:24" ht="44.25" customHeight="1" thickBot="1" x14ac:dyDescent="0.75">
      <c r="A164" s="68" t="s">
        <v>76</v>
      </c>
      <c r="B164" s="69"/>
      <c r="C164" s="70"/>
      <c r="D164" s="54">
        <f>D162+D148+D130+D112+D96+D87+D70+D52</f>
        <v>517</v>
      </c>
      <c r="E164" s="54"/>
      <c r="F164" s="54"/>
      <c r="G164" s="54">
        <f t="shared" ref="G164:N164" si="277">G162+G148+G130+G112+G96+G87+G70+G52</f>
        <v>121</v>
      </c>
      <c r="H164" s="54">
        <f t="shared" si="277"/>
        <v>792</v>
      </c>
      <c r="I164" s="54">
        <f t="shared" si="277"/>
        <v>1563</v>
      </c>
      <c r="J164" s="54">
        <f t="shared" si="277"/>
        <v>1950</v>
      </c>
      <c r="K164" s="54">
        <f t="shared" si="277"/>
        <v>1884</v>
      </c>
      <c r="L164" s="54">
        <f t="shared" si="277"/>
        <v>1455</v>
      </c>
      <c r="M164" s="54">
        <f t="shared" si="277"/>
        <v>1167</v>
      </c>
      <c r="N164" s="54">
        <f t="shared" si="277"/>
        <v>607</v>
      </c>
      <c r="O164" s="54"/>
      <c r="P164" s="54">
        <f>P162+P148+P130+P112+P96+P87+P70+P52</f>
        <v>9578</v>
      </c>
      <c r="Q164" s="57">
        <f>Q162+Q148+Q130+Q112+Q96+Q87+Q70+Q52</f>
        <v>1186.2699999999998</v>
      </c>
      <c r="R164" s="54">
        <f>R162+R148+R130+R112+R96+R87+R70+R52</f>
        <v>5311.7300000000005</v>
      </c>
      <c r="S164" s="54">
        <f>S162+S148+S130+S112+S96+S87+S70+S52</f>
        <v>4694.93</v>
      </c>
      <c r="T164" s="71"/>
      <c r="U164" s="72"/>
      <c r="V164" s="73"/>
      <c r="W164" s="29"/>
      <c r="X164" s="29"/>
    </row>
    <row r="165" spans="1:24" ht="10.5" customHeight="1" x14ac:dyDescent="0.7">
      <c r="A165" s="17"/>
      <c r="B165" s="17"/>
      <c r="C165" s="17"/>
      <c r="D165" s="17"/>
      <c r="E165" s="59"/>
      <c r="F165" s="59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60"/>
      <c r="U165" s="31"/>
      <c r="V165" s="31"/>
      <c r="W165" s="29"/>
      <c r="X165" s="29"/>
    </row>
    <row r="166" spans="1:24" ht="40.5" customHeight="1" x14ac:dyDescent="0.7">
      <c r="A166" s="66" t="s">
        <v>44</v>
      </c>
      <c r="B166" s="66"/>
      <c r="C166" s="66"/>
      <c r="D166" s="66"/>
      <c r="E166" s="66"/>
      <c r="F166" s="66"/>
      <c r="G166" s="29"/>
      <c r="H166" s="67">
        <f>R164</f>
        <v>5311.7300000000005</v>
      </c>
      <c r="I166" s="67"/>
      <c r="J166" s="29" t="s">
        <v>46</v>
      </c>
      <c r="K166" s="29"/>
      <c r="L166" s="29"/>
      <c r="M166" s="29"/>
      <c r="N166" s="61"/>
      <c r="O166" s="29"/>
      <c r="P166" s="29"/>
      <c r="Q166" s="29"/>
      <c r="R166" s="29"/>
      <c r="S166" s="29"/>
      <c r="T166" s="29"/>
      <c r="U166" s="31"/>
      <c r="V166" s="31"/>
      <c r="W166" s="29"/>
      <c r="X166" s="29"/>
    </row>
    <row r="167" spans="1:24" ht="40.5" customHeight="1" x14ac:dyDescent="0.7">
      <c r="A167" s="66" t="s">
        <v>47</v>
      </c>
      <c r="B167" s="66"/>
      <c r="C167" s="66"/>
      <c r="D167" s="66"/>
      <c r="E167" s="66" t="s">
        <v>45</v>
      </c>
      <c r="F167" s="66"/>
      <c r="G167" s="29"/>
      <c r="H167" s="67">
        <f>S164</f>
        <v>4694.93</v>
      </c>
      <c r="I167" s="67"/>
      <c r="J167" s="29" t="s">
        <v>46</v>
      </c>
      <c r="K167" s="29"/>
      <c r="L167" s="29"/>
      <c r="M167" s="29">
        <f>H167/I14</f>
        <v>0.4901785341407392</v>
      </c>
      <c r="N167" s="29"/>
      <c r="O167" s="29"/>
      <c r="P167" s="29"/>
      <c r="Q167" s="29"/>
      <c r="R167" s="29"/>
      <c r="S167" s="29"/>
      <c r="T167" s="29"/>
      <c r="U167" s="31"/>
      <c r="V167" s="31"/>
      <c r="W167" s="29"/>
      <c r="X167" s="29"/>
    </row>
    <row r="168" spans="1:24" ht="40.5" customHeight="1" x14ac:dyDescent="0.7">
      <c r="A168" s="29" t="s">
        <v>48</v>
      </c>
      <c r="B168" s="29"/>
      <c r="C168" s="29"/>
      <c r="D168" s="29"/>
      <c r="E168" s="30" t="s">
        <v>45</v>
      </c>
      <c r="F168" s="29"/>
      <c r="G168" s="29"/>
      <c r="H168" s="29">
        <f>D164</f>
        <v>517</v>
      </c>
      <c r="I168" s="29" t="s">
        <v>49</v>
      </c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31"/>
      <c r="V168" s="31"/>
      <c r="W168" s="29"/>
      <c r="X168" s="29"/>
    </row>
    <row r="169" spans="1:24" ht="40.5" customHeight="1" x14ac:dyDescent="0.7">
      <c r="A169" s="29" t="s">
        <v>50</v>
      </c>
      <c r="B169" s="29"/>
      <c r="C169" s="29"/>
      <c r="D169" s="29"/>
      <c r="E169" s="30" t="s">
        <v>45</v>
      </c>
      <c r="F169" s="29"/>
      <c r="G169" s="29"/>
      <c r="H169" s="62">
        <f>0.6*0.4*0.2*D164</f>
        <v>24.815999999999999</v>
      </c>
      <c r="I169" s="29" t="s">
        <v>51</v>
      </c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</row>
    <row r="170" spans="1:24" ht="44.25" customHeight="1" x14ac:dyDescent="0.5"/>
    <row r="171" spans="1:24" ht="24" customHeight="1" x14ac:dyDescent="0.5">
      <c r="R171" s="1" t="s">
        <v>55</v>
      </c>
    </row>
    <row r="172" spans="1:24" ht="24" customHeight="1" x14ac:dyDescent="0.5">
      <c r="R172" s="1" t="s">
        <v>55</v>
      </c>
    </row>
    <row r="173" spans="1:24" ht="24" customHeight="1" x14ac:dyDescent="0.5">
      <c r="I173" s="1"/>
    </row>
    <row r="174" spans="1:24" ht="24" customHeight="1" x14ac:dyDescent="0.5">
      <c r="I174" s="1"/>
    </row>
    <row r="175" spans="1:24" ht="24" customHeight="1" x14ac:dyDescent="0.5">
      <c r="I175" s="1"/>
    </row>
    <row r="176" spans="1:24" ht="24" customHeight="1" x14ac:dyDescent="0.5">
      <c r="I176" s="1"/>
    </row>
    <row r="177" spans="9:9" ht="24" customHeight="1" x14ac:dyDescent="0.5">
      <c r="I177" s="1"/>
    </row>
    <row r="178" spans="9:9" ht="24" customHeight="1" x14ac:dyDescent="0.5">
      <c r="I178" s="1"/>
    </row>
    <row r="179" spans="9:9" ht="24" customHeight="1" x14ac:dyDescent="0.5">
      <c r="I179" s="1"/>
    </row>
    <row r="180" spans="9:9" ht="24" customHeight="1" x14ac:dyDescent="0.5">
      <c r="I180" s="1"/>
    </row>
  </sheetData>
  <mergeCells count="202">
    <mergeCell ref="F53:F69"/>
    <mergeCell ref="F71:F86"/>
    <mergeCell ref="F88:F95"/>
    <mergeCell ref="F97:F111"/>
    <mergeCell ref="F113:F129"/>
    <mergeCell ref="T97:V97"/>
    <mergeCell ref="T113:V113"/>
    <mergeCell ref="T114:V114"/>
    <mergeCell ref="T132:V132"/>
    <mergeCell ref="T131:V131"/>
    <mergeCell ref="F131:F147"/>
    <mergeCell ref="T77:V77"/>
    <mergeCell ref="T85:V85"/>
    <mergeCell ref="T83:V83"/>
    <mergeCell ref="T70:V70"/>
    <mergeCell ref="T69:V69"/>
    <mergeCell ref="T84:V84"/>
    <mergeCell ref="T91:V91"/>
    <mergeCell ref="T78:V78"/>
    <mergeCell ref="T67:V67"/>
    <mergeCell ref="T74:V74"/>
    <mergeCell ref="T55:V55"/>
    <mergeCell ref="T72:V72"/>
    <mergeCell ref="T89:V89"/>
    <mergeCell ref="T98:V98"/>
    <mergeCell ref="T133:V133"/>
    <mergeCell ref="T76:V76"/>
    <mergeCell ref="T102:V102"/>
    <mergeCell ref="T119:V119"/>
    <mergeCell ref="T61:V61"/>
    <mergeCell ref="T104:V104"/>
    <mergeCell ref="T121:V121"/>
    <mergeCell ref="T106:V106"/>
    <mergeCell ref="T123:V123"/>
    <mergeCell ref="T65:V65"/>
    <mergeCell ref="T126:V126"/>
    <mergeCell ref="T127:V127"/>
    <mergeCell ref="T128:V128"/>
    <mergeCell ref="T95:V95"/>
    <mergeCell ref="T94:V94"/>
    <mergeCell ref="T75:V75"/>
    <mergeCell ref="T90:V90"/>
    <mergeCell ref="T108:V108"/>
    <mergeCell ref="A162:C162"/>
    <mergeCell ref="T162:V162"/>
    <mergeCell ref="A163:X163"/>
    <mergeCell ref="A148:C148"/>
    <mergeCell ref="T148:V148"/>
    <mergeCell ref="T152:V152"/>
    <mergeCell ref="T154:V154"/>
    <mergeCell ref="T155:V155"/>
    <mergeCell ref="T156:V156"/>
    <mergeCell ref="T158:V158"/>
    <mergeCell ref="T159:V159"/>
    <mergeCell ref="T161:V161"/>
    <mergeCell ref="T160:V160"/>
    <mergeCell ref="T150:V150"/>
    <mergeCell ref="T151:V151"/>
    <mergeCell ref="T153:V153"/>
    <mergeCell ref="T157:V157"/>
    <mergeCell ref="T149:V149"/>
    <mergeCell ref="A130:C130"/>
    <mergeCell ref="T130:V130"/>
    <mergeCell ref="T134:V134"/>
    <mergeCell ref="T136:V136"/>
    <mergeCell ref="T138:V138"/>
    <mergeCell ref="T140:V140"/>
    <mergeCell ref="T146:V146"/>
    <mergeCell ref="T147:V147"/>
    <mergeCell ref="T142:V142"/>
    <mergeCell ref="T144:V144"/>
    <mergeCell ref="T137:V137"/>
    <mergeCell ref="T143:V143"/>
    <mergeCell ref="T135:V135"/>
    <mergeCell ref="T139:V139"/>
    <mergeCell ref="T141:V141"/>
    <mergeCell ref="T145:V145"/>
    <mergeCell ref="T112:V112"/>
    <mergeCell ref="T115:V115"/>
    <mergeCell ref="T116:V116"/>
    <mergeCell ref="T117:V117"/>
    <mergeCell ref="T118:V118"/>
    <mergeCell ref="T120:V120"/>
    <mergeCell ref="T122:V122"/>
    <mergeCell ref="T125:V125"/>
    <mergeCell ref="T124:V124"/>
    <mergeCell ref="N25:Q25"/>
    <mergeCell ref="P39:P41"/>
    <mergeCell ref="T50:V50"/>
    <mergeCell ref="T51:V51"/>
    <mergeCell ref="T49:V49"/>
    <mergeCell ref="T45:V45"/>
    <mergeCell ref="T43:V43"/>
    <mergeCell ref="T42:V42"/>
    <mergeCell ref="T44:V44"/>
    <mergeCell ref="T46:V46"/>
    <mergeCell ref="Q39:Q41"/>
    <mergeCell ref="A27:C30"/>
    <mergeCell ref="D27:E27"/>
    <mergeCell ref="D28:E28"/>
    <mergeCell ref="D29:E29"/>
    <mergeCell ref="D30:E30"/>
    <mergeCell ref="A31:E31"/>
    <mergeCell ref="A37:E37"/>
    <mergeCell ref="D33:E33"/>
    <mergeCell ref="I15:L15"/>
    <mergeCell ref="A16:H16"/>
    <mergeCell ref="I16:L16"/>
    <mergeCell ref="I18:L18"/>
    <mergeCell ref="A21:H21"/>
    <mergeCell ref="I17:L17"/>
    <mergeCell ref="A18:H18"/>
    <mergeCell ref="A32:C35"/>
    <mergeCell ref="A52:C52"/>
    <mergeCell ref="D34:E34"/>
    <mergeCell ref="D35:E35"/>
    <mergeCell ref="D32:E32"/>
    <mergeCell ref="F25:I25"/>
    <mergeCell ref="J25:M25"/>
    <mergeCell ref="F42:F51"/>
    <mergeCell ref="AT25:AT26"/>
    <mergeCell ref="V25:Y25"/>
    <mergeCell ref="Z25:AC25"/>
    <mergeCell ref="AD25:AG25"/>
    <mergeCell ref="AL25:AO25"/>
    <mergeCell ref="AP25:AS25"/>
    <mergeCell ref="AH25:AK25"/>
    <mergeCell ref="R25:U25"/>
    <mergeCell ref="R39:R41"/>
    <mergeCell ref="S39:S41"/>
    <mergeCell ref="AE3:AG3"/>
    <mergeCell ref="T39:V41"/>
    <mergeCell ref="A19:H19"/>
    <mergeCell ref="I19:L19"/>
    <mergeCell ref="A11:H11"/>
    <mergeCell ref="I11:L11"/>
    <mergeCell ref="A25:C26"/>
    <mergeCell ref="D25:E25"/>
    <mergeCell ref="D26:E26"/>
    <mergeCell ref="A12:H12"/>
    <mergeCell ref="I12:L12"/>
    <mergeCell ref="A13:H13"/>
    <mergeCell ref="I13:L13"/>
    <mergeCell ref="A20:H20"/>
    <mergeCell ref="I20:L20"/>
    <mergeCell ref="A17:H17"/>
    <mergeCell ref="A36:E36"/>
    <mergeCell ref="A39:C41"/>
    <mergeCell ref="G39:O40"/>
    <mergeCell ref="F23:R23"/>
    <mergeCell ref="A14:H14"/>
    <mergeCell ref="I14:L14"/>
    <mergeCell ref="I21:L21"/>
    <mergeCell ref="A15:H15"/>
    <mergeCell ref="A70:C70"/>
    <mergeCell ref="T47:V47"/>
    <mergeCell ref="T48:V48"/>
    <mergeCell ref="T52:V52"/>
    <mergeCell ref="T58:V58"/>
    <mergeCell ref="T60:V60"/>
    <mergeCell ref="T62:V62"/>
    <mergeCell ref="T92:V92"/>
    <mergeCell ref="T64:V64"/>
    <mergeCell ref="T86:V86"/>
    <mergeCell ref="T81:V81"/>
    <mergeCell ref="T59:V59"/>
    <mergeCell ref="T68:V68"/>
    <mergeCell ref="T66:V66"/>
    <mergeCell ref="T56:V56"/>
    <mergeCell ref="T79:V79"/>
    <mergeCell ref="T63:V63"/>
    <mergeCell ref="T80:V80"/>
    <mergeCell ref="T87:V87"/>
    <mergeCell ref="T54:V54"/>
    <mergeCell ref="T53:V53"/>
    <mergeCell ref="T71:V71"/>
    <mergeCell ref="T88:V88"/>
    <mergeCell ref="T57:V57"/>
    <mergeCell ref="T82:V82"/>
    <mergeCell ref="A167:F167"/>
    <mergeCell ref="H167:I167"/>
    <mergeCell ref="A164:C164"/>
    <mergeCell ref="T164:V164"/>
    <mergeCell ref="A166:F166"/>
    <mergeCell ref="H166:I166"/>
    <mergeCell ref="T73:V73"/>
    <mergeCell ref="T93:V93"/>
    <mergeCell ref="F152:F161"/>
    <mergeCell ref="A96:C96"/>
    <mergeCell ref="T96:V96"/>
    <mergeCell ref="A87:C87"/>
    <mergeCell ref="T99:V99"/>
    <mergeCell ref="T101:V101"/>
    <mergeCell ref="T103:V103"/>
    <mergeCell ref="T105:V105"/>
    <mergeCell ref="T107:V107"/>
    <mergeCell ref="T109:V109"/>
    <mergeCell ref="T100:V100"/>
    <mergeCell ref="T111:V111"/>
    <mergeCell ref="T129:V129"/>
    <mergeCell ref="T110:V110"/>
    <mergeCell ref="A112:C112"/>
  </mergeCells>
  <printOptions horizontalCentered="1"/>
  <pageMargins left="0" right="0" top="0" bottom="0" header="0" footer="0"/>
  <pageSetup paperSize="9" scale="15" firstPageNumber="0" pageOrder="overThenDown" orientation="landscape" r:id="rId1"/>
  <headerFooter differentOddEven="1" differentFirst="1"/>
  <rowBreaks count="2" manualBreakCount="2">
    <brk id="38" max="45" man="1"/>
    <brk id="96" max="4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 Packing List</vt:lpstr>
      <vt:lpstr>'Final Packing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</dc:creator>
  <cp:lastModifiedBy>Packing CCL1-B</cp:lastModifiedBy>
  <cp:revision>1</cp:revision>
  <cp:lastPrinted>2026-09-14T10:29:52Z</cp:lastPrinted>
  <dcterms:created xsi:type="dcterms:W3CDTF">2005-05-29T05:13:32Z</dcterms:created>
  <dcterms:modified xsi:type="dcterms:W3CDTF">2026-09-15T04:46:01Z</dcterms:modified>
</cp:coreProperties>
</file>