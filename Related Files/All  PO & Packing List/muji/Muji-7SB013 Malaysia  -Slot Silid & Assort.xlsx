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MVN\Desktop\27SS ALL Documents\27s Packing List All\7SB013 BE43WA7S\"/>
    </mc:Choice>
  </mc:AlternateContent>
  <xr:revisionPtr revIDLastSave="0" documentId="13_ncr:1_{D01F014A-2A48-4447-96B4-6764744BC8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KL- 7SB0013  -Malaysia" sheetId="6" r:id="rId1"/>
  </sheets>
  <definedNames>
    <definedName name="_xlnm.Print_Area" localSheetId="0">'PKL- 7SB0013  -Malaysia'!$A$1:$W$47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6" l="1"/>
  <c r="U21" i="6"/>
  <c r="U22" i="6"/>
  <c r="U23" i="6"/>
  <c r="U10" i="6"/>
  <c r="U20" i="6"/>
  <c r="M32" i="6"/>
  <c r="H32" i="6"/>
  <c r="M31" i="6"/>
  <c r="L31" i="6"/>
  <c r="K31" i="6"/>
  <c r="J31" i="6"/>
  <c r="I31" i="6"/>
  <c r="H31" i="6"/>
  <c r="M30" i="6"/>
  <c r="L30" i="6"/>
  <c r="K30" i="6"/>
  <c r="J30" i="6"/>
  <c r="I30" i="6"/>
  <c r="H30" i="6"/>
  <c r="H27" i="6"/>
  <c r="P26" i="6"/>
  <c r="Q25" i="6"/>
  <c r="C25" i="6"/>
  <c r="S23" i="6"/>
  <c r="R23" i="6"/>
  <c r="T23" i="6" s="1"/>
  <c r="P23" i="6"/>
  <c r="L25" i="6" s="1"/>
  <c r="S22" i="6"/>
  <c r="R22" i="6"/>
  <c r="O22" i="6"/>
  <c r="P22" i="6" s="1"/>
  <c r="K25" i="6" s="1"/>
  <c r="S21" i="6"/>
  <c r="R21" i="6"/>
  <c r="T21" i="6" s="1"/>
  <c r="O21" i="6"/>
  <c r="P21" i="6" s="1"/>
  <c r="J25" i="6" s="1"/>
  <c r="S20" i="6"/>
  <c r="R20" i="6"/>
  <c r="T20" i="6" s="1"/>
  <c r="O20" i="6"/>
  <c r="P20" i="6" s="1"/>
  <c r="F20" i="6"/>
  <c r="E20" i="6"/>
  <c r="B20" i="6"/>
  <c r="A21" i="6" s="1"/>
  <c r="B21" i="6" s="1"/>
  <c r="A22" i="6" s="1"/>
  <c r="B22" i="6" s="1"/>
  <c r="A23" i="6" s="1"/>
  <c r="B23" i="6" s="1"/>
  <c r="O13" i="6"/>
  <c r="Q12" i="6"/>
  <c r="O12" i="6"/>
  <c r="L12" i="6"/>
  <c r="K12" i="6"/>
  <c r="J12" i="6"/>
  <c r="I12" i="6"/>
  <c r="C12" i="6"/>
  <c r="U12" i="6"/>
  <c r="S10" i="6"/>
  <c r="S12" i="6" s="1"/>
  <c r="R10" i="6"/>
  <c r="R12" i="6" s="1"/>
  <c r="P10" i="6"/>
  <c r="P12" i="6" s="1"/>
  <c r="B10" i="6"/>
  <c r="H38" i="6" l="1"/>
  <c r="L32" i="6"/>
  <c r="L33" i="6" s="1"/>
  <c r="L34" i="6" s="1"/>
  <c r="U25" i="6"/>
  <c r="H41" i="6" s="1"/>
  <c r="T10" i="6"/>
  <c r="T12" i="6" s="1"/>
  <c r="H33" i="6"/>
  <c r="H34" i="6" s="1"/>
  <c r="R25" i="6"/>
  <c r="S25" i="6"/>
  <c r="K27" i="6"/>
  <c r="K32" i="6"/>
  <c r="P25" i="6"/>
  <c r="J27" i="6"/>
  <c r="J32" i="6"/>
  <c r="L27" i="6"/>
  <c r="Q31" i="6"/>
  <c r="T22" i="6"/>
  <c r="T25" i="6" s="1"/>
  <c r="M33" i="6"/>
  <c r="M34" i="6" s="1"/>
  <c r="H39" i="6" l="1"/>
  <c r="H40" i="6"/>
  <c r="I27" i="6"/>
  <c r="P27" i="6" s="1"/>
  <c r="I32" i="6"/>
  <c r="K33" i="6"/>
  <c r="K34" i="6" s="1"/>
  <c r="J33" i="6"/>
  <c r="J34" i="6" s="1"/>
  <c r="I33" i="6" l="1"/>
  <c r="Q32" i="6"/>
  <c r="I34" i="6" l="1"/>
  <c r="Q33" i="6"/>
  <c r="Q34" i="6" s="1"/>
</calcChain>
</file>

<file path=xl/sharedStrings.xml><?xml version="1.0" encoding="utf-8"?>
<sst xmlns="http://schemas.openxmlformats.org/spreadsheetml/2006/main" count="86" uniqueCount="51">
  <si>
    <t xml:space="preserve">PACKING LIST </t>
  </si>
  <si>
    <t>CTNS</t>
  </si>
  <si>
    <t>CTN</t>
  </si>
  <si>
    <t>CTN QTY</t>
  </si>
  <si>
    <t>COLOR</t>
  </si>
  <si>
    <t>SIZE</t>
  </si>
  <si>
    <t>QTY PER CTN</t>
  </si>
  <si>
    <t>TOTAL QTY</t>
  </si>
  <si>
    <t xml:space="preserve">GROSS WEIGHT </t>
  </si>
  <si>
    <t>NET WEIGHT</t>
  </si>
  <si>
    <t>NO</t>
  </si>
  <si>
    <t>TOTAL</t>
  </si>
  <si>
    <t>SUMMARY</t>
  </si>
  <si>
    <t>ORDER  QTY</t>
  </si>
  <si>
    <t>SHIP  QTY</t>
  </si>
  <si>
    <t>EX/SHORT</t>
  </si>
  <si>
    <t>%</t>
  </si>
  <si>
    <t>Nishatnagar,Tongi,Gazipur,Dhaka.</t>
  </si>
  <si>
    <t>CREATIVE COLLECTIONS LTD.3</t>
  </si>
  <si>
    <t>Style</t>
  </si>
  <si>
    <t>XS</t>
  </si>
  <si>
    <t>S</t>
  </si>
  <si>
    <t>M</t>
  </si>
  <si>
    <t>L</t>
  </si>
  <si>
    <t>XL</t>
  </si>
  <si>
    <t>XXL</t>
  </si>
  <si>
    <t>CARTON MEASUREMENT  :</t>
  </si>
  <si>
    <t>CTN TYPE</t>
  </si>
  <si>
    <t>A</t>
  </si>
  <si>
    <t xml:space="preserve">TTL CTN GROSS WEIGHT </t>
  </si>
  <si>
    <t>TTL CTN NET WEIGHT</t>
  </si>
  <si>
    <t>TOTAL CBM</t>
  </si>
  <si>
    <t>TOTAL CTN QTY</t>
  </si>
  <si>
    <t>KGS</t>
  </si>
  <si>
    <t>LBS</t>
  </si>
  <si>
    <t xml:space="preserve">Assort Pack- Malaysia </t>
  </si>
  <si>
    <t>AssortⅠ</t>
  </si>
  <si>
    <t>PER BLST</t>
  </si>
  <si>
    <t>B</t>
  </si>
  <si>
    <t>24 Pcs X 1 Ball</t>
  </si>
  <si>
    <t xml:space="preserve">Solid Pack- Malaysia </t>
  </si>
  <si>
    <t>Solid  JAN</t>
  </si>
  <si>
    <t>2810511208578</t>
  </si>
  <si>
    <t>BE43WA7S</t>
  </si>
  <si>
    <t>068:Navy</t>
  </si>
  <si>
    <t>幅(（W) 55 cm與行(D)37 cm  高之(H) 32cm (Type-A)</t>
  </si>
  <si>
    <t>4550724400960</t>
  </si>
  <si>
    <t>4550724400977</t>
  </si>
  <si>
    <t>4550724400984</t>
  </si>
  <si>
    <t>4550724400991</t>
  </si>
  <si>
    <t>068 : Navy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</si>
</sst>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>
    <font>
      <sz val="10"/>
      <name val="Arial"/>
    </font>
    <font>
      <sz val="7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sz val="9"/>
      <color indexed="8"/>
      <name val="Calibri"/>
      <family val="2"/>
      <scheme val="minor"/>
    </font>
    <font>
      <sz val="11"/>
      <color indexed="8"/>
      <name val="ＭＳ Ｐゴシック"/>
      <family val="3"/>
      <charset val="128"/>
    </font>
    <font>
      <b/>
      <sz val="9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3">
    <xf numFmtId="0" fontId="0" fillId="0" borderId="0"/>
    <xf numFmtId="9" fontId="14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</cellStyleXfs>
  <cellXfs count="13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2" fontId="4" fillId="0" borderId="27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2" fontId="4" fillId="0" borderId="13" xfId="0" applyNumberFormat="1" applyFont="1" applyBorder="1" applyAlignment="1">
      <alignment horizontal="center" vertical="center" wrapText="1"/>
    </xf>
    <xf numFmtId="2" fontId="4" fillId="0" borderId="14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2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1" fontId="8" fillId="0" borderId="7" xfId="0" applyNumberFormat="1" applyFont="1" applyBorder="1" applyAlignment="1">
      <alignment horizontal="center" vertical="top" wrapText="1"/>
    </xf>
    <xf numFmtId="164" fontId="3" fillId="0" borderId="7" xfId="1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2" fontId="4" fillId="0" borderId="20" xfId="0" applyNumberFormat="1" applyFont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4" fillId="2" borderId="16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2" fontId="4" fillId="0" borderId="38" xfId="0" applyNumberFormat="1" applyFont="1" applyBorder="1" applyAlignment="1">
      <alignment horizontal="center" vertical="center" wrapText="1"/>
    </xf>
    <xf numFmtId="2" fontId="4" fillId="0" borderId="39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/>
    </xf>
    <xf numFmtId="2" fontId="2" fillId="0" borderId="13" xfId="0" applyNumberFormat="1" applyFont="1" applyBorder="1" applyAlignment="1">
      <alignment horizontal="left" vertical="center"/>
    </xf>
    <xf numFmtId="2" fontId="4" fillId="0" borderId="13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3" borderId="21" xfId="0" applyFont="1" applyFill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 wrapText="1"/>
    </xf>
    <xf numFmtId="0" fontId="17" fillId="2" borderId="35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2" fontId="4" fillId="2" borderId="13" xfId="0" applyNumberFormat="1" applyFont="1" applyFill="1" applyBorder="1" applyAlignment="1">
      <alignment horizontal="center" vertical="center" wrapText="1"/>
    </xf>
    <xf numFmtId="49" fontId="3" fillId="0" borderId="41" xfId="0" applyNumberFormat="1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4" fillId="2" borderId="21" xfId="0" applyFont="1" applyFill="1" applyBorder="1" applyAlignment="1">
      <alignment horizontal="center" vertical="center"/>
    </xf>
    <xf numFmtId="2" fontId="4" fillId="0" borderId="21" xfId="0" applyNumberFormat="1" applyFont="1" applyBorder="1" applyAlignment="1">
      <alignment horizontal="center" vertical="center"/>
    </xf>
    <xf numFmtId="2" fontId="4" fillId="0" borderId="46" xfId="0" applyNumberFormat="1" applyFont="1" applyBorder="1" applyAlignment="1">
      <alignment horizontal="center" vertical="center"/>
    </xf>
    <xf numFmtId="2" fontId="4" fillId="0" borderId="19" xfId="0" applyNumberFormat="1" applyFont="1" applyBorder="1" applyAlignment="1">
      <alignment horizontal="center" vertical="center"/>
    </xf>
    <xf numFmtId="38" fontId="17" fillId="0" borderId="47" xfId="2" applyFont="1" applyBorder="1" applyAlignment="1">
      <alignment horizontal="center" vertical="center"/>
    </xf>
    <xf numFmtId="38" fontId="17" fillId="0" borderId="48" xfId="2" applyFont="1" applyBorder="1" applyAlignment="1">
      <alignment horizontal="center" vertical="center"/>
    </xf>
    <xf numFmtId="38" fontId="17" fillId="0" borderId="49" xfId="2" applyFont="1" applyBorder="1" applyAlignment="1">
      <alignment horizontal="center" vertical="center"/>
    </xf>
    <xf numFmtId="38" fontId="17" fillId="0" borderId="40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8" fontId="15" fillId="2" borderId="0" xfId="2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38" fontId="17" fillId="0" borderId="50" xfId="2" applyFont="1" applyBorder="1" applyAlignment="1">
      <alignment horizontal="center" vertical="center"/>
    </xf>
    <xf numFmtId="38" fontId="17" fillId="0" borderId="45" xfId="2" applyFont="1" applyBorder="1" applyAlignment="1">
      <alignment horizontal="center" vertical="center"/>
    </xf>
    <xf numFmtId="38" fontId="17" fillId="0" borderId="51" xfId="2" applyFont="1" applyBorder="1" applyAlignment="1">
      <alignment horizontal="center" vertical="center"/>
    </xf>
    <xf numFmtId="38" fontId="17" fillId="0" borderId="52" xfId="2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38" fontId="17" fillId="0" borderId="35" xfId="2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7" fillId="3" borderId="35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" fontId="8" fillId="0" borderId="3" xfId="0" applyNumberFormat="1" applyFont="1" applyBorder="1" applyAlignment="1">
      <alignment horizontal="center" vertical="center" wrapText="1"/>
    </xf>
    <xf numFmtId="1" fontId="8" fillId="0" borderId="6" xfId="0" applyNumberFormat="1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桁区切り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W47"/>
  <sheetViews>
    <sheetView tabSelected="1" view="pageBreakPreview" zoomScaleNormal="100" zoomScaleSheetLayoutView="100" workbookViewId="0">
      <selection activeCell="N37" sqref="N37"/>
    </sheetView>
  </sheetViews>
  <sheetFormatPr defaultRowHeight="14.25" customHeight="1"/>
  <cols>
    <col min="1" max="2" width="7.5703125" style="45" customWidth="1"/>
    <col min="3" max="4" width="6.28515625" style="45" customWidth="1"/>
    <col min="5" max="5" width="13.5703125" style="45" customWidth="1"/>
    <col min="6" max="6" width="11.85546875" style="45" customWidth="1"/>
    <col min="7" max="7" width="15.140625" style="45" customWidth="1"/>
    <col min="8" max="8" width="7.42578125" style="45" customWidth="1"/>
    <col min="9" max="9" width="8.42578125" style="45" customWidth="1"/>
    <col min="10" max="13" width="7.140625" style="45" customWidth="1"/>
    <col min="14" max="14" width="12.5703125" style="45" bestFit="1" customWidth="1"/>
    <col min="15" max="15" width="8" style="45" customWidth="1"/>
    <col min="16" max="16" width="7.5703125" style="45" customWidth="1"/>
    <col min="17" max="17" width="7.140625" style="45" customWidth="1"/>
    <col min="18" max="18" width="8.140625" style="45" customWidth="1"/>
    <col min="19" max="16384" width="9.140625" style="45"/>
  </cols>
  <sheetData>
    <row r="1" spans="1:23" ht="14.25" customHeight="1">
      <c r="A1" s="136" t="s">
        <v>18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V1"/>
      <c r="W1"/>
    </row>
    <row r="2" spans="1:23" ht="14.25" customHeight="1">
      <c r="A2" s="137" t="s">
        <v>17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V2"/>
      <c r="W2"/>
    </row>
    <row r="3" spans="1:23" ht="14.25" customHeight="1">
      <c r="A3" s="113" t="s">
        <v>0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V3"/>
      <c r="W3"/>
    </row>
    <row r="4" spans="1:23" ht="14.25" customHeight="1">
      <c r="A4" s="113" t="s">
        <v>35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V4"/>
      <c r="W4"/>
    </row>
    <row r="5" spans="1:23" ht="14.25" customHeight="1">
      <c r="A5" s="52" t="s">
        <v>26</v>
      </c>
      <c r="C5" s="61"/>
      <c r="D5" s="61"/>
      <c r="E5" s="61"/>
      <c r="F5" s="53" t="s">
        <v>45</v>
      </c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V5"/>
      <c r="W5"/>
    </row>
    <row r="6" spans="1:23" ht="14.25" customHeight="1">
      <c r="A6" s="52" t="s">
        <v>26</v>
      </c>
      <c r="C6" s="61"/>
      <c r="D6" s="61"/>
      <c r="E6" s="61"/>
      <c r="F6" s="53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V6"/>
      <c r="W6"/>
    </row>
    <row r="7" spans="1:23" ht="14.25" customHeight="1" thickBot="1">
      <c r="A7" s="115"/>
      <c r="B7" s="115"/>
      <c r="C7" s="5"/>
      <c r="D7" s="5"/>
      <c r="E7" s="5"/>
      <c r="F7" s="5"/>
      <c r="G7" s="5"/>
      <c r="H7" s="46"/>
      <c r="I7" s="46"/>
      <c r="J7" s="46"/>
      <c r="K7" s="46"/>
      <c r="L7" s="47"/>
      <c r="M7" s="47"/>
      <c r="N7" s="47"/>
      <c r="O7" s="47"/>
      <c r="P7" s="47"/>
      <c r="Q7" s="47"/>
      <c r="R7" s="47"/>
      <c r="V7"/>
      <c r="W7"/>
    </row>
    <row r="8" spans="1:23" ht="14.25" customHeight="1">
      <c r="A8" s="116" t="s">
        <v>2</v>
      </c>
      <c r="B8" s="117"/>
      <c r="C8" s="118" t="s">
        <v>3</v>
      </c>
      <c r="D8" s="118" t="s">
        <v>27</v>
      </c>
      <c r="E8" s="118" t="s">
        <v>19</v>
      </c>
      <c r="F8" s="118" t="s">
        <v>4</v>
      </c>
      <c r="G8" s="126" t="s">
        <v>36</v>
      </c>
      <c r="H8" s="122" t="s">
        <v>5</v>
      </c>
      <c r="I8" s="123"/>
      <c r="J8" s="123"/>
      <c r="K8" s="123"/>
      <c r="L8" s="123"/>
      <c r="M8" s="105"/>
      <c r="N8" s="124" t="s">
        <v>37</v>
      </c>
      <c r="O8" s="124" t="s">
        <v>6</v>
      </c>
      <c r="P8" s="126" t="s">
        <v>7</v>
      </c>
      <c r="Q8" s="124" t="s">
        <v>8</v>
      </c>
      <c r="R8" s="128" t="s">
        <v>9</v>
      </c>
      <c r="S8" s="130" t="s">
        <v>29</v>
      </c>
      <c r="T8" s="130" t="s">
        <v>30</v>
      </c>
      <c r="U8" s="130" t="s">
        <v>31</v>
      </c>
      <c r="V8"/>
      <c r="W8"/>
    </row>
    <row r="9" spans="1:23" ht="14.25" customHeight="1" thickBot="1">
      <c r="A9" s="132" t="s">
        <v>10</v>
      </c>
      <c r="B9" s="133"/>
      <c r="C9" s="119"/>
      <c r="D9" s="119"/>
      <c r="E9" s="119"/>
      <c r="F9" s="119"/>
      <c r="G9" s="127"/>
      <c r="H9" s="34" t="s">
        <v>20</v>
      </c>
      <c r="I9" s="34" t="s">
        <v>21</v>
      </c>
      <c r="J9" s="68" t="s">
        <v>22</v>
      </c>
      <c r="K9" s="68" t="s">
        <v>23</v>
      </c>
      <c r="L9" s="68" t="s">
        <v>24</v>
      </c>
      <c r="M9" s="68" t="s">
        <v>25</v>
      </c>
      <c r="N9" s="125"/>
      <c r="O9" s="125"/>
      <c r="P9" s="127"/>
      <c r="Q9" s="125"/>
      <c r="R9" s="129"/>
      <c r="S9" s="131"/>
      <c r="T9" s="131"/>
      <c r="U9" s="131"/>
      <c r="V9"/>
      <c r="W9"/>
    </row>
    <row r="10" spans="1:23" ht="23.25" customHeight="1">
      <c r="A10" s="33">
        <v>1</v>
      </c>
      <c r="B10" s="65">
        <f>+A10-1+C10</f>
        <v>27</v>
      </c>
      <c r="C10" s="20">
        <v>27</v>
      </c>
      <c r="D10" s="20" t="s">
        <v>38</v>
      </c>
      <c r="E10" s="97" t="s">
        <v>43</v>
      </c>
      <c r="F10" s="69" t="s">
        <v>44</v>
      </c>
      <c r="G10" s="93" t="s">
        <v>42</v>
      </c>
      <c r="H10" s="6"/>
      <c r="I10" s="6">
        <v>8</v>
      </c>
      <c r="J10" s="6">
        <v>8</v>
      </c>
      <c r="K10" s="6">
        <v>4</v>
      </c>
      <c r="L10" s="6">
        <v>4</v>
      </c>
      <c r="M10" s="6"/>
      <c r="N10" s="70" t="s">
        <v>39</v>
      </c>
      <c r="O10" s="71">
        <v>24</v>
      </c>
      <c r="P10" s="7">
        <f>+O10*C10</f>
        <v>648</v>
      </c>
      <c r="Q10" s="72">
        <v>11.5</v>
      </c>
      <c r="R10" s="22">
        <f>+Q10-1.5</f>
        <v>10</v>
      </c>
      <c r="S10" s="56">
        <f>+Q10*C10</f>
        <v>310.5</v>
      </c>
      <c r="T10" s="57">
        <f>+R10*C10</f>
        <v>270</v>
      </c>
      <c r="U10" s="56">
        <f>+C10*55*37*32/1000000</f>
        <v>1.75824</v>
      </c>
      <c r="V10"/>
      <c r="W10"/>
    </row>
    <row r="11" spans="1:23" ht="14.25" customHeight="1" thickBot="1">
      <c r="A11" s="23"/>
      <c r="B11" s="24"/>
      <c r="C11" s="15"/>
      <c r="D11" s="15"/>
      <c r="E11" s="15"/>
      <c r="F11" s="73"/>
      <c r="G11" s="74"/>
      <c r="H11" s="6"/>
      <c r="I11" s="6"/>
      <c r="J11" s="6"/>
      <c r="K11" s="6"/>
      <c r="L11" s="6"/>
      <c r="M11" s="6"/>
      <c r="N11" s="8"/>
      <c r="O11" s="6"/>
      <c r="P11" s="6"/>
      <c r="Q11" s="21"/>
      <c r="R11" s="22"/>
      <c r="S11" s="75"/>
      <c r="T11" s="76"/>
      <c r="U11" s="75"/>
      <c r="V11"/>
      <c r="W11"/>
    </row>
    <row r="12" spans="1:23" ht="14.25" customHeight="1" thickBot="1">
      <c r="A12" s="100" t="s">
        <v>11</v>
      </c>
      <c r="B12" s="101"/>
      <c r="C12" s="67">
        <f>SUM(C10:C11)</f>
        <v>27</v>
      </c>
      <c r="D12" s="18"/>
      <c r="E12" s="18"/>
      <c r="F12" s="18" t="s">
        <v>1</v>
      </c>
      <c r="G12" s="48"/>
      <c r="H12" s="18"/>
      <c r="I12" s="18">
        <f>+I10*C10*1</f>
        <v>216</v>
      </c>
      <c r="J12" s="18">
        <f>+J10*C10*1</f>
        <v>216</v>
      </c>
      <c r="K12" s="18">
        <f>+K10*C10*1</f>
        <v>108</v>
      </c>
      <c r="L12" s="18">
        <f>+L10*C10*1</f>
        <v>108</v>
      </c>
      <c r="M12" s="18"/>
      <c r="N12" s="18"/>
      <c r="O12" s="18">
        <f>SUM(O10:O11)</f>
        <v>24</v>
      </c>
      <c r="P12" s="77">
        <f>SUM(P10:P11)</f>
        <v>648</v>
      </c>
      <c r="Q12" s="78">
        <f>SUM(Q10:Q11)</f>
        <v>11.5</v>
      </c>
      <c r="R12" s="78">
        <f>SUM(R10:R11)</f>
        <v>10</v>
      </c>
      <c r="S12" s="79">
        <f>SUM(S7:S11)</f>
        <v>310.5</v>
      </c>
      <c r="T12" s="80">
        <f>SUM(T7:T11)</f>
        <v>270</v>
      </c>
      <c r="U12" s="79">
        <f>SUM(U7:U11)</f>
        <v>1.75824</v>
      </c>
      <c r="V12"/>
      <c r="W12"/>
    </row>
    <row r="13" spans="1:23" ht="14.25" customHeight="1">
      <c r="G13" s="45" t="s">
        <v>50</v>
      </c>
      <c r="I13" s="81">
        <v>216</v>
      </c>
      <c r="J13" s="82">
        <v>216</v>
      </c>
      <c r="K13" s="83">
        <v>108</v>
      </c>
      <c r="L13" s="84">
        <v>108</v>
      </c>
      <c r="O13" s="45">
        <f>SUM(I13:N13)</f>
        <v>648</v>
      </c>
      <c r="P13" s="85"/>
      <c r="V13"/>
      <c r="W13"/>
    </row>
    <row r="14" spans="1:23" ht="14.25" customHeight="1">
      <c r="I14" s="86"/>
      <c r="J14" s="86"/>
      <c r="K14" s="86"/>
      <c r="L14" s="86"/>
      <c r="P14" s="85"/>
      <c r="V14"/>
      <c r="W14"/>
    </row>
    <row r="15" spans="1:23" ht="14.25" customHeight="1">
      <c r="A15" s="113" t="s">
        <v>0</v>
      </c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V15"/>
      <c r="W15"/>
    </row>
    <row r="16" spans="1:23" ht="14.25" customHeight="1">
      <c r="A16" s="114" t="s">
        <v>40</v>
      </c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V16"/>
      <c r="W16"/>
    </row>
    <row r="17" spans="1:23" ht="14.25" customHeight="1" thickBot="1">
      <c r="A17" s="115"/>
      <c r="B17" s="115"/>
      <c r="C17" s="5"/>
      <c r="D17" s="5"/>
      <c r="E17" s="5"/>
      <c r="F17" s="5"/>
      <c r="G17" s="46"/>
      <c r="H17" s="46"/>
      <c r="I17" s="46"/>
      <c r="J17" s="46"/>
      <c r="K17" s="47"/>
      <c r="L17" s="47"/>
      <c r="M17" s="47"/>
      <c r="N17" s="47"/>
      <c r="O17" s="47"/>
      <c r="P17" s="47"/>
      <c r="Q17" s="47"/>
      <c r="R17" s="47"/>
      <c r="V17"/>
      <c r="W17"/>
    </row>
    <row r="18" spans="1:23" ht="14.25" customHeight="1">
      <c r="A18" s="116" t="s">
        <v>2</v>
      </c>
      <c r="B18" s="117"/>
      <c r="C18" s="118" t="s">
        <v>3</v>
      </c>
      <c r="D18" s="118" t="s">
        <v>27</v>
      </c>
      <c r="E18" s="118" t="s">
        <v>19</v>
      </c>
      <c r="F18" s="118" t="s">
        <v>4</v>
      </c>
      <c r="G18" s="120" t="s">
        <v>41</v>
      </c>
      <c r="H18" s="122" t="s">
        <v>5</v>
      </c>
      <c r="I18" s="123"/>
      <c r="J18" s="123"/>
      <c r="K18" s="123"/>
      <c r="L18" s="123"/>
      <c r="M18" s="105"/>
      <c r="N18" s="124"/>
      <c r="O18" s="124" t="s">
        <v>6</v>
      </c>
      <c r="P18" s="126" t="s">
        <v>7</v>
      </c>
      <c r="Q18" s="124" t="s">
        <v>8</v>
      </c>
      <c r="R18" s="128" t="s">
        <v>9</v>
      </c>
      <c r="S18" s="130" t="s">
        <v>29</v>
      </c>
      <c r="T18" s="130" t="s">
        <v>30</v>
      </c>
      <c r="U18" s="130" t="s">
        <v>31</v>
      </c>
      <c r="V18"/>
      <c r="W18"/>
    </row>
    <row r="19" spans="1:23" ht="14.25" customHeight="1" thickBot="1">
      <c r="A19" s="132" t="s">
        <v>10</v>
      </c>
      <c r="B19" s="133"/>
      <c r="C19" s="119"/>
      <c r="D19" s="119"/>
      <c r="E19" s="119"/>
      <c r="F19" s="119"/>
      <c r="G19" s="121"/>
      <c r="H19" s="34" t="s">
        <v>20</v>
      </c>
      <c r="I19" s="34" t="s">
        <v>21</v>
      </c>
      <c r="J19" s="34" t="s">
        <v>22</v>
      </c>
      <c r="K19" s="34" t="s">
        <v>23</v>
      </c>
      <c r="L19" s="34" t="s">
        <v>24</v>
      </c>
      <c r="M19" s="34" t="s">
        <v>25</v>
      </c>
      <c r="N19" s="125"/>
      <c r="O19" s="125"/>
      <c r="P19" s="127"/>
      <c r="Q19" s="125"/>
      <c r="R19" s="129"/>
      <c r="S19" s="131"/>
      <c r="T19" s="131"/>
      <c r="U19" s="131"/>
      <c r="V19"/>
      <c r="W19"/>
    </row>
    <row r="20" spans="1:23" ht="14.25" customHeight="1">
      <c r="A20" s="33">
        <v>1</v>
      </c>
      <c r="B20" s="65">
        <f>+A20-1+C20</f>
        <v>18</v>
      </c>
      <c r="C20" s="20">
        <v>18</v>
      </c>
      <c r="D20" s="55" t="s">
        <v>28</v>
      </c>
      <c r="E20" s="134" t="str">
        <f>+E10</f>
        <v>BE43WA7S</v>
      </c>
      <c r="F20" s="87" t="str">
        <f>+F10</f>
        <v>068:Navy</v>
      </c>
      <c r="G20" s="95" t="s">
        <v>46</v>
      </c>
      <c r="H20" s="6"/>
      <c r="I20" s="8">
        <v>24</v>
      </c>
      <c r="J20" s="8"/>
      <c r="K20" s="8"/>
      <c r="L20" s="8"/>
      <c r="M20" s="7"/>
      <c r="N20" s="8"/>
      <c r="O20" s="8">
        <f>SUM(H20:M20)</f>
        <v>24</v>
      </c>
      <c r="P20" s="6">
        <f>O20*C20</f>
        <v>432</v>
      </c>
      <c r="Q20" s="21">
        <v>11.2</v>
      </c>
      <c r="R20" s="22">
        <f>+Q20-1.21</f>
        <v>9.9899999999999984</v>
      </c>
      <c r="S20" s="56">
        <f>+Q20*C20</f>
        <v>201.6</v>
      </c>
      <c r="T20" s="57">
        <f>+R20*C20</f>
        <v>179.81999999999996</v>
      </c>
      <c r="U20" s="56">
        <f>+C20*55*37*32/1000000</f>
        <v>1.1721600000000001</v>
      </c>
      <c r="V20"/>
      <c r="W20"/>
    </row>
    <row r="21" spans="1:23" ht="14.25" customHeight="1">
      <c r="A21" s="33">
        <f>+B20+1</f>
        <v>19</v>
      </c>
      <c r="B21" s="65">
        <f>+A21-1+C21</f>
        <v>42</v>
      </c>
      <c r="C21" s="41">
        <v>24</v>
      </c>
      <c r="D21" s="54" t="s">
        <v>28</v>
      </c>
      <c r="E21" s="135"/>
      <c r="F21" s="88"/>
      <c r="G21" s="96" t="s">
        <v>47</v>
      </c>
      <c r="H21" s="8"/>
      <c r="I21" s="8"/>
      <c r="J21" s="8">
        <v>24</v>
      </c>
      <c r="K21" s="8"/>
      <c r="L21" s="8"/>
      <c r="M21" s="71"/>
      <c r="N21" s="8"/>
      <c r="O21" s="8">
        <f>SUM(H21:M21)</f>
        <v>24</v>
      </c>
      <c r="P21" s="6">
        <f>O21*C21</f>
        <v>576</v>
      </c>
      <c r="Q21" s="21">
        <v>11.57</v>
      </c>
      <c r="R21" s="22">
        <f>+Q21-1.21</f>
        <v>10.36</v>
      </c>
      <c r="S21" s="56">
        <f>+Q21*C21</f>
        <v>277.68</v>
      </c>
      <c r="T21" s="57">
        <f>+R21*C21</f>
        <v>248.64</v>
      </c>
      <c r="U21" s="56">
        <f t="shared" ref="U21:U23" si="0">+C21*55*37*32/1000000</f>
        <v>1.56288</v>
      </c>
      <c r="V21"/>
      <c r="W21"/>
    </row>
    <row r="22" spans="1:23" ht="14.25" customHeight="1">
      <c r="A22" s="33">
        <f>+B21+1</f>
        <v>43</v>
      </c>
      <c r="B22" s="65">
        <f>+A22-1+C22</f>
        <v>62</v>
      </c>
      <c r="C22" s="41">
        <v>20</v>
      </c>
      <c r="D22" s="54" t="s">
        <v>28</v>
      </c>
      <c r="E22" s="42"/>
      <c r="F22" s="40"/>
      <c r="G22" s="96" t="s">
        <v>48</v>
      </c>
      <c r="H22" s="8"/>
      <c r="I22" s="8"/>
      <c r="J22" s="8"/>
      <c r="K22" s="8">
        <v>24</v>
      </c>
      <c r="L22" s="8"/>
      <c r="M22" s="71"/>
      <c r="N22" s="8"/>
      <c r="O22" s="8">
        <f>SUM(H22:M22)</f>
        <v>24</v>
      </c>
      <c r="P22" s="6">
        <f>O22*C22</f>
        <v>480</v>
      </c>
      <c r="Q22" s="21">
        <v>12.2</v>
      </c>
      <c r="R22" s="22">
        <f>+Q22-1.21</f>
        <v>10.989999999999998</v>
      </c>
      <c r="S22" s="56">
        <f>+Q22*C22</f>
        <v>244</v>
      </c>
      <c r="T22" s="57">
        <f>+R22*C22</f>
        <v>219.79999999999995</v>
      </c>
      <c r="U22" s="56">
        <f t="shared" si="0"/>
        <v>1.3024</v>
      </c>
      <c r="V22"/>
      <c r="W22"/>
    </row>
    <row r="23" spans="1:23" ht="14.25" customHeight="1">
      <c r="A23" s="33">
        <f>+B22+1</f>
        <v>63</v>
      </c>
      <c r="B23" s="65">
        <f>+A23-1+C23</f>
        <v>76</v>
      </c>
      <c r="C23" s="41">
        <v>14</v>
      </c>
      <c r="D23" s="54" t="s">
        <v>28</v>
      </c>
      <c r="E23" s="42"/>
      <c r="F23" s="40"/>
      <c r="G23" s="96" t="s">
        <v>49</v>
      </c>
      <c r="H23" s="8"/>
      <c r="I23" s="8"/>
      <c r="J23" s="8"/>
      <c r="K23" s="8"/>
      <c r="L23" s="8">
        <v>24</v>
      </c>
      <c r="M23" s="71"/>
      <c r="N23" s="8"/>
      <c r="O23" s="8">
        <v>24</v>
      </c>
      <c r="P23" s="6">
        <f>O23*C23</f>
        <v>336</v>
      </c>
      <c r="Q23" s="21">
        <v>12.71</v>
      </c>
      <c r="R23" s="22">
        <f>+Q23-1.21</f>
        <v>11.5</v>
      </c>
      <c r="S23" s="56">
        <f>+Q23*C23</f>
        <v>177.94</v>
      </c>
      <c r="T23" s="57">
        <f>+R23*C23</f>
        <v>161</v>
      </c>
      <c r="U23" s="56">
        <f t="shared" si="0"/>
        <v>0.91168000000000005</v>
      </c>
      <c r="V23"/>
      <c r="W23"/>
    </row>
    <row r="24" spans="1:23" ht="14.25" customHeight="1" thickBot="1">
      <c r="A24" s="23"/>
      <c r="B24" s="24"/>
      <c r="C24" s="15"/>
      <c r="D24" s="15"/>
      <c r="E24" s="16"/>
      <c r="F24" s="17"/>
      <c r="G24" s="6"/>
      <c r="H24" s="6"/>
      <c r="I24" s="6"/>
      <c r="J24" s="6"/>
      <c r="K24" s="6"/>
      <c r="L24" s="6"/>
      <c r="M24" s="7"/>
      <c r="N24" s="8"/>
      <c r="O24" s="6"/>
      <c r="P24" s="6"/>
      <c r="Q24" s="21"/>
      <c r="R24" s="22"/>
      <c r="S24" s="56"/>
      <c r="T24" s="57"/>
      <c r="U24" s="56"/>
      <c r="V24"/>
      <c r="W24"/>
    </row>
    <row r="25" spans="1:23" ht="14.25" customHeight="1" thickBot="1">
      <c r="A25" s="100" t="s">
        <v>11</v>
      </c>
      <c r="B25" s="101"/>
      <c r="C25" s="67">
        <f>SUM(C20:C24)</f>
        <v>76</v>
      </c>
      <c r="D25" s="18"/>
      <c r="E25" s="18" t="s">
        <v>1</v>
      </c>
      <c r="F25" s="48"/>
      <c r="G25" s="18"/>
      <c r="H25" s="18"/>
      <c r="I25" s="18">
        <f>P20</f>
        <v>432</v>
      </c>
      <c r="J25" s="18">
        <f>P21</f>
        <v>576</v>
      </c>
      <c r="K25" s="18">
        <f>P22</f>
        <v>480</v>
      </c>
      <c r="L25" s="18">
        <f>P23</f>
        <v>336</v>
      </c>
      <c r="M25" s="18"/>
      <c r="N25" s="18"/>
      <c r="O25" s="18"/>
      <c r="P25" s="18">
        <f>SUM(P20:P24)</f>
        <v>1824</v>
      </c>
      <c r="Q25" s="43">
        <f>SUM(Q20:Q24)</f>
        <v>47.68</v>
      </c>
      <c r="R25" s="43">
        <f>SUM(R20:R24)</f>
        <v>42.839999999999996</v>
      </c>
      <c r="S25" s="79">
        <f>SUM(S17:S24)</f>
        <v>901.22</v>
      </c>
      <c r="T25" s="80">
        <f>SUM(T17:T24)</f>
        <v>809.25999999999988</v>
      </c>
      <c r="U25" s="79">
        <f>SUM(U17:U24)</f>
        <v>4.9491200000000006</v>
      </c>
      <c r="V25"/>
      <c r="W25"/>
    </row>
    <row r="26" spans="1:23" ht="14.25" customHeight="1">
      <c r="A26" s="47"/>
      <c r="B26" s="47"/>
      <c r="C26" s="47"/>
      <c r="D26" s="47"/>
      <c r="E26" s="47"/>
      <c r="F26" s="1"/>
      <c r="G26" s="49"/>
      <c r="H26" s="89"/>
      <c r="I26" s="89">
        <v>408</v>
      </c>
      <c r="J26" s="90">
        <v>576</v>
      </c>
      <c r="K26" s="91">
        <v>480</v>
      </c>
      <c r="L26" s="92">
        <v>336</v>
      </c>
      <c r="M26" s="2"/>
      <c r="N26" s="2"/>
      <c r="O26" s="3"/>
      <c r="P26" s="3">
        <f>SUM(H26:N26)</f>
        <v>1800</v>
      </c>
      <c r="Q26" s="4"/>
      <c r="R26" s="66"/>
      <c r="S26" s="66"/>
      <c r="T26" s="66"/>
      <c r="U26" s="66"/>
      <c r="V26"/>
      <c r="W26"/>
    </row>
    <row r="27" spans="1:23" ht="14.25" customHeight="1" thickBot="1">
      <c r="A27" s="47"/>
      <c r="B27" s="47"/>
      <c r="C27" s="47"/>
      <c r="D27" s="47"/>
      <c r="E27" s="47"/>
      <c r="F27" s="1"/>
      <c r="G27" s="49"/>
      <c r="H27" s="44">
        <f>+H25-H26</f>
        <v>0</v>
      </c>
      <c r="I27" s="44">
        <f>+I25-I26</f>
        <v>24</v>
      </c>
      <c r="J27" s="44">
        <f>+J25-J26</f>
        <v>0</v>
      </c>
      <c r="K27" s="44">
        <f>+K25-K26</f>
        <v>0</v>
      </c>
      <c r="L27" s="44">
        <f>+L25-L26</f>
        <v>0</v>
      </c>
      <c r="M27" s="44"/>
      <c r="N27" s="2"/>
      <c r="O27" s="3"/>
      <c r="P27" s="3">
        <f>SUM(H27:N27)</f>
        <v>24</v>
      </c>
      <c r="Q27" s="4"/>
      <c r="R27" s="5"/>
      <c r="S27" s="5"/>
      <c r="T27" s="5"/>
      <c r="U27" s="5"/>
      <c r="V27"/>
      <c r="W27"/>
    </row>
    <row r="28" spans="1:23" ht="14.25" customHeight="1" thickBot="1">
      <c r="A28" s="47"/>
      <c r="B28" s="47"/>
      <c r="C28" s="47"/>
      <c r="D28" s="47"/>
      <c r="E28" s="51"/>
      <c r="F28" s="100" t="s">
        <v>12</v>
      </c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3"/>
      <c r="R28" s="5"/>
      <c r="S28" s="5"/>
      <c r="T28" s="5"/>
      <c r="U28" s="5"/>
      <c r="V28"/>
      <c r="W28"/>
    </row>
    <row r="29" spans="1:23" ht="14.25" customHeight="1" thickBot="1">
      <c r="A29" s="50"/>
      <c r="C29" s="47"/>
      <c r="D29" s="47"/>
      <c r="E29" s="47"/>
      <c r="F29" s="62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4"/>
      <c r="R29" s="5"/>
      <c r="V29"/>
      <c r="W29"/>
    </row>
    <row r="30" spans="1:23" ht="14.25" customHeight="1" thickBot="1">
      <c r="A30" s="50"/>
      <c r="C30" s="47"/>
      <c r="D30" s="47"/>
      <c r="E30" s="47"/>
      <c r="F30" s="100" t="s">
        <v>5</v>
      </c>
      <c r="G30" s="101"/>
      <c r="H30" s="31" t="str">
        <f t="shared" ref="H30:M30" si="1">+H19</f>
        <v>XS</v>
      </c>
      <c r="I30" s="31" t="str">
        <f t="shared" si="1"/>
        <v>S</v>
      </c>
      <c r="J30" s="31" t="str">
        <f t="shared" si="1"/>
        <v>M</v>
      </c>
      <c r="K30" s="31" t="str">
        <f t="shared" si="1"/>
        <v>L</v>
      </c>
      <c r="L30" s="31" t="str">
        <f t="shared" si="1"/>
        <v>XL</v>
      </c>
      <c r="M30" s="31" t="str">
        <f t="shared" si="1"/>
        <v>XXL</v>
      </c>
      <c r="N30" s="9"/>
      <c r="O30" s="9"/>
      <c r="P30" s="35"/>
      <c r="Q30" s="14" t="s">
        <v>11</v>
      </c>
      <c r="R30" s="5"/>
      <c r="V30"/>
      <c r="W30"/>
    </row>
    <row r="31" spans="1:23" ht="14.25" customHeight="1">
      <c r="A31" s="47"/>
      <c r="B31" s="47"/>
      <c r="C31" s="47"/>
      <c r="D31" s="47"/>
      <c r="E31" s="47"/>
      <c r="F31" s="104" t="s">
        <v>13</v>
      </c>
      <c r="G31" s="105"/>
      <c r="H31" s="94">
        <f t="shared" ref="H31:M31" si="2">H26+H13</f>
        <v>0</v>
      </c>
      <c r="I31" s="94">
        <f t="shared" si="2"/>
        <v>624</v>
      </c>
      <c r="J31" s="94">
        <f t="shared" si="2"/>
        <v>792</v>
      </c>
      <c r="K31" s="94">
        <f t="shared" si="2"/>
        <v>588</v>
      </c>
      <c r="L31" s="94">
        <f t="shared" si="2"/>
        <v>444</v>
      </c>
      <c r="M31" s="94">
        <f t="shared" si="2"/>
        <v>0</v>
      </c>
      <c r="N31" s="25"/>
      <c r="O31" s="26"/>
      <c r="P31" s="36"/>
      <c r="Q31" s="27">
        <f>SUM(H31:O31)</f>
        <v>2448</v>
      </c>
      <c r="R31" s="5"/>
      <c r="V31"/>
      <c r="W31"/>
    </row>
    <row r="32" spans="1:23" ht="14.25" customHeight="1">
      <c r="A32" s="47"/>
      <c r="B32" s="47"/>
      <c r="C32" s="47"/>
      <c r="E32" s="47"/>
      <c r="F32" s="106" t="s">
        <v>14</v>
      </c>
      <c r="G32" s="107"/>
      <c r="H32" s="26">
        <f t="shared" ref="H32:M32" si="3">+H25+H12</f>
        <v>0</v>
      </c>
      <c r="I32" s="26">
        <f t="shared" si="3"/>
        <v>648</v>
      </c>
      <c r="J32" s="26">
        <f t="shared" si="3"/>
        <v>792</v>
      </c>
      <c r="K32" s="26">
        <f t="shared" si="3"/>
        <v>588</v>
      </c>
      <c r="L32" s="26">
        <f t="shared" si="3"/>
        <v>444</v>
      </c>
      <c r="M32" s="26">
        <f t="shared" si="3"/>
        <v>0</v>
      </c>
      <c r="N32" s="28"/>
      <c r="O32" s="29"/>
      <c r="P32" s="37"/>
      <c r="Q32" s="30">
        <f>SUM(H32:O32)</f>
        <v>2472</v>
      </c>
      <c r="R32" s="5"/>
      <c r="V32"/>
      <c r="W32"/>
    </row>
    <row r="33" spans="1:23" ht="14.25" customHeight="1">
      <c r="A33" s="47"/>
      <c r="B33" s="47"/>
      <c r="C33" s="47"/>
      <c r="D33" s="47"/>
      <c r="E33" s="47"/>
      <c r="F33" s="106" t="s">
        <v>15</v>
      </c>
      <c r="G33" s="107"/>
      <c r="H33" s="19">
        <f t="shared" ref="H33:M33" si="4">H32-H31</f>
        <v>0</v>
      </c>
      <c r="I33" s="19">
        <f t="shared" si="4"/>
        <v>24</v>
      </c>
      <c r="J33" s="19">
        <f t="shared" si="4"/>
        <v>0</v>
      </c>
      <c r="K33" s="19">
        <f t="shared" si="4"/>
        <v>0</v>
      </c>
      <c r="L33" s="19">
        <f t="shared" si="4"/>
        <v>0</v>
      </c>
      <c r="M33" s="19">
        <f t="shared" si="4"/>
        <v>0</v>
      </c>
      <c r="N33" s="19"/>
      <c r="O33" s="8"/>
      <c r="P33" s="38"/>
      <c r="Q33" s="10">
        <f>SUM(H33:O33)</f>
        <v>24</v>
      </c>
      <c r="R33" s="5"/>
      <c r="V33"/>
      <c r="W33"/>
    </row>
    <row r="34" spans="1:23" ht="14.25" customHeight="1" thickBot="1">
      <c r="A34" s="47"/>
      <c r="B34" s="47"/>
      <c r="C34" s="47"/>
      <c r="D34" s="47"/>
      <c r="E34" s="47"/>
      <c r="F34" s="108" t="s">
        <v>16</v>
      </c>
      <c r="G34" s="109"/>
      <c r="H34" s="32" t="e">
        <f t="shared" ref="H34:M34" si="5">+H33/H31</f>
        <v>#DIV/0!</v>
      </c>
      <c r="I34" s="32">
        <f t="shared" si="5"/>
        <v>3.8461538461538464E-2</v>
      </c>
      <c r="J34" s="32">
        <f t="shared" si="5"/>
        <v>0</v>
      </c>
      <c r="K34" s="32">
        <f t="shared" si="5"/>
        <v>0</v>
      </c>
      <c r="L34" s="32">
        <f t="shared" si="5"/>
        <v>0</v>
      </c>
      <c r="M34" s="32" t="e">
        <f t="shared" si="5"/>
        <v>#DIV/0!</v>
      </c>
      <c r="N34" s="11"/>
      <c r="O34" s="12"/>
      <c r="P34" s="39"/>
      <c r="Q34" s="13">
        <f>+Q33/Q31*100</f>
        <v>0.98039215686274506</v>
      </c>
      <c r="R34" s="5"/>
      <c r="V34"/>
      <c r="W34"/>
    </row>
    <row r="35" spans="1:23" ht="14.25" customHeight="1">
      <c r="A35" s="47"/>
      <c r="B35" s="47"/>
      <c r="C35" s="47"/>
      <c r="D35" s="47"/>
      <c r="E35" s="47"/>
      <c r="F35" s="1"/>
      <c r="G35" s="49"/>
      <c r="H35" s="2"/>
      <c r="I35" s="2"/>
      <c r="J35" s="2"/>
      <c r="K35" s="2"/>
      <c r="L35" s="2"/>
      <c r="M35" s="2"/>
      <c r="N35" s="2"/>
      <c r="O35" s="3"/>
      <c r="P35" s="3"/>
      <c r="Q35" s="4"/>
      <c r="R35" s="5"/>
      <c r="V35"/>
      <c r="W35"/>
    </row>
    <row r="36" spans="1:23" ht="14.25" customHeight="1">
      <c r="A36" s="50"/>
      <c r="V36"/>
      <c r="W36"/>
    </row>
    <row r="37" spans="1:23" ht="14.25" customHeight="1">
      <c r="F37" s="110" t="s">
        <v>12</v>
      </c>
      <c r="G37" s="111"/>
      <c r="H37" s="111"/>
      <c r="I37" s="112"/>
      <c r="V37"/>
      <c r="W37"/>
    </row>
    <row r="38" spans="1:23" ht="14.25" customHeight="1">
      <c r="F38" s="98" t="s">
        <v>32</v>
      </c>
      <c r="G38" s="99"/>
      <c r="H38" s="58">
        <f>+C25+C12</f>
        <v>103</v>
      </c>
      <c r="I38" s="58" t="s">
        <v>2</v>
      </c>
      <c r="V38"/>
      <c r="W38"/>
    </row>
    <row r="39" spans="1:23" ht="14.25" customHeight="1">
      <c r="F39" s="98" t="s">
        <v>29</v>
      </c>
      <c r="G39" s="99"/>
      <c r="H39" s="59">
        <f>+S25+S12</f>
        <v>1211.72</v>
      </c>
      <c r="I39" s="58" t="s">
        <v>33</v>
      </c>
      <c r="V39"/>
      <c r="W39"/>
    </row>
    <row r="40" spans="1:23" ht="14.25" customHeight="1">
      <c r="F40" s="98" t="s">
        <v>30</v>
      </c>
      <c r="G40" s="99"/>
      <c r="H40" s="59">
        <f>+T25+T12</f>
        <v>1079.2599999999998</v>
      </c>
      <c r="I40" s="58" t="s">
        <v>33</v>
      </c>
      <c r="V40"/>
      <c r="W40"/>
    </row>
    <row r="41" spans="1:23" ht="14.25" customHeight="1">
      <c r="F41" s="98" t="s">
        <v>31</v>
      </c>
      <c r="G41" s="99"/>
      <c r="H41" s="60">
        <f>+U25+U12</f>
        <v>6.7073600000000004</v>
      </c>
      <c r="I41" s="58" t="s">
        <v>34</v>
      </c>
      <c r="V41"/>
      <c r="W41"/>
    </row>
    <row r="42" spans="1:23" ht="14.25" customHeight="1">
      <c r="V42"/>
      <c r="W42"/>
    </row>
    <row r="43" spans="1:23" ht="14.25" customHeight="1">
      <c r="V43"/>
      <c r="W43"/>
    </row>
    <row r="44" spans="1:23" ht="14.25" customHeight="1">
      <c r="V44"/>
      <c r="W44"/>
    </row>
    <row r="45" spans="1:23" ht="14.25" customHeight="1">
      <c r="V45"/>
      <c r="W45"/>
    </row>
    <row r="46" spans="1:23" ht="14.25" customHeight="1">
      <c r="V46"/>
      <c r="W46"/>
    </row>
    <row r="47" spans="1:23" ht="14.25" customHeight="1">
      <c r="V47"/>
      <c r="W47"/>
    </row>
  </sheetData>
  <mergeCells count="54">
    <mergeCell ref="A8:B8"/>
    <mergeCell ref="C8:C9"/>
    <mergeCell ref="D8:D9"/>
    <mergeCell ref="E8:E9"/>
    <mergeCell ref="F8:F9"/>
    <mergeCell ref="A9:B9"/>
    <mergeCell ref="A1:R1"/>
    <mergeCell ref="A2:R2"/>
    <mergeCell ref="A3:R3"/>
    <mergeCell ref="A4:R4"/>
    <mergeCell ref="A7:B7"/>
    <mergeCell ref="Q8:Q9"/>
    <mergeCell ref="R8:R9"/>
    <mergeCell ref="S8:S9"/>
    <mergeCell ref="T8:T9"/>
    <mergeCell ref="U8:U9"/>
    <mergeCell ref="G8:G9"/>
    <mergeCell ref="H8:M8"/>
    <mergeCell ref="N8:N9"/>
    <mergeCell ref="O8:O9"/>
    <mergeCell ref="P8:P9"/>
    <mergeCell ref="S18:S19"/>
    <mergeCell ref="T18:T19"/>
    <mergeCell ref="U18:U19"/>
    <mergeCell ref="A19:B19"/>
    <mergeCell ref="E20:E21"/>
    <mergeCell ref="A12:B12"/>
    <mergeCell ref="A15:R15"/>
    <mergeCell ref="A16:R16"/>
    <mergeCell ref="A17:B17"/>
    <mergeCell ref="A18:B18"/>
    <mergeCell ref="C18:C19"/>
    <mergeCell ref="D18:D19"/>
    <mergeCell ref="E18:E19"/>
    <mergeCell ref="F18:F19"/>
    <mergeCell ref="G18:G19"/>
    <mergeCell ref="H18:M18"/>
    <mergeCell ref="N18:N19"/>
    <mergeCell ref="O18:O19"/>
    <mergeCell ref="P18:P19"/>
    <mergeCell ref="Q18:Q19"/>
    <mergeCell ref="R18:R19"/>
    <mergeCell ref="F40:G40"/>
    <mergeCell ref="F41:G41"/>
    <mergeCell ref="A25:B25"/>
    <mergeCell ref="F28:Q28"/>
    <mergeCell ref="F30:G30"/>
    <mergeCell ref="F31:G31"/>
    <mergeCell ref="F32:G32"/>
    <mergeCell ref="F33:G33"/>
    <mergeCell ref="F34:G34"/>
    <mergeCell ref="F37:I37"/>
    <mergeCell ref="F38:G38"/>
    <mergeCell ref="F39:G39"/>
  </mergeCells>
  <printOptions horizontalCentered="1"/>
  <pageMargins left="0.5" right="0.5" top="0.5" bottom="0" header="0.18" footer="0.18"/>
  <pageSetup scale="48" orientation="portrait" r:id="rId1"/>
  <headerFooter alignWithMargins="0">
    <oddHeader>&amp;R&amp;P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PKL- 7SB0013  -Malaysia</vt:lpstr>
      <vt:lpstr>'PKL- 7SB0013  -Malaysia'!Print_Area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Jaman</dc:creator>
  <cp:lastModifiedBy>HA-MEEM</cp:lastModifiedBy>
  <cp:lastPrinted>2026-10-01T08:38:31Z</cp:lastPrinted>
  <dcterms:created xsi:type="dcterms:W3CDTF">2013-12-30T02:52:58Z</dcterms:created>
  <dcterms:modified xsi:type="dcterms:W3CDTF">2026-10-01T08:38:53Z</dcterms:modified>
</cp:coreProperties>
</file>