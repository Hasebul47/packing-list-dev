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MVN\Desktop\27SS ALL Documents\27s Packing List All\7SB013 BE43WA7S\"/>
    </mc:Choice>
  </mc:AlternateContent>
  <xr:revisionPtr revIDLastSave="0" documentId="13_ncr:1_{A614B8DD-DEBE-45A0-A4FD-D0B9F7D5F0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KL- 7SB013 -Vietnam " sheetId="6" r:id="rId1"/>
  </sheets>
  <definedNames>
    <definedName name="_xlnm.Print_Area" localSheetId="0">'PKL- 7SB013 -Vietnam '!$A$1:$T$37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" i="6" l="1"/>
  <c r="T12" i="6"/>
  <c r="T13" i="6"/>
  <c r="T14" i="6"/>
  <c r="T15" i="6"/>
  <c r="T16" i="6"/>
  <c r="H18" i="6"/>
  <c r="N16" i="6"/>
  <c r="O16" i="6" s="1"/>
  <c r="N15" i="6" l="1"/>
  <c r="O15" i="6" s="1"/>
  <c r="N13" i="6" l="1"/>
  <c r="N14" i="6"/>
  <c r="O14" i="6" l="1"/>
  <c r="M25" i="6"/>
  <c r="M26" i="6" s="1"/>
  <c r="M27" i="6" s="1"/>
  <c r="P24" i="6"/>
  <c r="M23" i="6"/>
  <c r="L23" i="6"/>
  <c r="K23" i="6"/>
  <c r="J23" i="6"/>
  <c r="I23" i="6"/>
  <c r="H23" i="6"/>
  <c r="C18" i="6"/>
  <c r="H32" i="6" s="1"/>
  <c r="R13" i="6"/>
  <c r="Q13" i="6"/>
  <c r="S13" i="6" s="1"/>
  <c r="O13" i="6"/>
  <c r="L18" i="6" s="1"/>
  <c r="R12" i="6"/>
  <c r="Q12" i="6"/>
  <c r="S12" i="6" s="1"/>
  <c r="N12" i="6"/>
  <c r="R11" i="6"/>
  <c r="Q11" i="6"/>
  <c r="S11" i="6" s="1"/>
  <c r="N11" i="6"/>
  <c r="O11" i="6" s="1"/>
  <c r="J18" i="6" s="1"/>
  <c r="T10" i="6"/>
  <c r="R10" i="6"/>
  <c r="Q10" i="6"/>
  <c r="S10" i="6" s="1"/>
  <c r="N10" i="6"/>
  <c r="O10" i="6" s="1"/>
  <c r="I18" i="6" s="1"/>
  <c r="B10" i="6"/>
  <c r="A11" i="6" s="1"/>
  <c r="B11" i="6" s="1"/>
  <c r="A12" i="6" s="1"/>
  <c r="B12" i="6" s="1"/>
  <c r="A13" i="6" s="1"/>
  <c r="B13" i="6" s="1"/>
  <c r="A14" i="6" s="1"/>
  <c r="B14" i="6" s="1"/>
  <c r="A15" i="6" s="1"/>
  <c r="B15" i="6" s="1"/>
  <c r="A16" i="6" s="1"/>
  <c r="B16" i="6" s="1"/>
  <c r="O12" i="6" l="1"/>
  <c r="T18" i="6"/>
  <c r="H35" i="6" s="1"/>
  <c r="H25" i="6"/>
  <c r="H26" i="6" s="1"/>
  <c r="H27" i="6" s="1"/>
  <c r="L25" i="6"/>
  <c r="L26" i="6" s="1"/>
  <c r="L27" i="6" s="1"/>
  <c r="Q14" i="6"/>
  <c r="S14" i="6" s="1"/>
  <c r="J25" i="6"/>
  <c r="J26" i="6" s="1"/>
  <c r="I25" i="6"/>
  <c r="I26" i="6" s="1"/>
  <c r="I27" i="6" s="1"/>
  <c r="K18" i="6" l="1"/>
  <c r="K25" i="6" s="1"/>
  <c r="O18" i="6"/>
  <c r="R16" i="6"/>
  <c r="Q16" i="6"/>
  <c r="S16" i="6" s="1"/>
  <c r="Q15" i="6"/>
  <c r="S15" i="6" s="1"/>
  <c r="R15" i="6"/>
  <c r="R14" i="6"/>
  <c r="J27" i="6"/>
  <c r="K26" i="6" l="1"/>
  <c r="P25" i="6"/>
  <c r="S18" i="6"/>
  <c r="H34" i="6" s="1"/>
  <c r="R18" i="6"/>
  <c r="H33" i="6" s="1"/>
  <c r="K27" i="6" l="1"/>
  <c r="P26" i="6"/>
  <c r="P27" i="6" s="1"/>
</calcChain>
</file>

<file path=xl/sharedStrings.xml><?xml version="1.0" encoding="utf-8"?>
<sst xmlns="http://schemas.openxmlformats.org/spreadsheetml/2006/main" count="61" uniqueCount="44">
  <si>
    <t xml:space="preserve">PACKING LIST </t>
  </si>
  <si>
    <t>CTNS</t>
  </si>
  <si>
    <t>CTN</t>
  </si>
  <si>
    <t>CTN QTY</t>
  </si>
  <si>
    <t>COLOR</t>
  </si>
  <si>
    <t>SIZE</t>
  </si>
  <si>
    <t>QTY PER CTN</t>
  </si>
  <si>
    <t>TOTAL QTY</t>
  </si>
  <si>
    <t xml:space="preserve">GROSS WEIGHT </t>
  </si>
  <si>
    <t>NET WEIGHT</t>
  </si>
  <si>
    <t>NO</t>
  </si>
  <si>
    <t>TOTAL</t>
  </si>
  <si>
    <t>SUMMARY</t>
  </si>
  <si>
    <t>ORDER  QTY</t>
  </si>
  <si>
    <t>SHIP  QTY</t>
  </si>
  <si>
    <t>EX/SHORT</t>
  </si>
  <si>
    <t>%</t>
  </si>
  <si>
    <t>Nishatnagar,Tongi,Gazipur,Dhaka.</t>
  </si>
  <si>
    <t>CREATIVE COLLECTIONS LTD.3</t>
  </si>
  <si>
    <t>Style</t>
  </si>
  <si>
    <t>XS</t>
  </si>
  <si>
    <t>S</t>
  </si>
  <si>
    <t>M</t>
  </si>
  <si>
    <t>L</t>
  </si>
  <si>
    <t>XL</t>
  </si>
  <si>
    <t>XXL</t>
  </si>
  <si>
    <t>CARTON MEASUREMENT  :</t>
  </si>
  <si>
    <t>CTN TYPE</t>
  </si>
  <si>
    <t>A</t>
  </si>
  <si>
    <t xml:space="preserve">TTL CTN GROSS WEIGHT </t>
  </si>
  <si>
    <t>TTL CTN NET WEIGHT</t>
  </si>
  <si>
    <t>TOTAL CBM</t>
  </si>
  <si>
    <t>TOTAL CTN QTY</t>
  </si>
  <si>
    <t>KGS</t>
  </si>
  <si>
    <t>LBS</t>
  </si>
  <si>
    <t>Solid JAN</t>
  </si>
  <si>
    <t>幅(（W) 55 cm與行(D)37 cm  高之(H) 32 cm (Type-A)</t>
  </si>
  <si>
    <t>BE43WA7S</t>
  </si>
  <si>
    <t>068:  Navy</t>
  </si>
  <si>
    <t>4550724400960</t>
  </si>
  <si>
    <t>4550724400977</t>
  </si>
  <si>
    <t>4550724400984</t>
  </si>
  <si>
    <t>4550724400991</t>
  </si>
  <si>
    <t>Solid Pack- 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</si>
</sst>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_ "/>
  </numFmts>
  <fonts count="17">
    <font>
      <sz val="10"/>
      <name val="Arial"/>
    </font>
    <font>
      <sz val="7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sz val="11"/>
      <color indexed="8"/>
      <name val="ＭＳ Ｐゴシック"/>
      <family val="3"/>
      <charset val="128"/>
    </font>
    <font>
      <b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6">
    <xf numFmtId="0" fontId="0" fillId="0" borderId="0"/>
    <xf numFmtId="9" fontId="14" fillId="0" borderId="0" applyFont="0" applyFill="0" applyBorder="0" applyAlignment="0" applyProtection="0"/>
    <xf numFmtId="38" fontId="1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2" fontId="4" fillId="0" borderId="28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7" fillId="0" borderId="2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164" fontId="3" fillId="0" borderId="7" xfId="1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2" fontId="4" fillId="0" borderId="20" xfId="0" applyNumberFormat="1" applyFont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1" fontId="1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2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4" fillId="2" borderId="16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2" fontId="4" fillId="0" borderId="41" xfId="0" applyNumberFormat="1" applyFont="1" applyBorder="1" applyAlignment="1">
      <alignment horizontal="center" vertical="center" wrapText="1"/>
    </xf>
    <xf numFmtId="2" fontId="4" fillId="0" borderId="42" xfId="0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4" fillId="0" borderId="13" xfId="0" applyFont="1" applyBorder="1" applyAlignment="1">
      <alignment horizontal="left" vertical="center"/>
    </xf>
    <xf numFmtId="2" fontId="2" fillId="0" borderId="13" xfId="0" applyNumberFormat="1" applyFont="1" applyBorder="1" applyAlignment="1">
      <alignment horizontal="left" vertical="center"/>
    </xf>
    <xf numFmtId="2" fontId="4" fillId="0" borderId="13" xfId="0" applyNumberFormat="1" applyFont="1" applyBorder="1" applyAlignment="1">
      <alignment horizontal="left" vertical="center"/>
    </xf>
    <xf numFmtId="1" fontId="8" fillId="0" borderId="8" xfId="0" applyNumberFormat="1" applyFont="1" applyBorder="1" applyAlignment="1">
      <alignment horizontal="center" vertical="top" wrapText="1"/>
    </xf>
    <xf numFmtId="1" fontId="8" fillId="0" borderId="45" xfId="0" applyNumberFormat="1" applyFont="1" applyBorder="1" applyAlignment="1">
      <alignment horizontal="center" vertical="top" wrapText="1"/>
    </xf>
    <xf numFmtId="1" fontId="8" fillId="0" borderId="21" xfId="0" applyNumberFormat="1" applyFont="1" applyBorder="1" applyAlignment="1">
      <alignment horizontal="center" vertical="top" wrapText="1"/>
    </xf>
    <xf numFmtId="1" fontId="8" fillId="0" borderId="20" xfId="0" applyNumberFormat="1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2" fontId="4" fillId="0" borderId="13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1" fontId="8" fillId="0" borderId="27" xfId="0" applyNumberFormat="1" applyFont="1" applyBorder="1" applyAlignment="1">
      <alignment horizontal="center" vertical="center" wrapText="1"/>
    </xf>
    <xf numFmtId="165" fontId="16" fillId="0" borderId="46" xfId="0" applyNumberFormat="1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1" fontId="8" fillId="0" borderId="39" xfId="0" applyNumberFormat="1" applyFont="1" applyBorder="1" applyAlignment="1">
      <alignment horizontal="center" vertical="center" wrapText="1"/>
    </xf>
    <xf numFmtId="1" fontId="8" fillId="0" borderId="40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3" xfId="0" applyFont="1" applyBorder="1" applyAlignment="1">
      <alignment horizontal="left"/>
    </xf>
    <xf numFmtId="0" fontId="4" fillId="0" borderId="13" xfId="0" applyFont="1" applyBorder="1" applyAlignment="1">
      <alignment horizontal="center"/>
    </xf>
  </cellXfs>
  <cellStyles count="6">
    <cellStyle name="Normal" xfId="0" builtinId="0"/>
    <cellStyle name="Normal 2" xfId="4" xr:uid="{00000000-0005-0000-0000-000001000000}"/>
    <cellStyle name="Percent" xfId="1" builtinId="5"/>
    <cellStyle name="Percent 2" xfId="5" xr:uid="{00000000-0005-0000-0000-000003000000}"/>
    <cellStyle name="Percent 3" xfId="3" xr:uid="{00000000-0005-0000-0000-000004000000}"/>
    <cellStyle name="桁区切り 3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AI35"/>
  <sheetViews>
    <sheetView tabSelected="1" view="pageBreakPreview" zoomScaleNormal="100" zoomScaleSheetLayoutView="100" workbookViewId="0">
      <selection activeCell="E15" sqref="E15"/>
    </sheetView>
  </sheetViews>
  <sheetFormatPr defaultRowHeight="14.25" customHeight="1"/>
  <cols>
    <col min="1" max="2" width="7.5703125" style="41" customWidth="1"/>
    <col min="3" max="4" width="6.28515625" style="41" customWidth="1"/>
    <col min="5" max="5" width="13.5703125" style="41" customWidth="1"/>
    <col min="6" max="6" width="11.85546875" style="41" customWidth="1"/>
    <col min="7" max="7" width="15.140625" style="41" customWidth="1"/>
    <col min="8" max="8" width="9.140625" style="41" customWidth="1"/>
    <col min="9" max="9" width="8.42578125" style="41" customWidth="1"/>
    <col min="10" max="13" width="7.140625" style="41" customWidth="1"/>
    <col min="14" max="14" width="8" style="41" customWidth="1"/>
    <col min="15" max="15" width="7.5703125" style="41" customWidth="1"/>
    <col min="16" max="16" width="7.140625" style="41" customWidth="1"/>
    <col min="17" max="17" width="8.140625" style="41" customWidth="1"/>
    <col min="18" max="16384" width="9.140625" style="41"/>
  </cols>
  <sheetData>
    <row r="1" spans="1:20" ht="18">
      <c r="A1" s="109" t="s">
        <v>18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</row>
    <row r="2" spans="1:20" ht="14.25" customHeight="1">
      <c r="A2" s="110" t="s">
        <v>17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</row>
    <row r="3" spans="1:20" ht="14.25" customHeight="1">
      <c r="A3" s="92" t="s">
        <v>0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</row>
    <row r="4" spans="1:20" ht="14.25" customHeight="1">
      <c r="A4" s="92" t="s">
        <v>43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</row>
    <row r="5" spans="1:20" ht="14.25" customHeight="1">
      <c r="A5" s="48" t="s">
        <v>26</v>
      </c>
      <c r="C5" s="68"/>
      <c r="D5" s="68"/>
      <c r="E5" s="68"/>
      <c r="F5" s="49" t="s">
        <v>36</v>
      </c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</row>
    <row r="6" spans="1:20" ht="14.25" customHeight="1">
      <c r="A6" s="48"/>
      <c r="B6" s="43"/>
      <c r="C6" s="43"/>
      <c r="D6" s="43"/>
      <c r="E6" s="43"/>
      <c r="F6" s="49"/>
      <c r="G6" s="45"/>
      <c r="H6" s="2"/>
      <c r="I6" s="2"/>
      <c r="J6" s="2"/>
      <c r="K6" s="2"/>
      <c r="L6" s="2"/>
      <c r="M6" s="2"/>
      <c r="N6" s="3"/>
      <c r="O6" s="3"/>
      <c r="P6" s="4"/>
      <c r="Q6" s="5"/>
    </row>
    <row r="7" spans="1:20" ht="14.25" customHeight="1" thickBot="1">
      <c r="A7" s="93"/>
      <c r="B7" s="93"/>
      <c r="C7" s="5"/>
      <c r="D7" s="5"/>
      <c r="E7" s="5"/>
      <c r="F7" s="5"/>
      <c r="G7" s="42"/>
      <c r="H7" s="42"/>
      <c r="I7" s="42"/>
      <c r="J7" s="42"/>
      <c r="K7" s="43"/>
      <c r="L7" s="43"/>
      <c r="M7" s="43"/>
      <c r="N7" s="43"/>
      <c r="O7" s="43"/>
      <c r="P7" s="43"/>
      <c r="Q7" s="43"/>
    </row>
    <row r="8" spans="1:20" ht="18.75" customHeight="1">
      <c r="A8" s="94" t="s">
        <v>2</v>
      </c>
      <c r="B8" s="95"/>
      <c r="C8" s="96" t="s">
        <v>3</v>
      </c>
      <c r="D8" s="96" t="s">
        <v>27</v>
      </c>
      <c r="E8" s="96" t="s">
        <v>19</v>
      </c>
      <c r="F8" s="98" t="s">
        <v>4</v>
      </c>
      <c r="G8" s="100" t="s">
        <v>35</v>
      </c>
      <c r="H8" s="102" t="s">
        <v>5</v>
      </c>
      <c r="I8" s="102"/>
      <c r="J8" s="102"/>
      <c r="K8" s="102"/>
      <c r="L8" s="102"/>
      <c r="M8" s="95"/>
      <c r="N8" s="103" t="s">
        <v>6</v>
      </c>
      <c r="O8" s="105" t="s">
        <v>7</v>
      </c>
      <c r="P8" s="103" t="s">
        <v>8</v>
      </c>
      <c r="Q8" s="107" t="s">
        <v>9</v>
      </c>
      <c r="R8" s="111" t="s">
        <v>29</v>
      </c>
      <c r="S8" s="113" t="s">
        <v>30</v>
      </c>
      <c r="T8" s="111" t="s">
        <v>31</v>
      </c>
    </row>
    <row r="9" spans="1:20" ht="14.25" customHeight="1" thickBot="1">
      <c r="A9" s="115" t="s">
        <v>10</v>
      </c>
      <c r="B9" s="116"/>
      <c r="C9" s="97"/>
      <c r="D9" s="97"/>
      <c r="E9" s="97"/>
      <c r="F9" s="99"/>
      <c r="G9" s="101"/>
      <c r="H9" s="76" t="s">
        <v>20</v>
      </c>
      <c r="I9" s="28" t="s">
        <v>21</v>
      </c>
      <c r="J9" s="28" t="s">
        <v>22</v>
      </c>
      <c r="K9" s="28" t="s">
        <v>23</v>
      </c>
      <c r="L9" s="28" t="s">
        <v>24</v>
      </c>
      <c r="M9" s="28" t="s">
        <v>25</v>
      </c>
      <c r="N9" s="104"/>
      <c r="O9" s="106"/>
      <c r="P9" s="104"/>
      <c r="Q9" s="108"/>
      <c r="R9" s="112"/>
      <c r="S9" s="114"/>
      <c r="T9" s="112"/>
    </row>
    <row r="10" spans="1:20" ht="14.25" customHeight="1">
      <c r="A10" s="27">
        <v>1</v>
      </c>
      <c r="B10" s="69">
        <f>+A10-1+C10</f>
        <v>21</v>
      </c>
      <c r="C10" s="19">
        <v>21</v>
      </c>
      <c r="D10" s="51" t="s">
        <v>28</v>
      </c>
      <c r="E10" s="90" t="s">
        <v>37</v>
      </c>
      <c r="F10" s="38" t="s">
        <v>38</v>
      </c>
      <c r="G10" s="78" t="s">
        <v>39</v>
      </c>
      <c r="H10" s="6"/>
      <c r="I10" s="6">
        <v>24</v>
      </c>
      <c r="J10" s="6"/>
      <c r="K10" s="6"/>
      <c r="L10" s="6"/>
      <c r="M10" s="7"/>
      <c r="N10" s="8">
        <f t="shared" ref="N10:N14" si="0">SUM(H10:M10)</f>
        <v>24</v>
      </c>
      <c r="O10" s="6">
        <f t="shared" ref="O10:O13" si="1">N10*C10</f>
        <v>504</v>
      </c>
      <c r="P10" s="65">
        <v>11.2</v>
      </c>
      <c r="Q10" s="20">
        <f>+P10-1.21</f>
        <v>9.9899999999999984</v>
      </c>
      <c r="R10" s="52">
        <f t="shared" ref="R10:R13" si="2">+P10*C10</f>
        <v>235.2</v>
      </c>
      <c r="S10" s="53">
        <f t="shared" ref="S10:S13" si="3">+Q10*C10</f>
        <v>209.78999999999996</v>
      </c>
      <c r="T10" s="52">
        <f t="shared" ref="T10:T16" si="4">+C10*55*37*32/1000000</f>
        <v>1.3675200000000001</v>
      </c>
    </row>
    <row r="11" spans="1:20" ht="14.25" customHeight="1">
      <c r="A11" s="27">
        <f>+B10+1</f>
        <v>22</v>
      </c>
      <c r="B11" s="69">
        <f>+A11-1+C11</f>
        <v>44</v>
      </c>
      <c r="C11" s="35">
        <v>23</v>
      </c>
      <c r="D11" s="50" t="s">
        <v>28</v>
      </c>
      <c r="E11" s="91"/>
      <c r="F11" s="39"/>
      <c r="G11" s="79" t="s">
        <v>40</v>
      </c>
      <c r="H11" s="6"/>
      <c r="I11" s="6"/>
      <c r="J11" s="6">
        <v>24</v>
      </c>
      <c r="K11" s="6"/>
      <c r="L11" s="6"/>
      <c r="M11" s="7"/>
      <c r="N11" s="8">
        <f t="shared" si="0"/>
        <v>24</v>
      </c>
      <c r="O11" s="6">
        <f t="shared" si="1"/>
        <v>552</v>
      </c>
      <c r="P11" s="65">
        <v>11.57</v>
      </c>
      <c r="Q11" s="20">
        <f>+P11-1.21</f>
        <v>10.36</v>
      </c>
      <c r="R11" s="52">
        <f t="shared" si="2"/>
        <v>266.11</v>
      </c>
      <c r="S11" s="53">
        <f t="shared" si="3"/>
        <v>238.27999999999997</v>
      </c>
      <c r="T11" s="52">
        <f t="shared" si="4"/>
        <v>1.49776</v>
      </c>
    </row>
    <row r="12" spans="1:20" ht="14.25" customHeight="1">
      <c r="A12" s="27">
        <f t="shared" ref="A12" si="5">+B11+1</f>
        <v>45</v>
      </c>
      <c r="B12" s="69">
        <f t="shared" ref="B12" si="6">+A12-1+C12</f>
        <v>60</v>
      </c>
      <c r="C12" s="35">
        <v>16</v>
      </c>
      <c r="D12" s="50" t="s">
        <v>28</v>
      </c>
      <c r="E12" s="36"/>
      <c r="F12" s="34"/>
      <c r="G12" s="79" t="s">
        <v>41</v>
      </c>
      <c r="H12" s="6"/>
      <c r="I12" s="6"/>
      <c r="J12" s="6"/>
      <c r="K12" s="6">
        <v>24</v>
      </c>
      <c r="L12" s="6"/>
      <c r="M12" s="7"/>
      <c r="N12" s="8">
        <f t="shared" si="0"/>
        <v>24</v>
      </c>
      <c r="O12" s="6">
        <f t="shared" si="1"/>
        <v>384</v>
      </c>
      <c r="P12" s="65">
        <v>12.2</v>
      </c>
      <c r="Q12" s="20">
        <f t="shared" ref="Q12:Q13" si="7">+P12-1.21</f>
        <v>10.989999999999998</v>
      </c>
      <c r="R12" s="52">
        <f t="shared" si="2"/>
        <v>195.2</v>
      </c>
      <c r="S12" s="53">
        <f t="shared" si="3"/>
        <v>175.83999999999997</v>
      </c>
      <c r="T12" s="52">
        <f t="shared" si="4"/>
        <v>1.04192</v>
      </c>
    </row>
    <row r="13" spans="1:20" ht="14.25" customHeight="1">
      <c r="A13" s="27">
        <f t="shared" ref="A13:A15" si="8">+B12+1</f>
        <v>61</v>
      </c>
      <c r="B13" s="69">
        <f t="shared" ref="B13:B15" si="9">+A13-1+C13</f>
        <v>73</v>
      </c>
      <c r="C13" s="35">
        <v>13</v>
      </c>
      <c r="D13" s="50" t="s">
        <v>28</v>
      </c>
      <c r="E13" s="36"/>
      <c r="F13" s="34"/>
      <c r="G13" s="79" t="s">
        <v>42</v>
      </c>
      <c r="H13" s="6"/>
      <c r="I13" s="8"/>
      <c r="J13" s="8"/>
      <c r="K13" s="8"/>
      <c r="L13" s="8">
        <v>24</v>
      </c>
      <c r="M13" s="7"/>
      <c r="N13" s="8">
        <f t="shared" si="0"/>
        <v>24</v>
      </c>
      <c r="O13" s="6">
        <f t="shared" si="1"/>
        <v>312</v>
      </c>
      <c r="P13" s="65">
        <v>12.71</v>
      </c>
      <c r="Q13" s="20">
        <f t="shared" si="7"/>
        <v>11.5</v>
      </c>
      <c r="R13" s="52">
        <f t="shared" si="2"/>
        <v>165.23000000000002</v>
      </c>
      <c r="S13" s="53">
        <f t="shared" si="3"/>
        <v>149.5</v>
      </c>
      <c r="T13" s="52">
        <f t="shared" si="4"/>
        <v>0.84655999999999998</v>
      </c>
    </row>
    <row r="14" spans="1:20" ht="14.25" customHeight="1">
      <c r="A14" s="27">
        <f t="shared" si="8"/>
        <v>74</v>
      </c>
      <c r="B14" s="69">
        <f t="shared" si="9"/>
        <v>74</v>
      </c>
      <c r="C14" s="35">
        <v>1</v>
      </c>
      <c r="D14" s="50" t="s">
        <v>28</v>
      </c>
      <c r="E14" s="66"/>
      <c r="F14" s="34"/>
      <c r="G14" s="78" t="s">
        <v>39</v>
      </c>
      <c r="H14" s="8"/>
      <c r="I14" s="75">
        <v>20</v>
      </c>
      <c r="J14" s="75"/>
      <c r="K14" s="75"/>
      <c r="L14" s="75"/>
      <c r="M14" s="74"/>
      <c r="N14" s="8">
        <f t="shared" si="0"/>
        <v>20</v>
      </c>
      <c r="O14" s="6">
        <f t="shared" ref="O14" si="10">N14*C14</f>
        <v>20</v>
      </c>
      <c r="P14" s="65">
        <v>10.3</v>
      </c>
      <c r="Q14" s="20">
        <f t="shared" ref="Q14" si="11">+P14-1.21</f>
        <v>9.09</v>
      </c>
      <c r="R14" s="52">
        <f t="shared" ref="R14" si="12">+P14*C14</f>
        <v>10.3</v>
      </c>
      <c r="S14" s="53">
        <f t="shared" ref="S14" si="13">+Q14*C14</f>
        <v>9.09</v>
      </c>
      <c r="T14" s="52">
        <f t="shared" si="4"/>
        <v>6.5119999999999997E-2</v>
      </c>
    </row>
    <row r="15" spans="1:20" ht="14.25" customHeight="1">
      <c r="A15" s="27">
        <f t="shared" si="8"/>
        <v>75</v>
      </c>
      <c r="B15" s="69">
        <f t="shared" si="9"/>
        <v>75</v>
      </c>
      <c r="C15" s="35">
        <v>1</v>
      </c>
      <c r="D15" s="50" t="s">
        <v>28</v>
      </c>
      <c r="E15" s="66"/>
      <c r="F15" s="34"/>
      <c r="G15" s="79" t="s">
        <v>40</v>
      </c>
      <c r="H15" s="8"/>
      <c r="I15" s="8"/>
      <c r="J15" s="8">
        <v>20</v>
      </c>
      <c r="K15" s="8"/>
      <c r="L15" s="8"/>
      <c r="M15" s="74"/>
      <c r="N15" s="8">
        <f t="shared" ref="N15" si="14">SUM(H15:M15)</f>
        <v>20</v>
      </c>
      <c r="O15" s="6">
        <f t="shared" ref="O15" si="15">N15*C15</f>
        <v>20</v>
      </c>
      <c r="P15" s="65">
        <v>10.5</v>
      </c>
      <c r="Q15" s="20">
        <f t="shared" ref="Q15" si="16">+P15-1.21</f>
        <v>9.2899999999999991</v>
      </c>
      <c r="R15" s="52">
        <f t="shared" ref="R15" si="17">+P15*C15</f>
        <v>10.5</v>
      </c>
      <c r="S15" s="53">
        <f t="shared" ref="S15" si="18">+Q15*C15</f>
        <v>9.2899999999999991</v>
      </c>
      <c r="T15" s="52">
        <f t="shared" si="4"/>
        <v>6.5119999999999997E-2</v>
      </c>
    </row>
    <row r="16" spans="1:20" ht="14.25" customHeight="1">
      <c r="A16" s="27">
        <f t="shared" ref="A16" si="19">+B15+1</f>
        <v>76</v>
      </c>
      <c r="B16" s="69">
        <f t="shared" ref="B16" si="20">+A16-1+C16</f>
        <v>76</v>
      </c>
      <c r="C16" s="35">
        <v>1</v>
      </c>
      <c r="D16" s="50" t="s">
        <v>28</v>
      </c>
      <c r="E16" s="66"/>
      <c r="F16" s="34"/>
      <c r="G16" s="79" t="s">
        <v>41</v>
      </c>
      <c r="H16" s="8"/>
      <c r="I16" s="8"/>
      <c r="J16" s="8"/>
      <c r="K16" s="8">
        <v>20</v>
      </c>
      <c r="L16" s="75"/>
      <c r="M16" s="74"/>
      <c r="N16" s="8">
        <f t="shared" ref="N16" si="21">SUM(H16:M16)</f>
        <v>20</v>
      </c>
      <c r="O16" s="6">
        <f t="shared" ref="O16" si="22">N16*C16</f>
        <v>20</v>
      </c>
      <c r="P16" s="65">
        <v>11.3</v>
      </c>
      <c r="Q16" s="20">
        <f t="shared" ref="Q16" si="23">+P16-1.21</f>
        <v>10.09</v>
      </c>
      <c r="R16" s="52">
        <f t="shared" ref="R16" si="24">+P16*C16</f>
        <v>11.3</v>
      </c>
      <c r="S16" s="53">
        <f t="shared" ref="S16" si="25">+Q16*C16</f>
        <v>10.09</v>
      </c>
      <c r="T16" s="52">
        <f t="shared" si="4"/>
        <v>6.5119999999999997E-2</v>
      </c>
    </row>
    <row r="17" spans="1:35" ht="14.25" customHeight="1" thickBot="1">
      <c r="A17" s="21"/>
      <c r="B17" s="22"/>
      <c r="C17" s="14"/>
      <c r="D17" s="14"/>
      <c r="E17" s="15"/>
      <c r="F17" s="16"/>
      <c r="G17" s="6"/>
      <c r="H17" s="6"/>
      <c r="I17" s="6"/>
      <c r="J17" s="6"/>
      <c r="K17" s="6"/>
      <c r="L17" s="6"/>
      <c r="M17" s="7"/>
      <c r="N17" s="6"/>
      <c r="O17" s="6"/>
      <c r="P17" s="65"/>
      <c r="Q17" s="20"/>
      <c r="R17" s="54"/>
      <c r="S17" s="55"/>
      <c r="T17" s="54"/>
    </row>
    <row r="18" spans="1:35" ht="14.25" customHeight="1" thickBot="1">
      <c r="A18" s="84" t="s">
        <v>11</v>
      </c>
      <c r="B18" s="85"/>
      <c r="C18" s="17">
        <f>SUM(C10:C17)</f>
        <v>76</v>
      </c>
      <c r="D18" s="17"/>
      <c r="E18" s="17" t="s">
        <v>1</v>
      </c>
      <c r="F18" s="44"/>
      <c r="G18" s="17"/>
      <c r="H18" s="17">
        <f>0</f>
        <v>0</v>
      </c>
      <c r="I18" s="17">
        <f>O10+I14</f>
        <v>524</v>
      </c>
      <c r="J18" s="17">
        <f>O11+J15</f>
        <v>572</v>
      </c>
      <c r="K18" s="17">
        <f>O12+K16</f>
        <v>404</v>
      </c>
      <c r="L18" s="17">
        <f>O13</f>
        <v>312</v>
      </c>
      <c r="M18" s="17"/>
      <c r="N18" s="17"/>
      <c r="O18" s="17">
        <f>SUM(O10:O17)</f>
        <v>1812</v>
      </c>
      <c r="P18" s="37"/>
      <c r="Q18" s="37"/>
      <c r="R18" s="37">
        <f>SUM(R10:R17)</f>
        <v>893.83999999999992</v>
      </c>
      <c r="S18" s="37">
        <f>SUM(S10:S17)</f>
        <v>801.87999999999988</v>
      </c>
      <c r="T18" s="37">
        <f>SUM(T10:T17)</f>
        <v>4.9491200000000015</v>
      </c>
      <c r="U18" s="43"/>
      <c r="V18" s="1"/>
      <c r="W18" s="45"/>
      <c r="X18" s="2"/>
      <c r="Y18" s="2"/>
      <c r="Z18" s="2"/>
      <c r="AA18" s="2"/>
      <c r="AB18" s="2"/>
      <c r="AC18" s="2"/>
      <c r="AD18" s="2"/>
      <c r="AE18" s="2"/>
      <c r="AF18" s="3"/>
      <c r="AG18" s="4"/>
      <c r="AH18" s="5"/>
      <c r="AI18" s="43"/>
    </row>
    <row r="19" spans="1:35" ht="14.25" customHeight="1">
      <c r="A19" s="43"/>
      <c r="B19" s="43"/>
      <c r="C19" s="43"/>
      <c r="D19" s="43"/>
      <c r="E19" s="43"/>
      <c r="F19" s="1"/>
      <c r="G19" s="45"/>
      <c r="H19" s="2"/>
      <c r="I19" s="63"/>
      <c r="J19" s="63"/>
      <c r="K19" s="63"/>
      <c r="L19" s="63"/>
      <c r="M19" s="63"/>
      <c r="N19" s="3"/>
      <c r="O19" s="3"/>
      <c r="P19" s="4"/>
      <c r="Q19" s="67"/>
      <c r="R19" s="43"/>
      <c r="S19" s="43"/>
      <c r="T19" s="43"/>
      <c r="U19" s="43"/>
      <c r="V19" s="1"/>
      <c r="W19" s="45"/>
      <c r="X19" s="2"/>
      <c r="Y19" s="2"/>
      <c r="Z19" s="2"/>
      <c r="AA19" s="2"/>
      <c r="AB19" s="2"/>
      <c r="AC19" s="2"/>
      <c r="AD19" s="2"/>
      <c r="AE19" s="2"/>
      <c r="AF19" s="3"/>
      <c r="AG19" s="4"/>
      <c r="AH19" s="5"/>
      <c r="AI19" s="43"/>
    </row>
    <row r="20" spans="1:35" ht="14.25" customHeight="1" thickBot="1">
      <c r="A20" s="43"/>
      <c r="B20" s="43"/>
      <c r="C20" s="43"/>
      <c r="D20" s="43"/>
      <c r="E20" s="43"/>
      <c r="F20" s="1"/>
      <c r="G20" s="45"/>
      <c r="H20" s="40"/>
      <c r="I20" s="40"/>
      <c r="J20" s="40"/>
      <c r="K20" s="40"/>
      <c r="L20" s="40"/>
      <c r="M20" s="40"/>
      <c r="N20" s="3"/>
      <c r="O20" s="3"/>
      <c r="P20" s="4"/>
      <c r="Q20" s="5"/>
      <c r="R20" s="43"/>
      <c r="S20" s="43"/>
      <c r="T20" s="43"/>
      <c r="U20" s="43"/>
      <c r="V20" s="1"/>
      <c r="W20" s="45"/>
      <c r="X20" s="2"/>
      <c r="Y20" s="2"/>
      <c r="Z20" s="2"/>
      <c r="AA20" s="2"/>
      <c r="AB20" s="2"/>
      <c r="AC20" s="2"/>
      <c r="AD20" s="2"/>
      <c r="AE20" s="2"/>
      <c r="AF20" s="3"/>
      <c r="AG20" s="4"/>
      <c r="AH20" s="5"/>
      <c r="AI20" s="43"/>
    </row>
    <row r="21" spans="1:35" ht="14.25" customHeight="1" thickBot="1">
      <c r="A21" s="43"/>
      <c r="B21" s="43"/>
      <c r="C21" s="43"/>
      <c r="D21" s="43"/>
      <c r="E21" s="47"/>
      <c r="F21" s="84" t="s">
        <v>12</v>
      </c>
      <c r="G21" s="85"/>
      <c r="H21" s="85"/>
      <c r="I21" s="85"/>
      <c r="J21" s="85"/>
      <c r="K21" s="85"/>
      <c r="L21" s="85"/>
      <c r="M21" s="85"/>
      <c r="N21" s="85"/>
      <c r="O21" s="85"/>
      <c r="P21" s="86"/>
      <c r="Q21" s="5"/>
    </row>
    <row r="22" spans="1:35" ht="14.25" customHeight="1" thickBot="1">
      <c r="A22" s="46"/>
      <c r="C22" s="43"/>
      <c r="D22" s="43"/>
      <c r="E22" s="43"/>
      <c r="F22" s="70"/>
      <c r="G22" s="71"/>
      <c r="H22" s="71"/>
      <c r="I22" s="71"/>
      <c r="J22" s="71"/>
      <c r="K22" s="71"/>
      <c r="L22" s="71"/>
      <c r="M22" s="71"/>
      <c r="N22" s="71"/>
      <c r="O22" s="71"/>
      <c r="P22" s="72"/>
      <c r="Q22" s="5"/>
    </row>
    <row r="23" spans="1:35" ht="14.25" customHeight="1" thickBot="1">
      <c r="A23" s="46"/>
      <c r="C23" s="43"/>
      <c r="D23" s="43"/>
      <c r="E23" s="43"/>
      <c r="F23" s="84" t="s">
        <v>5</v>
      </c>
      <c r="G23" s="87"/>
      <c r="H23" s="59" t="str">
        <f t="shared" ref="H23:M23" si="26">+H9</f>
        <v>XS</v>
      </c>
      <c r="I23" s="60" t="str">
        <f t="shared" si="26"/>
        <v>S</v>
      </c>
      <c r="J23" s="61" t="str">
        <f t="shared" si="26"/>
        <v>M</v>
      </c>
      <c r="K23" s="61" t="str">
        <f t="shared" si="26"/>
        <v>L</v>
      </c>
      <c r="L23" s="61" t="str">
        <f t="shared" si="26"/>
        <v>XL</v>
      </c>
      <c r="M23" s="62" t="str">
        <f t="shared" si="26"/>
        <v>XXL</v>
      </c>
      <c r="N23" s="9"/>
      <c r="O23" s="29"/>
      <c r="P23" s="13" t="s">
        <v>11</v>
      </c>
      <c r="Q23" s="5"/>
    </row>
    <row r="24" spans="1:35" ht="14.25" customHeight="1">
      <c r="A24" s="43"/>
      <c r="B24" s="43"/>
      <c r="C24" s="43"/>
      <c r="D24" s="43"/>
      <c r="E24" s="43"/>
      <c r="F24" s="88" t="s">
        <v>13</v>
      </c>
      <c r="G24" s="89"/>
      <c r="H24" s="64">
        <v>0</v>
      </c>
      <c r="I24" s="77">
        <v>504</v>
      </c>
      <c r="J24" s="77">
        <v>552</v>
      </c>
      <c r="K24" s="77">
        <v>384</v>
      </c>
      <c r="L24" s="77">
        <v>312</v>
      </c>
      <c r="M24" s="64"/>
      <c r="N24" s="64"/>
      <c r="O24" s="30"/>
      <c r="P24" s="23">
        <f>SUM(H24:N24)</f>
        <v>1752</v>
      </c>
      <c r="Q24" s="5"/>
    </row>
    <row r="25" spans="1:35" ht="14.25" customHeight="1">
      <c r="A25" s="43"/>
      <c r="B25" s="43"/>
      <c r="C25" s="43"/>
      <c r="D25" s="43"/>
      <c r="E25" s="43"/>
      <c r="F25" s="80" t="s">
        <v>14</v>
      </c>
      <c r="G25" s="81"/>
      <c r="H25" s="64">
        <f t="shared" ref="H25:M25" si="27">+H18</f>
        <v>0</v>
      </c>
      <c r="I25" s="64">
        <f t="shared" si="27"/>
        <v>524</v>
      </c>
      <c r="J25" s="64">
        <f t="shared" si="27"/>
        <v>572</v>
      </c>
      <c r="K25" s="64">
        <f t="shared" si="27"/>
        <v>404</v>
      </c>
      <c r="L25" s="64">
        <f t="shared" si="27"/>
        <v>312</v>
      </c>
      <c r="M25" s="64">
        <f t="shared" si="27"/>
        <v>0</v>
      </c>
      <c r="N25" s="24"/>
      <c r="O25" s="31"/>
      <c r="P25" s="25">
        <f>SUM(H25:N25)</f>
        <v>1812</v>
      </c>
      <c r="Q25" s="5"/>
    </row>
    <row r="26" spans="1:35" ht="14.25" customHeight="1">
      <c r="A26" s="43"/>
      <c r="B26" s="43"/>
      <c r="C26" s="43"/>
      <c r="D26" s="43"/>
      <c r="E26" s="43"/>
      <c r="F26" s="80" t="s">
        <v>15</v>
      </c>
      <c r="G26" s="81"/>
      <c r="H26" s="18">
        <f t="shared" ref="H26" si="28">H25-H24</f>
        <v>0</v>
      </c>
      <c r="I26" s="18">
        <f>I25-I24</f>
        <v>20</v>
      </c>
      <c r="J26" s="18">
        <f t="shared" ref="J26" si="29">J25-J24</f>
        <v>20</v>
      </c>
      <c r="K26" s="18">
        <f>K25-K24</f>
        <v>20</v>
      </c>
      <c r="L26" s="18">
        <f>L25-L24</f>
        <v>0</v>
      </c>
      <c r="M26" s="18">
        <f t="shared" ref="M26" si="30">M25-M24</f>
        <v>0</v>
      </c>
      <c r="N26" s="8"/>
      <c r="O26" s="32"/>
      <c r="P26" s="10">
        <f>SUM(H26:N26)</f>
        <v>60</v>
      </c>
      <c r="Q26" s="5"/>
    </row>
    <row r="27" spans="1:35" ht="14.25" customHeight="1" thickBot="1">
      <c r="A27" s="43"/>
      <c r="B27" s="43"/>
      <c r="C27" s="43"/>
      <c r="D27" s="43"/>
      <c r="E27" s="43"/>
      <c r="F27" s="82" t="s">
        <v>16</v>
      </c>
      <c r="G27" s="83"/>
      <c r="H27" s="26" t="e">
        <f t="shared" ref="H27" si="31">+H26/H24</f>
        <v>#DIV/0!</v>
      </c>
      <c r="I27" s="26">
        <f>+I26/I24</f>
        <v>3.968253968253968E-2</v>
      </c>
      <c r="J27" s="26">
        <f t="shared" ref="J27" si="32">+J26/J24</f>
        <v>3.6231884057971016E-2</v>
      </c>
      <c r="K27" s="26">
        <f>+K26/K24</f>
        <v>5.2083333333333336E-2</v>
      </c>
      <c r="L27" s="26">
        <f>+L26/L24</f>
        <v>0</v>
      </c>
      <c r="M27" s="26" t="e">
        <f t="shared" ref="M27" si="33">+M26/M24</f>
        <v>#DIV/0!</v>
      </c>
      <c r="N27" s="11"/>
      <c r="O27" s="33"/>
      <c r="P27" s="12">
        <f>+P26/P24*100</f>
        <v>3.4246575342465753</v>
      </c>
      <c r="Q27" s="5"/>
    </row>
    <row r="30" spans="1:35" ht="14.25" customHeight="1">
      <c r="A30" s="46"/>
    </row>
    <row r="31" spans="1:35" ht="14.25" customHeight="1">
      <c r="F31" s="118" t="s">
        <v>12</v>
      </c>
      <c r="G31" s="118"/>
      <c r="H31" s="118"/>
      <c r="I31" s="118"/>
    </row>
    <row r="32" spans="1:35" ht="14.25" customHeight="1">
      <c r="F32" s="117" t="s">
        <v>32</v>
      </c>
      <c r="G32" s="117"/>
      <c r="H32" s="56">
        <f>+C18</f>
        <v>76</v>
      </c>
      <c r="I32" s="73" t="s">
        <v>2</v>
      </c>
    </row>
    <row r="33" spans="6:9" ht="14.25" customHeight="1">
      <c r="F33" s="117" t="s">
        <v>29</v>
      </c>
      <c r="G33" s="117"/>
      <c r="H33" s="57">
        <f>+R18</f>
        <v>893.83999999999992</v>
      </c>
      <c r="I33" s="73" t="s">
        <v>33</v>
      </c>
    </row>
    <row r="34" spans="6:9" ht="14.25" customHeight="1">
      <c r="F34" s="117" t="s">
        <v>30</v>
      </c>
      <c r="G34" s="117"/>
      <c r="H34" s="57">
        <f>+S18</f>
        <v>801.87999999999988</v>
      </c>
      <c r="I34" s="73" t="s">
        <v>33</v>
      </c>
    </row>
    <row r="35" spans="6:9" ht="14.25" customHeight="1">
      <c r="F35" s="117" t="s">
        <v>31</v>
      </c>
      <c r="G35" s="117"/>
      <c r="H35" s="58">
        <f>+T18</f>
        <v>4.9491200000000015</v>
      </c>
      <c r="I35" s="73" t="s">
        <v>34</v>
      </c>
    </row>
  </sheetData>
  <mergeCells count="33">
    <mergeCell ref="F34:G34"/>
    <mergeCell ref="F35:G35"/>
    <mergeCell ref="F31:I31"/>
    <mergeCell ref="F32:G32"/>
    <mergeCell ref="F33:G33"/>
    <mergeCell ref="A1:Q1"/>
    <mergeCell ref="A2:Q2"/>
    <mergeCell ref="R8:R9"/>
    <mergeCell ref="S8:S9"/>
    <mergeCell ref="T8:T9"/>
    <mergeCell ref="A9:B9"/>
    <mergeCell ref="E10:E11"/>
    <mergeCell ref="A3:Q3"/>
    <mergeCell ref="A4:Q4"/>
    <mergeCell ref="A7:B7"/>
    <mergeCell ref="A8:B8"/>
    <mergeCell ref="C8:C9"/>
    <mergeCell ref="D8:D9"/>
    <mergeCell ref="E8:E9"/>
    <mergeCell ref="F8:F9"/>
    <mergeCell ref="G8:G9"/>
    <mergeCell ref="H8:M8"/>
    <mergeCell ref="N8:N9"/>
    <mergeCell ref="O8:O9"/>
    <mergeCell ref="P8:P9"/>
    <mergeCell ref="Q8:Q9"/>
    <mergeCell ref="F26:G26"/>
    <mergeCell ref="F27:G27"/>
    <mergeCell ref="A18:B18"/>
    <mergeCell ref="F21:P21"/>
    <mergeCell ref="F23:G23"/>
    <mergeCell ref="F24:G24"/>
    <mergeCell ref="F25:G25"/>
  </mergeCells>
  <printOptions horizontalCentered="1"/>
  <pageMargins left="0.5" right="0.5" top="0.5" bottom="0" header="0.18" footer="0.18"/>
  <pageSetup scale="56" orientation="portrait" r:id="rId1"/>
  <headerFooter alignWithMargins="0">
    <oddHeader>&amp;R&amp;P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PKL- 7SB013 -Vietnam </vt:lpstr>
      <vt:lpstr>'PKL- 7SB013 -Vietnam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Jaman</dc:creator>
  <cp:lastModifiedBy>HA-MEEM</cp:lastModifiedBy>
  <cp:lastPrinted>2026-09-23T09:31:15Z</cp:lastPrinted>
  <dcterms:created xsi:type="dcterms:W3CDTF">2013-12-30T02:52:58Z</dcterms:created>
  <dcterms:modified xsi:type="dcterms:W3CDTF">2026-10-01T08:32:46Z</dcterms:modified>
</cp:coreProperties>
</file>