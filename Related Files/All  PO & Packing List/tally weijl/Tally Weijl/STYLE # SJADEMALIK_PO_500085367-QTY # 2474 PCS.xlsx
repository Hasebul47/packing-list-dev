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hare File\Tally Weijl\"/>
    </mc:Choice>
  </mc:AlternateContent>
  <bookViews>
    <workbookView xWindow="0" yWindow="0" windowWidth="16392" windowHeight="5592" tabRatio="816"/>
  </bookViews>
  <sheets>
    <sheet name="SSHCOPUMPYMR_500084191 S-E" sheetId="79" r:id="rId1"/>
    <sheet name="SSHCOPUMPYMR_500084191" sheetId="76" r:id="rId2"/>
    <sheet name="80%" sheetId="78" state="hidden" r:id="rId3"/>
    <sheet name="SPADECYNTIA2_500083716 (80)" sheetId="77" state="hidden" r:id="rId4"/>
    <sheet name="SPADEPIKA_500081949 (2)" sheetId="75" state="hidden" r:id="rId5"/>
    <sheet name="SPADEBOXER _500081425 (80%)" sheetId="73" state="hidden" r:id="rId6"/>
    <sheet name="SPADEBOXER _500081425 (Pack)" sheetId="74" state="hidden" r:id="rId7"/>
    <sheet name="SSHDEMOMO3_500080179 (2)" sheetId="72" state="hidden" r:id="rId8"/>
    <sheet name="SSHDEMOMO3_500080178_80%" sheetId="71" state="hidden" r:id="rId9"/>
  </sheets>
  <definedNames>
    <definedName name="_Fill" localSheetId="0" hidden="1">#REF!</definedName>
    <definedName name="_Fill" hidden="1">#REF!</definedName>
    <definedName name="A">"$#REF!.$A$1259:$A$1286"</definedName>
    <definedName name="A_J">"$#REF!.$A$1:$A$33"</definedName>
    <definedName name="A_J_AIR">"$#REF!.$A$271:$K$358"</definedName>
    <definedName name="ARPINO">"$#REF!.$A$423:$A$456"</definedName>
    <definedName name="ARPINO_AIR">"$#REF!.$A$116:$K$153"</definedName>
    <definedName name="ASDF" localSheetId="0">#REF!</definedName>
    <definedName name="ASDF">#REF!</definedName>
    <definedName name="BCERT">"$#REF!.$A$934:$A$961"</definedName>
    <definedName name="BILKA">"$#REF!.$A$500:$A$525"</definedName>
    <definedName name="BILKA_AIR">"$#REF!.$A$566:$A$598"</definedName>
    <definedName name="CARINS">"$#REF!.$A$796:$A$830"</definedName>
    <definedName name="CARINS_AIR">"$#REF!.$A$194:$K$235"</definedName>
    <definedName name="COJABIS_PORTRAIT">"$#REF!.$A$129:$A$169"</definedName>
    <definedName name="COMBINEDFORM">"$#REF!.$A$1:$N$36"</definedName>
    <definedName name="CONSOLIDATES_SEA">"$#REF!.$A$1228:$A$1258"</definedName>
    <definedName name="D.PL" localSheetId="0" hidden="1">#REF!</definedName>
    <definedName name="D.PL" hidden="1">#REF!</definedName>
    <definedName name="DAMARC">"$#REF!.$A$1:$A$43"</definedName>
    <definedName name="DAMARC_PORTRAIT">"$#REF!.$A$1:$A$43"</definedName>
    <definedName name="EMMEGI">"$#REF!.$A$831:$A$864"</definedName>
    <definedName name="F">"$#REF!.$A$1099:$A$1427"</definedName>
    <definedName name="FAX__MESSAGE">"$#REF!.$A$999:$A$1032"</definedName>
    <definedName name="fdsdf" localSheetId="0">#REF!</definedName>
    <definedName name="fdsdf">#REF!</definedName>
    <definedName name="Final_Lc" localSheetId="0">#REF!</definedName>
    <definedName name="Final_Lc">#REF!</definedName>
    <definedName name="forms">"$#REF!.$A$1:$N$36"</definedName>
    <definedName name="GARNET_SEA">"$#REF!.$A$1194:$A$1225"</definedName>
    <definedName name="GRIGORIADIS_SEA">"$#REF!.$A$1099:$A$1427"</definedName>
    <definedName name="GRUPPO_AIR">"$#REF!.$A$74:$A$115"</definedName>
    <definedName name="H_R_PORTRAIT">"$#REF!.$A$85:$A$128"</definedName>
    <definedName name="H_RUEBENER">"$#REF!.$A$73:$A$100"</definedName>
    <definedName name="HADDAD">"$#REF!.$A$866:$A$899"</definedName>
    <definedName name="HAHN_AIR">"$#REF!.$A$456:$A$489"</definedName>
    <definedName name="HIMCO">"$#REF!.$A$962:$A$996"</definedName>
    <definedName name="Hong_Kong." localSheetId="0">#REF!</definedName>
    <definedName name="Hong_Kong.">#REF!</definedName>
    <definedName name="IBS_SEA">"$#REF!.$A$1259:$A$1286"</definedName>
    <definedName name="INTER_M_AIR">"$#REF!.$A$311:$K$349"</definedName>
    <definedName name="INTER_M_SEA">"$#REF!.$A$1166:$O$1192"</definedName>
    <definedName name="Inv_No." localSheetId="0">#REF!</definedName>
    <definedName name="Inv_No.">#REF!</definedName>
    <definedName name="JIBTEX">"$#REF!.$A$934:$A$961"</definedName>
    <definedName name="JOINT_STOCK">"$#REF!.$A$295:$A$327"</definedName>
    <definedName name="JOINT_STOCK1">"$#REF!.$A$295:$A$327"</definedName>
    <definedName name="KARBO">"$#REF!.$A$457:$A$473"</definedName>
    <definedName name="KARBO_">"$#REF!.$A$457:$A$473"</definedName>
    <definedName name="KARBO_STANDA">"$#REF!.$A$457:$A$473"</definedName>
    <definedName name="KARBO_STANDA1">"$#REF!.$A$457:$A$473"</definedName>
    <definedName name="KARSTADT">"$#REF!.$A$329:$A$362"</definedName>
    <definedName name="LC" localSheetId="0">#REF!</definedName>
    <definedName name="LC">#REF!</definedName>
    <definedName name="LC_Date." localSheetId="0">#REF!</definedName>
    <definedName name="LC_Date.">#REF!</definedName>
    <definedName name="LCDate." localSheetId="0">#REF!</definedName>
    <definedName name="LCDate.">#REF!</definedName>
    <definedName name="LCDT." localSheetId="0">#REF!</definedName>
    <definedName name="LCDT.">#REF!</definedName>
    <definedName name="MS_MODE">"$#REF!.$A$729:$A$765"</definedName>
    <definedName name="NECKERMANN">"$#REF!.$A$392:$A$421"</definedName>
    <definedName name="NEW">"$#REF!.$A$1033:$A$1097"</definedName>
    <definedName name="NISCOTEX">"$#REF!.$A$41:$A$71"</definedName>
    <definedName name="PACIFIC">"$#REF!.$A$260:$A$294"</definedName>
    <definedName name="PACKING_LIST">"$#REF!.$A$1:$T$38"</definedName>
    <definedName name="PACKING_SUMMARY">"$#REF!.$A$1:$N$39"</definedName>
    <definedName name="PHILLIPS_VAN_HEUSEN">"$#REF!.$A$1:$L$28"</definedName>
    <definedName name="_xlnm.Print_Area" localSheetId="2">'80%'!$A$1:$T$47</definedName>
    <definedName name="_xlnm.Print_Area" localSheetId="5">'SPADEBOXER _500081425 (80%)'!$A$1:$T$50</definedName>
    <definedName name="_xlnm.Print_Area" localSheetId="6">'SPADEBOXER _500081425 (Pack)'!$A$1:$T$50</definedName>
    <definedName name="_xlnm.Print_Area" localSheetId="3">'SPADECYNTIA2_500083716 (80)'!$A$1:$T$47</definedName>
    <definedName name="_xlnm.Print_Area" localSheetId="4">'SPADEPIKA_500081949 (2)'!$A$1:$T$50</definedName>
    <definedName name="_xlnm.Print_Area" localSheetId="1">SSHCOPUMPYMR_500084191!$A$1:$T$49</definedName>
    <definedName name="_xlnm.Print_Area" localSheetId="0">'SSHCOPUMPYMR_500084191 S-E'!$A$1:$Q$43</definedName>
    <definedName name="_xlnm.Print_Area" localSheetId="8">'SSHDEMOMO3_500080178_80%'!$A$1:$T$47</definedName>
    <definedName name="_xlnm.Print_Area" localSheetId="7">'SSHDEMOMO3_500080179 (2)'!$A$1:$T$50</definedName>
    <definedName name="PVH">"$#REF!.$A$363:$A$390"</definedName>
    <definedName name="QUELLE_AIR">"$#REF!.$A$532:$A$564"</definedName>
    <definedName name="RAWE_AIR">"$#REF!.$A$491:$A$526"</definedName>
    <definedName name="RUSSELL_AIR">"$#REF!.$A$384:$A$417"</definedName>
    <definedName name="sddd" localSheetId="0">#REF!</definedName>
    <definedName name="sddd">#REF!</definedName>
    <definedName name="SEARS">"$#REF!.$A$1061:$A$1097"</definedName>
    <definedName name="SEARS_AIR">"$#REF!.$A$351:$K$383"</definedName>
    <definedName name="SEIDEN_AIR">"$#REF!.$A$233:$A$259"</definedName>
    <definedName name="SEIDEN_BAUR">"$#REF!.$A$208:$A$232"</definedName>
    <definedName name="SEIDENSTICKER">"$#REF!.$A$233:$A$256"</definedName>
    <definedName name="SEIDENSTICKER_AIR">"$#REF!.$A$1:$K$39"</definedName>
    <definedName name="SIPLEC">"$#REF!.$A$694:$A$726"</definedName>
    <definedName name="SOURCE_DGN">"$#REF!.$A$128:$A$160"</definedName>
    <definedName name="SOURCE_DGN_INT">"$#REF!.$A$1327:$A$1351"</definedName>
    <definedName name="SPORTS_GROUP">"$#REF!.$A$662:$A$694"</definedName>
    <definedName name="SSSS" localSheetId="0">#REF!</definedName>
    <definedName name="SSSS">#REF!</definedName>
    <definedName name="SURUJAMAL_PORTRAIT">"$#REF!.$A$44:$A$84"</definedName>
    <definedName name="SWIRE_AIR">"$#REF!.$A$154:$K$196"</definedName>
    <definedName name="SWIRE_GUS">"$#REF!.$A$526:$A$558"</definedName>
    <definedName name="SWIRE_MACLINE">"$#REF!.$A$526:$A$596"</definedName>
    <definedName name="TaxTV">10%</definedName>
    <definedName name="TaxXL">5%</definedName>
    <definedName name="TEXLINE">"$#REF!.$A$1287:$A$1326"</definedName>
    <definedName name="value" localSheetId="0">#REF!</definedName>
    <definedName name="value">#REF!</definedName>
    <definedName name="VISAGE">"$#REF!.$A$597:$A$623"</definedName>
    <definedName name="YGMB_AIR">"$#REF!.$A$419:$A$452"</definedName>
  </definedNames>
  <calcPr calcId="162913"/>
</workbook>
</file>

<file path=xl/calcChain.xml><?xml version="1.0" encoding="utf-8"?>
<calcChain xmlns="http://schemas.openxmlformats.org/spreadsheetml/2006/main">
  <c r="O9" i="79" l="1"/>
  <c r="N9" i="79"/>
  <c r="X14" i="79"/>
  <c r="X12" i="79"/>
  <c r="X10" i="79"/>
  <c r="K37" i="79" l="1"/>
  <c r="G37" i="79"/>
  <c r="F37" i="79"/>
  <c r="K31" i="79"/>
  <c r="N32" i="79" s="1"/>
  <c r="N35" i="79" s="1"/>
  <c r="O4" i="79" s="1"/>
  <c r="G31" i="79"/>
  <c r="F31" i="79"/>
  <c r="J30" i="79"/>
  <c r="I30" i="79"/>
  <c r="H30" i="79"/>
  <c r="J26" i="79"/>
  <c r="J38" i="79" s="1"/>
  <c r="J39" i="79" s="1"/>
  <c r="J40" i="79" s="1"/>
  <c r="I26" i="79"/>
  <c r="I38" i="79" s="1"/>
  <c r="I39" i="79" s="1"/>
  <c r="I40" i="79" s="1"/>
  <c r="H26" i="79"/>
  <c r="C26" i="79"/>
  <c r="K25" i="79"/>
  <c r="E25" i="79"/>
  <c r="D25" i="79"/>
  <c r="W24" i="79"/>
  <c r="K24" i="79"/>
  <c r="E24" i="79"/>
  <c r="D24" i="79"/>
  <c r="K23" i="79"/>
  <c r="L23" i="79" s="1"/>
  <c r="E23" i="79"/>
  <c r="D23" i="79"/>
  <c r="W22" i="79"/>
  <c r="K22" i="79"/>
  <c r="L22" i="79" s="1"/>
  <c r="E22" i="79"/>
  <c r="D22" i="79"/>
  <c r="K21" i="79"/>
  <c r="E21" i="79"/>
  <c r="D21" i="79"/>
  <c r="W20" i="79"/>
  <c r="K20" i="79"/>
  <c r="N20" i="79" s="1"/>
  <c r="P20" i="79" s="1"/>
  <c r="E20" i="79"/>
  <c r="D20" i="79"/>
  <c r="W19" i="79"/>
  <c r="X19" i="79" s="1"/>
  <c r="K19" i="79"/>
  <c r="N19" i="79" s="1"/>
  <c r="P19" i="79" s="1"/>
  <c r="E19" i="79"/>
  <c r="D19" i="79"/>
  <c r="K18" i="79"/>
  <c r="N18" i="79" s="1"/>
  <c r="P18" i="79" s="1"/>
  <c r="E18" i="79"/>
  <c r="D18" i="79"/>
  <c r="W17" i="79"/>
  <c r="K17" i="79"/>
  <c r="N17" i="79" s="1"/>
  <c r="P17" i="79" s="1"/>
  <c r="E17" i="79"/>
  <c r="D17" i="79"/>
  <c r="J16" i="79"/>
  <c r="J36" i="79" s="1"/>
  <c r="I16" i="79"/>
  <c r="I36" i="79" s="1"/>
  <c r="H16" i="79"/>
  <c r="H36" i="79" s="1"/>
  <c r="M14" i="79"/>
  <c r="K14" i="79"/>
  <c r="L14" i="79" s="1"/>
  <c r="W14" i="79" s="1"/>
  <c r="E14" i="79"/>
  <c r="D14" i="79"/>
  <c r="W13" i="79"/>
  <c r="N13" i="79" s="1"/>
  <c r="O13" i="79"/>
  <c r="M13" i="79"/>
  <c r="K13" i="79"/>
  <c r="D13" i="79"/>
  <c r="M12" i="79"/>
  <c r="K12" i="79"/>
  <c r="L12" i="79" s="1"/>
  <c r="W12" i="79" s="1"/>
  <c r="E12" i="79"/>
  <c r="D12" i="79"/>
  <c r="W11" i="79"/>
  <c r="N11" i="79" s="1"/>
  <c r="O11" i="79"/>
  <c r="M11" i="79"/>
  <c r="K11" i="79"/>
  <c r="C11" i="79" s="1"/>
  <c r="D11" i="79"/>
  <c r="M10" i="79"/>
  <c r="K10" i="79"/>
  <c r="L10" i="79" s="1"/>
  <c r="W10" i="79" s="1"/>
  <c r="E10" i="79"/>
  <c r="D10" i="79"/>
  <c r="W9" i="79"/>
  <c r="M9" i="79"/>
  <c r="K9" i="79"/>
  <c r="E9" i="79" s="1"/>
  <c r="D9" i="79"/>
  <c r="H4" i="79"/>
  <c r="D4" i="79"/>
  <c r="L18" i="79" l="1"/>
  <c r="O19" i="79"/>
  <c r="Q19" i="79" s="1"/>
  <c r="X22" i="79"/>
  <c r="N23" i="79"/>
  <c r="O23" i="79" s="1"/>
  <c r="Q23" i="79" s="1"/>
  <c r="X24" i="79"/>
  <c r="L17" i="79"/>
  <c r="O20" i="79"/>
  <c r="Q20" i="79" s="1"/>
  <c r="N22" i="79"/>
  <c r="P22" i="79" s="1"/>
  <c r="X17" i="79"/>
  <c r="L11" i="79"/>
  <c r="Q11" i="79"/>
  <c r="E11" i="79"/>
  <c r="P9" i="79"/>
  <c r="P11" i="79"/>
  <c r="N10" i="79"/>
  <c r="P10" i="79" s="1"/>
  <c r="V10" i="79"/>
  <c r="O10" i="79" s="1"/>
  <c r="Q10" i="79" s="1"/>
  <c r="V14" i="79"/>
  <c r="O14" i="79" s="1"/>
  <c r="Q14" i="79" s="1"/>
  <c r="N14" i="79"/>
  <c r="P14" i="79" s="1"/>
  <c r="B9" i="79"/>
  <c r="Q9" i="79"/>
  <c r="N21" i="79"/>
  <c r="L21" i="79"/>
  <c r="N25" i="79"/>
  <c r="L25" i="79"/>
  <c r="V12" i="79"/>
  <c r="O12" i="79" s="1"/>
  <c r="Q12" i="79" s="1"/>
  <c r="N12" i="79"/>
  <c r="P12" i="79" s="1"/>
  <c r="Q13" i="79"/>
  <c r="E26" i="79"/>
  <c r="L9" i="79"/>
  <c r="P23" i="79"/>
  <c r="N24" i="79"/>
  <c r="L24" i="79"/>
  <c r="O17" i="79"/>
  <c r="Q17" i="79" s="1"/>
  <c r="O18" i="79"/>
  <c r="Q18" i="79" s="1"/>
  <c r="L19" i="79"/>
  <c r="L20" i="79"/>
  <c r="H38" i="79"/>
  <c r="Z20" i="76"/>
  <c r="Y20" i="76" s="1"/>
  <c r="Z18" i="76"/>
  <c r="Y18" i="76" s="1"/>
  <c r="Z16" i="76"/>
  <c r="Y16" i="76" s="1"/>
  <c r="Z14" i="76"/>
  <c r="Y14" i="76" s="1"/>
  <c r="Z12" i="76"/>
  <c r="Y12" i="76" s="1"/>
  <c r="Y10" i="76"/>
  <c r="Z10" i="76"/>
  <c r="A10" i="79" l="1"/>
  <c r="B10" i="79" s="1"/>
  <c r="A11" i="79" s="1"/>
  <c r="B11" i="79" s="1"/>
  <c r="A12" i="79" s="1"/>
  <c r="B12" i="79" s="1"/>
  <c r="A13" i="79" s="1"/>
  <c r="B13" i="79" s="1"/>
  <c r="A14" i="79" s="1"/>
  <c r="B14" i="79" s="1"/>
  <c r="A17" i="79" s="1"/>
  <c r="B17" i="79" s="1"/>
  <c r="L26" i="79"/>
  <c r="O22" i="79"/>
  <c r="Q22" i="79" s="1"/>
  <c r="P13" i="79"/>
  <c r="J15" i="79"/>
  <c r="L13" i="79"/>
  <c r="C15" i="79"/>
  <c r="C28" i="79" s="1"/>
  <c r="H39" i="79"/>
  <c r="H40" i="79" s="1"/>
  <c r="K38" i="79"/>
  <c r="K39" i="79" s="1"/>
  <c r="K40" i="79" s="1"/>
  <c r="O24" i="79"/>
  <c r="Q24" i="79" s="1"/>
  <c r="P24" i="79"/>
  <c r="O25" i="79"/>
  <c r="Q25" i="79" s="1"/>
  <c r="P25" i="79"/>
  <c r="E13" i="79"/>
  <c r="E15" i="79" s="1"/>
  <c r="E28" i="79" s="1"/>
  <c r="O21" i="79"/>
  <c r="Q21" i="79" s="1"/>
  <c r="P21" i="79"/>
  <c r="H15" i="79"/>
  <c r="I15" i="79"/>
  <c r="Q15" i="79"/>
  <c r="I12" i="76"/>
  <c r="Q26" i="79" l="1"/>
  <c r="P26" i="79"/>
  <c r="L15" i="79"/>
  <c r="L28" i="79" s="1"/>
  <c r="Q28" i="79"/>
  <c r="O7" i="79" s="1"/>
  <c r="A18" i="79"/>
  <c r="B18" i="79" s="1"/>
  <c r="A20" i="79" s="1"/>
  <c r="B20" i="79" s="1"/>
  <c r="A21" i="79" s="1"/>
  <c r="B21" i="79" s="1"/>
  <c r="A22" i="79" s="1"/>
  <c r="B22" i="79" s="1"/>
  <c r="A23" i="79" s="1"/>
  <c r="B23" i="79" s="1"/>
  <c r="A24" i="79" s="1"/>
  <c r="B24" i="79" s="1"/>
  <c r="A25" i="79" s="1"/>
  <c r="B25" i="79" s="1"/>
  <c r="A19" i="79"/>
  <c r="B19" i="79" s="1"/>
  <c r="I32" i="79"/>
  <c r="I33" i="79" s="1"/>
  <c r="I34" i="79" s="1"/>
  <c r="I28" i="79"/>
  <c r="J32" i="79"/>
  <c r="J33" i="79" s="1"/>
  <c r="J34" i="79" s="1"/>
  <c r="J28" i="79"/>
  <c r="H32" i="79"/>
  <c r="H28" i="79"/>
  <c r="P15" i="79"/>
  <c r="P28" i="79" s="1"/>
  <c r="H7" i="79" s="1"/>
  <c r="Z19" i="76"/>
  <c r="Z17" i="76"/>
  <c r="Z15" i="76"/>
  <c r="Z13" i="76"/>
  <c r="Z11" i="76"/>
  <c r="Z9" i="76"/>
  <c r="Q9" i="76" s="1"/>
  <c r="P10" i="76"/>
  <c r="Q10" i="76"/>
  <c r="R10" i="76"/>
  <c r="P11" i="76"/>
  <c r="R11" i="76"/>
  <c r="P12" i="76"/>
  <c r="Q12" i="76"/>
  <c r="R12" i="76"/>
  <c r="P13" i="76"/>
  <c r="R13" i="76"/>
  <c r="P14" i="76"/>
  <c r="Q14" i="76"/>
  <c r="R14" i="76"/>
  <c r="P15" i="76"/>
  <c r="R15" i="76"/>
  <c r="P16" i="76"/>
  <c r="Q16" i="76"/>
  <c r="R16" i="76"/>
  <c r="P17" i="76"/>
  <c r="R17" i="76"/>
  <c r="P18" i="76"/>
  <c r="Q18" i="76"/>
  <c r="R18" i="76"/>
  <c r="P19" i="76"/>
  <c r="R19" i="76"/>
  <c r="P20" i="76"/>
  <c r="Q20" i="76"/>
  <c r="R20" i="76"/>
  <c r="R9" i="76"/>
  <c r="P9" i="76"/>
  <c r="K32" i="79" l="1"/>
  <c r="H33" i="79"/>
  <c r="H34" i="79" s="1"/>
  <c r="D4" i="76"/>
  <c r="K33" i="79" l="1"/>
  <c r="K34" i="79" s="1"/>
  <c r="O32" i="79"/>
  <c r="N9" i="76"/>
  <c r="D10" i="76"/>
  <c r="D11" i="76"/>
  <c r="D12" i="76"/>
  <c r="D13" i="76"/>
  <c r="D14" i="76"/>
  <c r="D15" i="76"/>
  <c r="D16" i="76"/>
  <c r="D17" i="76"/>
  <c r="D18" i="76"/>
  <c r="D19" i="76"/>
  <c r="D20" i="76"/>
  <c r="D9" i="76"/>
  <c r="O35" i="79" l="1"/>
  <c r="P32" i="79"/>
  <c r="Q32" i="79" s="1"/>
  <c r="C9" i="76"/>
  <c r="N41" i="78"/>
  <c r="G41" i="78"/>
  <c r="F41" i="78"/>
  <c r="K36" i="78"/>
  <c r="K37" i="78" s="1"/>
  <c r="K38" i="78" s="1"/>
  <c r="N35" i="78"/>
  <c r="Q36" i="78" s="1"/>
  <c r="Q39" i="78" s="1"/>
  <c r="R2" i="78" s="1"/>
  <c r="G35" i="78"/>
  <c r="F35" i="78"/>
  <c r="M34" i="78"/>
  <c r="L34" i="78"/>
  <c r="K34" i="78"/>
  <c r="J34" i="78"/>
  <c r="I34" i="78"/>
  <c r="H34" i="78"/>
  <c r="M32" i="78"/>
  <c r="K30" i="78"/>
  <c r="K32" i="78" s="1"/>
  <c r="J30" i="78"/>
  <c r="J32" i="78" s="1"/>
  <c r="I30" i="78"/>
  <c r="I32" i="78" s="1"/>
  <c r="H30" i="78"/>
  <c r="H32" i="78" s="1"/>
  <c r="C30" i="78"/>
  <c r="C32" i="78" s="1"/>
  <c r="N29" i="78"/>
  <c r="Q29" i="78" s="1"/>
  <c r="E29" i="78"/>
  <c r="D29" i="78"/>
  <c r="Z28" i="78"/>
  <c r="AA28" i="78" s="1"/>
  <c r="Q28" i="78"/>
  <c r="S28" i="78" s="1"/>
  <c r="O28" i="78"/>
  <c r="N28" i="78"/>
  <c r="E28" i="78"/>
  <c r="D28" i="78"/>
  <c r="N27" i="78"/>
  <c r="Q27" i="78" s="1"/>
  <c r="E27" i="78"/>
  <c r="D27" i="78"/>
  <c r="Z26" i="78"/>
  <c r="N26" i="78"/>
  <c r="AA26" i="78" s="1"/>
  <c r="E26" i="78"/>
  <c r="D26" i="78"/>
  <c r="Q25" i="78"/>
  <c r="S25" i="78" s="1"/>
  <c r="N25" i="78"/>
  <c r="O25" i="78" s="1"/>
  <c r="E25" i="78"/>
  <c r="D25" i="78"/>
  <c r="Z24" i="78"/>
  <c r="O24" i="78"/>
  <c r="N24" i="78"/>
  <c r="Q24" i="78" s="1"/>
  <c r="E24" i="78"/>
  <c r="D24" i="78"/>
  <c r="AA23" i="78"/>
  <c r="Z23" i="78"/>
  <c r="T23" i="78"/>
  <c r="R23" i="78"/>
  <c r="Q23" i="78"/>
  <c r="S23" i="78" s="1"/>
  <c r="O23" i="78"/>
  <c r="N23" i="78"/>
  <c r="E23" i="78"/>
  <c r="D23" i="78"/>
  <c r="O22" i="78"/>
  <c r="N22" i="78"/>
  <c r="Q22" i="78" s="1"/>
  <c r="E22" i="78"/>
  <c r="D22" i="78"/>
  <c r="AA21" i="78"/>
  <c r="Z21" i="78"/>
  <c r="O21" i="78"/>
  <c r="N21" i="78"/>
  <c r="Q21" i="78" s="1"/>
  <c r="E21" i="78"/>
  <c r="E30" i="78" s="1"/>
  <c r="D21" i="78"/>
  <c r="K20" i="78"/>
  <c r="K40" i="78" s="1"/>
  <c r="J20" i="78"/>
  <c r="J40" i="78" s="1"/>
  <c r="I20" i="78"/>
  <c r="I40" i="78" s="1"/>
  <c r="H20" i="78"/>
  <c r="H40" i="78" s="1"/>
  <c r="M19" i="78"/>
  <c r="M36" i="78" s="1"/>
  <c r="M37" i="78" s="1"/>
  <c r="M38" i="78" s="1"/>
  <c r="L19" i="78"/>
  <c r="L32" i="78" s="1"/>
  <c r="K19" i="78"/>
  <c r="J19" i="78"/>
  <c r="J36" i="78" s="1"/>
  <c r="J37" i="78" s="1"/>
  <c r="J38" i="78" s="1"/>
  <c r="I19" i="78"/>
  <c r="I36" i="78" s="1"/>
  <c r="I37" i="78" s="1"/>
  <c r="I38" i="78" s="1"/>
  <c r="H19" i="78"/>
  <c r="H36" i="78" s="1"/>
  <c r="C19" i="78"/>
  <c r="N18" i="78"/>
  <c r="Q18" i="78" s="1"/>
  <c r="E18" i="78"/>
  <c r="D18" i="78"/>
  <c r="Z17" i="78"/>
  <c r="AA17" i="78" s="1"/>
  <c r="N17" i="78"/>
  <c r="Q17" i="78" s="1"/>
  <c r="E17" i="78"/>
  <c r="D17" i="78"/>
  <c r="Q16" i="78"/>
  <c r="S16" i="78" s="1"/>
  <c r="N16" i="78"/>
  <c r="O16" i="78" s="1"/>
  <c r="E16" i="78"/>
  <c r="D16" i="78"/>
  <c r="Z15" i="78"/>
  <c r="AA15" i="78" s="1"/>
  <c r="Q15" i="78"/>
  <c r="S15" i="78" s="1"/>
  <c r="N15" i="78"/>
  <c r="O15" i="78" s="1"/>
  <c r="E15" i="78"/>
  <c r="D15" i="78"/>
  <c r="N14" i="78"/>
  <c r="Q14" i="78" s="1"/>
  <c r="E14" i="78"/>
  <c r="D14" i="78"/>
  <c r="Z13" i="78"/>
  <c r="AA13" i="78" s="1"/>
  <c r="N13" i="78"/>
  <c r="Q13" i="78" s="1"/>
  <c r="E13" i="78"/>
  <c r="D13" i="78"/>
  <c r="Q12" i="78"/>
  <c r="S12" i="78" s="1"/>
  <c r="N12" i="78"/>
  <c r="O12" i="78" s="1"/>
  <c r="E12" i="78"/>
  <c r="D12" i="78"/>
  <c r="Z11" i="78"/>
  <c r="AA11" i="78" s="1"/>
  <c r="Q11" i="78"/>
  <c r="S11" i="78" s="1"/>
  <c r="N11" i="78"/>
  <c r="O11" i="78" s="1"/>
  <c r="E11" i="78"/>
  <c r="D11" i="78"/>
  <c r="N10" i="78"/>
  <c r="Q10" i="78" s="1"/>
  <c r="E10" i="78"/>
  <c r="D10" i="78"/>
  <c r="Z9" i="78"/>
  <c r="AA9" i="78" s="1"/>
  <c r="N9" i="78"/>
  <c r="Q9" i="78" s="1"/>
  <c r="E9" i="78"/>
  <c r="D9" i="78"/>
  <c r="Q8" i="78"/>
  <c r="S8" i="78" s="1"/>
  <c r="N8" i="78"/>
  <c r="O8" i="78" s="1"/>
  <c r="E8" i="78"/>
  <c r="D8" i="78"/>
  <c r="A8" i="78"/>
  <c r="B8" i="78" s="1"/>
  <c r="A9" i="78" s="1"/>
  <c r="B9" i="78" s="1"/>
  <c r="A10" i="78" s="1"/>
  <c r="B10" i="78" s="1"/>
  <c r="A11" i="78" s="1"/>
  <c r="B11" i="78" s="1"/>
  <c r="A12" i="78" s="1"/>
  <c r="B12" i="78" s="1"/>
  <c r="A13" i="78" s="1"/>
  <c r="B13" i="78" s="1"/>
  <c r="A14" i="78" s="1"/>
  <c r="B14" i="78" s="1"/>
  <c r="A15" i="78" s="1"/>
  <c r="B15" i="78" s="1"/>
  <c r="A16" i="78" s="1"/>
  <c r="B16" i="78" s="1"/>
  <c r="A17" i="78" s="1"/>
  <c r="B17" i="78" s="1"/>
  <c r="A18" i="78" s="1"/>
  <c r="B18" i="78" s="1"/>
  <c r="A21" i="78" s="1"/>
  <c r="B21" i="78" s="1"/>
  <c r="Z7" i="78"/>
  <c r="AA7" i="78" s="1"/>
  <c r="Q7" i="78"/>
  <c r="S7" i="78" s="1"/>
  <c r="N7" i="78"/>
  <c r="O7" i="78" s="1"/>
  <c r="E7" i="78"/>
  <c r="E19" i="78" s="1"/>
  <c r="D7" i="78"/>
  <c r="B7" i="78"/>
  <c r="L2" i="78"/>
  <c r="D2" i="78"/>
  <c r="N41" i="77"/>
  <c r="G41" i="77"/>
  <c r="F41" i="77"/>
  <c r="N35" i="77"/>
  <c r="Q36" i="77" s="1"/>
  <c r="Q39" i="77" s="1"/>
  <c r="R2" i="77" s="1"/>
  <c r="G35" i="77"/>
  <c r="F35" i="77"/>
  <c r="M34" i="77"/>
  <c r="L34" i="77"/>
  <c r="K34" i="77"/>
  <c r="J34" i="77"/>
  <c r="I34" i="77"/>
  <c r="H34" i="77"/>
  <c r="K30" i="77"/>
  <c r="K42" i="77" s="1"/>
  <c r="K43" i="77" s="1"/>
  <c r="K44" i="77" s="1"/>
  <c r="J30" i="77"/>
  <c r="I30" i="77"/>
  <c r="H30" i="77"/>
  <c r="C30" i="77"/>
  <c r="N29" i="77"/>
  <c r="Q29" i="77" s="1"/>
  <c r="E29" i="77"/>
  <c r="D29" i="77"/>
  <c r="Z28" i="77"/>
  <c r="AA28" i="77" s="1"/>
  <c r="O28" i="77"/>
  <c r="N28" i="77"/>
  <c r="Q28" i="77" s="1"/>
  <c r="E28" i="77"/>
  <c r="D28" i="77"/>
  <c r="R27" i="77"/>
  <c r="T27" i="77" s="1"/>
  <c r="Q27" i="77"/>
  <c r="S27" i="77" s="1"/>
  <c r="N27" i="77"/>
  <c r="O27" i="77" s="1"/>
  <c r="E27" i="77"/>
  <c r="D27" i="77"/>
  <c r="AA26" i="77"/>
  <c r="Z26" i="77"/>
  <c r="Q26" i="77"/>
  <c r="S26" i="77" s="1"/>
  <c r="O26" i="77"/>
  <c r="N26" i="77"/>
  <c r="E26" i="77"/>
  <c r="D26" i="77"/>
  <c r="O25" i="77"/>
  <c r="N25" i="77"/>
  <c r="Q25" i="77" s="1"/>
  <c r="E25" i="77"/>
  <c r="D25" i="77"/>
  <c r="Z24" i="77"/>
  <c r="O24" i="77"/>
  <c r="N24" i="77"/>
  <c r="Q24" i="77" s="1"/>
  <c r="E24" i="77"/>
  <c r="D24" i="77"/>
  <c r="Z23" i="77"/>
  <c r="N23" i="77"/>
  <c r="AA23" i="77" s="1"/>
  <c r="E23" i="77"/>
  <c r="D23" i="77"/>
  <c r="Q22" i="77"/>
  <c r="S22" i="77" s="1"/>
  <c r="O22" i="77"/>
  <c r="N22" i="77"/>
  <c r="E22" i="77"/>
  <c r="D22" i="77"/>
  <c r="Z21" i="77"/>
  <c r="AA21" i="77" s="1"/>
  <c r="O21" i="77"/>
  <c r="N21" i="77"/>
  <c r="Q21" i="77" s="1"/>
  <c r="E21" i="77"/>
  <c r="E30" i="77" s="1"/>
  <c r="D21" i="77"/>
  <c r="K20" i="77"/>
  <c r="K40" i="77" s="1"/>
  <c r="J20" i="77"/>
  <c r="J40" i="77" s="1"/>
  <c r="I20" i="77"/>
  <c r="I40" i="77" s="1"/>
  <c r="H20" i="77"/>
  <c r="H40" i="77" s="1"/>
  <c r="M19" i="77"/>
  <c r="M36" i="77" s="1"/>
  <c r="M37" i="77" s="1"/>
  <c r="M38" i="77" s="1"/>
  <c r="L19" i="77"/>
  <c r="L36" i="77" s="1"/>
  <c r="L37" i="77" s="1"/>
  <c r="L38" i="77" s="1"/>
  <c r="K19" i="77"/>
  <c r="K32" i="77" s="1"/>
  <c r="J19" i="77"/>
  <c r="J36" i="77" s="1"/>
  <c r="J37" i="77" s="1"/>
  <c r="J38" i="77" s="1"/>
  <c r="I19" i="77"/>
  <c r="I36" i="77" s="1"/>
  <c r="I37" i="77" s="1"/>
  <c r="I38" i="77" s="1"/>
  <c r="H19" i="77"/>
  <c r="H36" i="77" s="1"/>
  <c r="C19" i="77"/>
  <c r="C32" i="77" s="1"/>
  <c r="N18" i="77"/>
  <c r="O18" i="77" s="1"/>
  <c r="E18" i="77"/>
  <c r="D18" i="77"/>
  <c r="Z17" i="77"/>
  <c r="AA17" i="77" s="1"/>
  <c r="Q17" i="77"/>
  <c r="S17" i="77" s="1"/>
  <c r="N17" i="77"/>
  <c r="O17" i="77" s="1"/>
  <c r="E17" i="77"/>
  <c r="D17" i="77"/>
  <c r="N16" i="77"/>
  <c r="Q16" i="77" s="1"/>
  <c r="E16" i="77"/>
  <c r="D16" i="77"/>
  <c r="Z15" i="77"/>
  <c r="AA15" i="77" s="1"/>
  <c r="O15" i="77"/>
  <c r="N15" i="77"/>
  <c r="Q15" i="77" s="1"/>
  <c r="E15" i="77"/>
  <c r="D15" i="77"/>
  <c r="N14" i="77"/>
  <c r="O14" i="77" s="1"/>
  <c r="E14" i="77"/>
  <c r="D14" i="77"/>
  <c r="AA13" i="77"/>
  <c r="Z13" i="77"/>
  <c r="Q13" i="77"/>
  <c r="S13" i="77" s="1"/>
  <c r="O13" i="77"/>
  <c r="N13" i="77"/>
  <c r="E13" i="77"/>
  <c r="D13" i="77"/>
  <c r="O12" i="77"/>
  <c r="N12" i="77"/>
  <c r="Q12" i="77" s="1"/>
  <c r="E12" i="77"/>
  <c r="D12" i="77"/>
  <c r="Z11" i="77"/>
  <c r="N11" i="77"/>
  <c r="Q11" i="77" s="1"/>
  <c r="E11" i="77"/>
  <c r="D11" i="77"/>
  <c r="Q10" i="77"/>
  <c r="S10" i="77" s="1"/>
  <c r="N10" i="77"/>
  <c r="O10" i="77" s="1"/>
  <c r="E10" i="77"/>
  <c r="D10" i="77"/>
  <c r="Z9" i="77"/>
  <c r="AA9" i="77" s="1"/>
  <c r="R9" i="77"/>
  <c r="T9" i="77" s="1"/>
  <c r="Q9" i="77"/>
  <c r="S9" i="77" s="1"/>
  <c r="N9" i="77"/>
  <c r="O9" i="77" s="1"/>
  <c r="E9" i="77"/>
  <c r="D9" i="77"/>
  <c r="N8" i="77"/>
  <c r="Q8" i="77" s="1"/>
  <c r="E8" i="77"/>
  <c r="D8" i="77"/>
  <c r="Z7" i="77"/>
  <c r="AA7" i="77" s="1"/>
  <c r="O7" i="77"/>
  <c r="N7" i="77"/>
  <c r="Q7" i="77" s="1"/>
  <c r="E7" i="77"/>
  <c r="D7" i="77"/>
  <c r="B7" i="77"/>
  <c r="A8" i="77" s="1"/>
  <c r="B8" i="77" s="1"/>
  <c r="A9" i="77" s="1"/>
  <c r="B9" i="77" s="1"/>
  <c r="A10" i="77" s="1"/>
  <c r="B10" i="77" s="1"/>
  <c r="A11" i="77" s="1"/>
  <c r="B11" i="77" s="1"/>
  <c r="A12" i="77" s="1"/>
  <c r="B12" i="77" s="1"/>
  <c r="A13" i="77" s="1"/>
  <c r="B13" i="77" s="1"/>
  <c r="A14" i="77" s="1"/>
  <c r="B14" i="77" s="1"/>
  <c r="A15" i="77" s="1"/>
  <c r="B15" i="77" s="1"/>
  <c r="A16" i="77" s="1"/>
  <c r="B16" i="77" s="1"/>
  <c r="A17" i="77" s="1"/>
  <c r="B17" i="77" s="1"/>
  <c r="A18" i="77" s="1"/>
  <c r="B18" i="77" s="1"/>
  <c r="A21" i="77" s="1"/>
  <c r="B21" i="77" s="1"/>
  <c r="L2" i="77"/>
  <c r="D2" i="77"/>
  <c r="N10" i="76"/>
  <c r="N11" i="76"/>
  <c r="C11" i="76" s="1"/>
  <c r="N12" i="76"/>
  <c r="N13" i="76"/>
  <c r="C13" i="76" s="1"/>
  <c r="N14" i="76"/>
  <c r="N15" i="76"/>
  <c r="N16" i="76"/>
  <c r="N17" i="76"/>
  <c r="N18" i="76"/>
  <c r="N19" i="76"/>
  <c r="N20" i="76"/>
  <c r="P35" i="79" l="1"/>
  <c r="O5" i="79"/>
  <c r="T9" i="76"/>
  <c r="S9" i="76"/>
  <c r="O9" i="76"/>
  <c r="C19" i="76"/>
  <c r="C17" i="76"/>
  <c r="E17" i="76" s="1"/>
  <c r="C15" i="76"/>
  <c r="E15" i="76" s="1"/>
  <c r="E9" i="76"/>
  <c r="R9" i="78"/>
  <c r="T9" i="78" s="1"/>
  <c r="S9" i="78"/>
  <c r="S13" i="78"/>
  <c r="R13" i="78"/>
  <c r="T13" i="78" s="1"/>
  <c r="R17" i="78"/>
  <c r="T17" i="78" s="1"/>
  <c r="S17" i="78"/>
  <c r="R22" i="78"/>
  <c r="T22" i="78" s="1"/>
  <c r="S22" i="78"/>
  <c r="A23" i="78"/>
  <c r="B23" i="78" s="1"/>
  <c r="A22" i="78"/>
  <c r="B22" i="78" s="1"/>
  <c r="A24" i="78" s="1"/>
  <c r="B24" i="78" s="1"/>
  <c r="A25" i="78" s="1"/>
  <c r="B25" i="78" s="1"/>
  <c r="A26" i="78" s="1"/>
  <c r="B26" i="78" s="1"/>
  <c r="A27" i="78" s="1"/>
  <c r="B27" i="78" s="1"/>
  <c r="A28" i="78" s="1"/>
  <c r="B28" i="78" s="1"/>
  <c r="A29" i="78" s="1"/>
  <c r="B29" i="78" s="1"/>
  <c r="E32" i="78"/>
  <c r="S21" i="78"/>
  <c r="R21" i="78"/>
  <c r="T21" i="78" s="1"/>
  <c r="R27" i="78"/>
  <c r="T27" i="78" s="1"/>
  <c r="S27" i="78"/>
  <c r="S29" i="78"/>
  <c r="R29" i="78"/>
  <c r="T29" i="78" s="1"/>
  <c r="H37" i="78"/>
  <c r="H38" i="78" s="1"/>
  <c r="S10" i="78"/>
  <c r="R10" i="78"/>
  <c r="T10" i="78" s="1"/>
  <c r="R14" i="78"/>
  <c r="T14" i="78" s="1"/>
  <c r="S14" i="78"/>
  <c r="S19" i="78" s="1"/>
  <c r="S18" i="78"/>
  <c r="R18" i="78"/>
  <c r="T18" i="78" s="1"/>
  <c r="S24" i="78"/>
  <c r="R24" i="78"/>
  <c r="T24" i="78" s="1"/>
  <c r="R7" i="78"/>
  <c r="T7" i="78" s="1"/>
  <c r="O10" i="78"/>
  <c r="R12" i="78"/>
  <c r="T12" i="78" s="1"/>
  <c r="O13" i="78"/>
  <c r="O19" i="78" s="1"/>
  <c r="R15" i="78"/>
  <c r="T15" i="78" s="1"/>
  <c r="O18" i="78"/>
  <c r="R25" i="78"/>
  <c r="T25" i="78" s="1"/>
  <c r="O26" i="78"/>
  <c r="R28" i="78"/>
  <c r="T28" i="78" s="1"/>
  <c r="L36" i="78"/>
  <c r="L37" i="78" s="1"/>
  <c r="L38" i="78" s="1"/>
  <c r="H42" i="78"/>
  <c r="Q26" i="78"/>
  <c r="I42" i="78"/>
  <c r="I43" i="78" s="1"/>
  <c r="I44" i="78" s="1"/>
  <c r="O29" i="78"/>
  <c r="J42" i="78"/>
  <c r="J43" i="78" s="1"/>
  <c r="J44" i="78" s="1"/>
  <c r="K42" i="78"/>
  <c r="K43" i="78" s="1"/>
  <c r="K44" i="78" s="1"/>
  <c r="R8" i="78"/>
  <c r="T8" i="78" s="1"/>
  <c r="O9" i="78"/>
  <c r="R11" i="78"/>
  <c r="T11" i="78" s="1"/>
  <c r="O14" i="78"/>
  <c r="R16" i="78"/>
  <c r="T16" i="78" s="1"/>
  <c r="O17" i="78"/>
  <c r="O27" i="78"/>
  <c r="O30" i="78" s="1"/>
  <c r="O32" i="78" s="1"/>
  <c r="Q14" i="77"/>
  <c r="Q18" i="77"/>
  <c r="S18" i="77" s="1"/>
  <c r="R17" i="77"/>
  <c r="T17" i="77" s="1"/>
  <c r="I32" i="77"/>
  <c r="L32" i="77"/>
  <c r="J32" i="77"/>
  <c r="E19" i="77"/>
  <c r="E32" i="77" s="1"/>
  <c r="H32" i="77"/>
  <c r="S21" i="77"/>
  <c r="R21" i="77"/>
  <c r="T21" i="77" s="1"/>
  <c r="S29" i="77"/>
  <c r="R29" i="77"/>
  <c r="T29" i="77" s="1"/>
  <c r="S7" i="77"/>
  <c r="R7" i="77"/>
  <c r="T7" i="77" s="1"/>
  <c r="S12" i="77"/>
  <c r="R12" i="77"/>
  <c r="T12" i="77" s="1"/>
  <c r="S15" i="77"/>
  <c r="R15" i="77"/>
  <c r="T15" i="77" s="1"/>
  <c r="S25" i="77"/>
  <c r="R25" i="77"/>
  <c r="T25" i="77" s="1"/>
  <c r="S28" i="77"/>
  <c r="R28" i="77"/>
  <c r="T28" i="77" s="1"/>
  <c r="H37" i="77"/>
  <c r="H38" i="77" s="1"/>
  <c r="S8" i="77"/>
  <c r="R8" i="77"/>
  <c r="T8" i="77" s="1"/>
  <c r="A23" i="77"/>
  <c r="B23" i="77" s="1"/>
  <c r="A22" i="77"/>
  <c r="B22" i="77" s="1"/>
  <c r="A24" i="77" s="1"/>
  <c r="B24" i="77" s="1"/>
  <c r="A25" i="77" s="1"/>
  <c r="B25" i="77" s="1"/>
  <c r="A26" i="77" s="1"/>
  <c r="B26" i="77" s="1"/>
  <c r="A27" i="77" s="1"/>
  <c r="B27" i="77" s="1"/>
  <c r="A28" i="77" s="1"/>
  <c r="B28" i="77" s="1"/>
  <c r="A29" i="77" s="1"/>
  <c r="B29" i="77" s="1"/>
  <c r="S11" i="77"/>
  <c r="R11" i="77"/>
  <c r="T11" i="77" s="1"/>
  <c r="R24" i="77"/>
  <c r="T24" i="77" s="1"/>
  <c r="S24" i="77"/>
  <c r="S16" i="77"/>
  <c r="R16" i="77"/>
  <c r="T16" i="77" s="1"/>
  <c r="R22" i="77"/>
  <c r="T22" i="77" s="1"/>
  <c r="O23" i="77"/>
  <c r="O30" i="77" s="1"/>
  <c r="M32" i="77"/>
  <c r="K36" i="77"/>
  <c r="K37" i="77" s="1"/>
  <c r="K38" i="77" s="1"/>
  <c r="AA11" i="77"/>
  <c r="Q23" i="77"/>
  <c r="H42" i="77"/>
  <c r="I42" i="77"/>
  <c r="I43" i="77" s="1"/>
  <c r="I44" i="77" s="1"/>
  <c r="O8" i="77"/>
  <c r="R10" i="77"/>
  <c r="T10" i="77" s="1"/>
  <c r="O11" i="77"/>
  <c r="R13" i="77"/>
  <c r="T13" i="77" s="1"/>
  <c r="O16" i="77"/>
  <c r="R26" i="77"/>
  <c r="T26" i="77" s="1"/>
  <c r="O29" i="77"/>
  <c r="J42" i="77"/>
  <c r="J43" i="77" s="1"/>
  <c r="J44" i="77" s="1"/>
  <c r="E12" i="76"/>
  <c r="E14" i="76"/>
  <c r="O16" i="76"/>
  <c r="E16" i="76"/>
  <c r="L36" i="76"/>
  <c r="M36" i="76"/>
  <c r="L4" i="76"/>
  <c r="Z25" i="76"/>
  <c r="N25" i="76"/>
  <c r="E25" i="76"/>
  <c r="D25" i="76"/>
  <c r="Q35" i="79" l="1"/>
  <c r="O6" i="79"/>
  <c r="Q6" i="79" s="1"/>
  <c r="AA25" i="76"/>
  <c r="S26" i="78"/>
  <c r="S30" i="78" s="1"/>
  <c r="S32" i="78" s="1"/>
  <c r="L5" i="78" s="1"/>
  <c r="R26" i="78"/>
  <c r="T26" i="78" s="1"/>
  <c r="T30" i="78" s="1"/>
  <c r="T32" i="78" s="1"/>
  <c r="R5" i="78" s="1"/>
  <c r="H43" i="78"/>
  <c r="H44" i="78" s="1"/>
  <c r="N42" i="78"/>
  <c r="N43" i="78" s="1"/>
  <c r="N44" i="78" s="1"/>
  <c r="T19" i="78"/>
  <c r="N36" i="78"/>
  <c r="S14" i="77"/>
  <c r="R14" i="77"/>
  <c r="T14" i="77" s="1"/>
  <c r="R18" i="77"/>
  <c r="T18" i="77" s="1"/>
  <c r="T19" i="77" s="1"/>
  <c r="O19" i="77"/>
  <c r="O32" i="77" s="1"/>
  <c r="T30" i="77"/>
  <c r="S30" i="77"/>
  <c r="S23" i="77"/>
  <c r="R23" i="77"/>
  <c r="T23" i="77" s="1"/>
  <c r="N36" i="77"/>
  <c r="H43" i="77"/>
  <c r="H44" i="77" s="1"/>
  <c r="N42" i="77"/>
  <c r="N43" i="77" s="1"/>
  <c r="N44" i="77" s="1"/>
  <c r="S19" i="77"/>
  <c r="O12" i="76"/>
  <c r="O14" i="76"/>
  <c r="T15" i="76"/>
  <c r="O15" i="76"/>
  <c r="O17" i="76"/>
  <c r="T17" i="76"/>
  <c r="O25" i="76"/>
  <c r="Q25" i="76"/>
  <c r="S25" i="76" s="1"/>
  <c r="I32" i="76"/>
  <c r="I44" i="76" s="1"/>
  <c r="I45" i="76" s="1"/>
  <c r="I46" i="76" s="1"/>
  <c r="N43" i="76"/>
  <c r="G43" i="76"/>
  <c r="F43" i="76"/>
  <c r="N37" i="76"/>
  <c r="Q38" i="76" s="1"/>
  <c r="G37" i="76"/>
  <c r="F37" i="76"/>
  <c r="K36" i="76"/>
  <c r="J36" i="76"/>
  <c r="I36" i="76"/>
  <c r="H36" i="76"/>
  <c r="J32" i="76"/>
  <c r="J44" i="76" s="1"/>
  <c r="J45" i="76" s="1"/>
  <c r="J46" i="76" s="1"/>
  <c r="N31" i="76"/>
  <c r="O31" i="76" s="1"/>
  <c r="E31" i="76"/>
  <c r="D31" i="76"/>
  <c r="Z30" i="76"/>
  <c r="N30" i="76"/>
  <c r="O30" i="76" s="1"/>
  <c r="E30" i="76"/>
  <c r="D30" i="76"/>
  <c r="N29" i="76"/>
  <c r="O29" i="76" s="1"/>
  <c r="E29" i="76"/>
  <c r="D29" i="76"/>
  <c r="Z28" i="76"/>
  <c r="N28" i="76"/>
  <c r="Q28" i="76" s="1"/>
  <c r="E28" i="76"/>
  <c r="D28" i="76"/>
  <c r="N27" i="76"/>
  <c r="O27" i="76" s="1"/>
  <c r="E27" i="76"/>
  <c r="D27" i="76"/>
  <c r="Z26" i="76"/>
  <c r="N26" i="76"/>
  <c r="D26" i="76"/>
  <c r="N24" i="76"/>
  <c r="Q24" i="76" s="1"/>
  <c r="E24" i="76"/>
  <c r="D24" i="76"/>
  <c r="Z23" i="76"/>
  <c r="N23" i="76"/>
  <c r="O23" i="76" s="1"/>
  <c r="E23" i="76"/>
  <c r="D23" i="76"/>
  <c r="K22" i="76"/>
  <c r="K42" i="76" s="1"/>
  <c r="J22" i="76"/>
  <c r="J42" i="76" s="1"/>
  <c r="I22" i="76"/>
  <c r="I42" i="76" s="1"/>
  <c r="H22" i="76"/>
  <c r="H42" i="76" s="1"/>
  <c r="E20" i="76"/>
  <c r="E18" i="76"/>
  <c r="E11" i="76"/>
  <c r="E10" i="76"/>
  <c r="N44" i="75"/>
  <c r="Q40" i="75" s="1"/>
  <c r="G44" i="75"/>
  <c r="F44" i="75"/>
  <c r="N38" i="75"/>
  <c r="Q39" i="75" s="1"/>
  <c r="Q42" i="75" s="1"/>
  <c r="R2" i="75" s="1"/>
  <c r="G38" i="75"/>
  <c r="F38" i="75"/>
  <c r="M37" i="75"/>
  <c r="L37" i="75"/>
  <c r="K37" i="75"/>
  <c r="J37" i="75"/>
  <c r="I37" i="75"/>
  <c r="H37" i="75"/>
  <c r="M33" i="75"/>
  <c r="M35" i="75" s="1"/>
  <c r="L33" i="75"/>
  <c r="L45" i="75" s="1"/>
  <c r="L46" i="75" s="1"/>
  <c r="L47" i="75" s="1"/>
  <c r="K33" i="75"/>
  <c r="K45" i="75" s="1"/>
  <c r="K46" i="75" s="1"/>
  <c r="K47" i="75" s="1"/>
  <c r="J33" i="75"/>
  <c r="J45" i="75" s="1"/>
  <c r="J46" i="75" s="1"/>
  <c r="J47" i="75" s="1"/>
  <c r="I33" i="75"/>
  <c r="I45" i="75" s="1"/>
  <c r="I46" i="75" s="1"/>
  <c r="I47" i="75" s="1"/>
  <c r="H33" i="75"/>
  <c r="H35" i="75" s="1"/>
  <c r="C33" i="75"/>
  <c r="Q32" i="75"/>
  <c r="R32" i="75" s="1"/>
  <c r="T32" i="75" s="1"/>
  <c r="O32" i="75"/>
  <c r="N32" i="75"/>
  <c r="E32" i="75"/>
  <c r="D32" i="75"/>
  <c r="Z31" i="75"/>
  <c r="AA31" i="75" s="1"/>
  <c r="Q31" i="75"/>
  <c r="S31" i="75" s="1"/>
  <c r="O31" i="75"/>
  <c r="N31" i="75"/>
  <c r="E31" i="75"/>
  <c r="D31" i="75"/>
  <c r="N30" i="75"/>
  <c r="O30" i="75" s="1"/>
  <c r="E30" i="75"/>
  <c r="D30" i="75"/>
  <c r="Z29" i="75"/>
  <c r="S29" i="75"/>
  <c r="Q29" i="75"/>
  <c r="R29" i="75" s="1"/>
  <c r="T29" i="75" s="1"/>
  <c r="N29" i="75"/>
  <c r="O29" i="75" s="1"/>
  <c r="E29" i="75"/>
  <c r="D29" i="75"/>
  <c r="N28" i="75"/>
  <c r="Q28" i="75" s="1"/>
  <c r="E28" i="75"/>
  <c r="D28" i="75"/>
  <c r="Z27" i="75"/>
  <c r="AA27" i="75" s="1"/>
  <c r="S27" i="75"/>
  <c r="Q27" i="75"/>
  <c r="R27" i="75" s="1"/>
  <c r="T27" i="75" s="1"/>
  <c r="N27" i="75"/>
  <c r="O27" i="75" s="1"/>
  <c r="E27" i="75"/>
  <c r="D27" i="75"/>
  <c r="S26" i="75"/>
  <c r="Q26" i="75"/>
  <c r="R26" i="75" s="1"/>
  <c r="T26" i="75" s="1"/>
  <c r="N26" i="75"/>
  <c r="O26" i="75" s="1"/>
  <c r="E26" i="75"/>
  <c r="D26" i="75"/>
  <c r="Z25" i="75"/>
  <c r="AA25" i="75" s="1"/>
  <c r="Q25" i="75"/>
  <c r="S25" i="75" s="1"/>
  <c r="N25" i="75"/>
  <c r="O25" i="75" s="1"/>
  <c r="E25" i="75"/>
  <c r="D25" i="75"/>
  <c r="S24" i="75"/>
  <c r="Q24" i="75"/>
  <c r="R24" i="75" s="1"/>
  <c r="T24" i="75" s="1"/>
  <c r="N24" i="75"/>
  <c r="O24" i="75" s="1"/>
  <c r="E24" i="75"/>
  <c r="D24" i="75"/>
  <c r="Z23" i="75"/>
  <c r="AA23" i="75" s="1"/>
  <c r="N23" i="75"/>
  <c r="Q23" i="75" s="1"/>
  <c r="E23" i="75"/>
  <c r="D23" i="75"/>
  <c r="Q22" i="75"/>
  <c r="S22" i="75" s="1"/>
  <c r="N22" i="75"/>
  <c r="O22" i="75" s="1"/>
  <c r="E22" i="75"/>
  <c r="D22" i="75"/>
  <c r="Z21" i="75"/>
  <c r="AA21" i="75" s="1"/>
  <c r="S21" i="75"/>
  <c r="Q21" i="75"/>
  <c r="R21" i="75" s="1"/>
  <c r="T21" i="75" s="1"/>
  <c r="N21" i="75"/>
  <c r="O21" i="75" s="1"/>
  <c r="E21" i="75"/>
  <c r="E33" i="75" s="1"/>
  <c r="E35" i="75" s="1"/>
  <c r="D21" i="75"/>
  <c r="M20" i="75"/>
  <c r="M43" i="75" s="1"/>
  <c r="L20" i="75"/>
  <c r="L43" i="75" s="1"/>
  <c r="K20" i="75"/>
  <c r="K43" i="75" s="1"/>
  <c r="J20" i="75"/>
  <c r="J43" i="75" s="1"/>
  <c r="I20" i="75"/>
  <c r="I43" i="75" s="1"/>
  <c r="H20" i="75"/>
  <c r="H43" i="75" s="1"/>
  <c r="M19" i="75"/>
  <c r="M39" i="75" s="1"/>
  <c r="M40" i="75" s="1"/>
  <c r="M41" i="75" s="1"/>
  <c r="L19" i="75"/>
  <c r="L39" i="75" s="1"/>
  <c r="L40" i="75" s="1"/>
  <c r="L41" i="75" s="1"/>
  <c r="K19" i="75"/>
  <c r="K39" i="75" s="1"/>
  <c r="K40" i="75" s="1"/>
  <c r="K41" i="75" s="1"/>
  <c r="J19" i="75"/>
  <c r="J39" i="75" s="1"/>
  <c r="J40" i="75" s="1"/>
  <c r="J41" i="75" s="1"/>
  <c r="I19" i="75"/>
  <c r="I39" i="75" s="1"/>
  <c r="I40" i="75" s="1"/>
  <c r="I41" i="75" s="1"/>
  <c r="H19" i="75"/>
  <c r="H39" i="75" s="1"/>
  <c r="C19" i="75"/>
  <c r="C35" i="75" s="1"/>
  <c r="T18" i="75"/>
  <c r="R18" i="75"/>
  <c r="Q18" i="75"/>
  <c r="S18" i="75" s="1"/>
  <c r="O18" i="75"/>
  <c r="N18" i="75"/>
  <c r="E18" i="75"/>
  <c r="D18" i="75"/>
  <c r="AA17" i="75"/>
  <c r="Z17" i="75"/>
  <c r="T17" i="75"/>
  <c r="R17" i="75"/>
  <c r="Q17" i="75"/>
  <c r="S17" i="75" s="1"/>
  <c r="O17" i="75"/>
  <c r="N17" i="75"/>
  <c r="E17" i="75"/>
  <c r="D17" i="75"/>
  <c r="N16" i="75"/>
  <c r="Q16" i="75" s="1"/>
  <c r="E16" i="75"/>
  <c r="D16" i="75"/>
  <c r="AA15" i="75"/>
  <c r="Z15" i="75"/>
  <c r="Q15" i="75"/>
  <c r="S15" i="75" s="1"/>
  <c r="O15" i="75"/>
  <c r="N15" i="75"/>
  <c r="E15" i="75"/>
  <c r="D15" i="75"/>
  <c r="N14" i="75"/>
  <c r="Q14" i="75" s="1"/>
  <c r="E14" i="75"/>
  <c r="D14" i="75"/>
  <c r="Z13" i="75"/>
  <c r="N13" i="75"/>
  <c r="AA13" i="75" s="1"/>
  <c r="E13" i="75"/>
  <c r="D13" i="75"/>
  <c r="Q12" i="75"/>
  <c r="S12" i="75" s="1"/>
  <c r="O12" i="75"/>
  <c r="N12" i="75"/>
  <c r="E12" i="75"/>
  <c r="D12" i="75"/>
  <c r="Z11" i="75"/>
  <c r="AA11" i="75" s="1"/>
  <c r="N11" i="75"/>
  <c r="Q11" i="75" s="1"/>
  <c r="E11" i="75"/>
  <c r="D11" i="75"/>
  <c r="N10" i="75"/>
  <c r="Q10" i="75" s="1"/>
  <c r="E10" i="75"/>
  <c r="D10" i="75"/>
  <c r="Z9" i="75"/>
  <c r="AA9" i="75" s="1"/>
  <c r="N9" i="75"/>
  <c r="Q9" i="75" s="1"/>
  <c r="E9" i="75"/>
  <c r="D9" i="75"/>
  <c r="N8" i="75"/>
  <c r="Q8" i="75" s="1"/>
  <c r="E8" i="75"/>
  <c r="D8" i="75"/>
  <c r="Z7" i="75"/>
  <c r="AA7" i="75" s="1"/>
  <c r="Q7" i="75"/>
  <c r="S7" i="75" s="1"/>
  <c r="O7" i="75"/>
  <c r="N7" i="75"/>
  <c r="E7" i="75"/>
  <c r="E19" i="75" s="1"/>
  <c r="D7" i="75"/>
  <c r="B7" i="75"/>
  <c r="A8" i="75" s="1"/>
  <c r="B8" i="75" s="1"/>
  <c r="A9" i="75" s="1"/>
  <c r="B9" i="75" s="1"/>
  <c r="A10" i="75" s="1"/>
  <c r="B10" i="75" s="1"/>
  <c r="A11" i="75" s="1"/>
  <c r="B11" i="75" s="1"/>
  <c r="A12" i="75" s="1"/>
  <c r="B12" i="75" s="1"/>
  <c r="A13" i="75" s="1"/>
  <c r="B13" i="75" s="1"/>
  <c r="A14" i="75" s="1"/>
  <c r="B14" i="75" s="1"/>
  <c r="A15" i="75" s="1"/>
  <c r="B15" i="75" s="1"/>
  <c r="A16" i="75" s="1"/>
  <c r="B16" i="75" s="1"/>
  <c r="A17" i="75" s="1"/>
  <c r="B17" i="75" s="1"/>
  <c r="A18" i="75" s="1"/>
  <c r="B18" i="75" s="1"/>
  <c r="A21" i="75" s="1"/>
  <c r="B21" i="75" s="1"/>
  <c r="A22" i="75" s="1"/>
  <c r="B22" i="75" s="1"/>
  <c r="A23" i="75" s="1"/>
  <c r="B23" i="75" s="1"/>
  <c r="A24" i="75" s="1"/>
  <c r="B24" i="75" s="1"/>
  <c r="A25" i="75" s="1"/>
  <c r="B25" i="75" s="1"/>
  <c r="A26" i="75" s="1"/>
  <c r="B26" i="75" s="1"/>
  <c r="A27" i="75" s="1"/>
  <c r="B27" i="75" s="1"/>
  <c r="A28" i="75" s="1"/>
  <c r="B28" i="75" s="1"/>
  <c r="A29" i="75" s="1"/>
  <c r="B29" i="75" s="1"/>
  <c r="A30" i="75" s="1"/>
  <c r="B30" i="75" s="1"/>
  <c r="A31" i="75" s="1"/>
  <c r="B31" i="75" s="1"/>
  <c r="A32" i="75" s="1"/>
  <c r="B32" i="75" s="1"/>
  <c r="L2" i="75"/>
  <c r="D2" i="75"/>
  <c r="T11" i="76" l="1"/>
  <c r="N37" i="78"/>
  <c r="N38" i="78" s="1"/>
  <c r="R36" i="78"/>
  <c r="S32" i="77"/>
  <c r="L5" i="77" s="1"/>
  <c r="T32" i="77"/>
  <c r="R5" i="77" s="1"/>
  <c r="N37" i="77"/>
  <c r="N38" i="77" s="1"/>
  <c r="R36" i="77"/>
  <c r="R25" i="76"/>
  <c r="T25" i="76" s="1"/>
  <c r="E26" i="76"/>
  <c r="E32" i="76" s="1"/>
  <c r="O26" i="76"/>
  <c r="C32" i="76"/>
  <c r="K32" i="76"/>
  <c r="K44" i="76" s="1"/>
  <c r="K45" i="76" s="1"/>
  <c r="K46" i="76" s="1"/>
  <c r="H32" i="76"/>
  <c r="H44" i="76" s="1"/>
  <c r="H45" i="76" s="1"/>
  <c r="H46" i="76" s="1"/>
  <c r="E19" i="76"/>
  <c r="Q41" i="76"/>
  <c r="R4" i="76" s="1"/>
  <c r="Q30" i="76"/>
  <c r="S30" i="76" s="1"/>
  <c r="Q26" i="76"/>
  <c r="R26" i="76" s="1"/>
  <c r="T26" i="76" s="1"/>
  <c r="O11" i="76"/>
  <c r="Q27" i="76"/>
  <c r="S27" i="76" s="1"/>
  <c r="Q31" i="76"/>
  <c r="R31" i="76" s="1"/>
  <c r="T31" i="76" s="1"/>
  <c r="AA23" i="76"/>
  <c r="AA28" i="76"/>
  <c r="AA30" i="76"/>
  <c r="O18" i="76"/>
  <c r="O20" i="76"/>
  <c r="S24" i="76"/>
  <c r="R24" i="76"/>
  <c r="T24" i="76" s="1"/>
  <c r="S28" i="76"/>
  <c r="R28" i="76"/>
  <c r="T28" i="76" s="1"/>
  <c r="T19" i="76"/>
  <c r="Q23" i="76"/>
  <c r="Q29" i="76"/>
  <c r="O24" i="76"/>
  <c r="O28" i="76"/>
  <c r="O19" i="76"/>
  <c r="O10" i="76"/>
  <c r="S28" i="75"/>
  <c r="R28" i="75"/>
  <c r="T28" i="75" s="1"/>
  <c r="S10" i="75"/>
  <c r="R10" i="75"/>
  <c r="T10" i="75" s="1"/>
  <c r="R14" i="75"/>
  <c r="T14" i="75" s="1"/>
  <c r="S14" i="75"/>
  <c r="S8" i="75"/>
  <c r="R8" i="75"/>
  <c r="T8" i="75" s="1"/>
  <c r="S16" i="75"/>
  <c r="R16" i="75"/>
  <c r="T16" i="75" s="1"/>
  <c r="S11" i="75"/>
  <c r="R11" i="75"/>
  <c r="T11" i="75" s="1"/>
  <c r="R9" i="75"/>
  <c r="T9" i="75" s="1"/>
  <c r="S9" i="75"/>
  <c r="N39" i="75"/>
  <c r="H40" i="75"/>
  <c r="H41" i="75" s="1"/>
  <c r="S23" i="75"/>
  <c r="R23" i="75"/>
  <c r="T23" i="75" s="1"/>
  <c r="R7" i="75"/>
  <c r="T7" i="75" s="1"/>
  <c r="O10" i="75"/>
  <c r="R12" i="75"/>
  <c r="T12" i="75" s="1"/>
  <c r="Q30" i="75"/>
  <c r="S32" i="75"/>
  <c r="I35" i="75"/>
  <c r="M45" i="75"/>
  <c r="M46" i="75" s="1"/>
  <c r="M47" i="75" s="1"/>
  <c r="R22" i="75"/>
  <c r="T22" i="75" s="1"/>
  <c r="O23" i="75"/>
  <c r="O33" i="75" s="1"/>
  <c r="R25" i="75"/>
  <c r="T25" i="75" s="1"/>
  <c r="O28" i="75"/>
  <c r="AA29" i="75"/>
  <c r="J35" i="75"/>
  <c r="O13" i="75"/>
  <c r="R15" i="75"/>
  <c r="T15" i="75" s="1"/>
  <c r="Q13" i="75"/>
  <c r="O8" i="75"/>
  <c r="O19" i="75" s="1"/>
  <c r="O11" i="75"/>
  <c r="O16" i="75"/>
  <c r="K35" i="75"/>
  <c r="R31" i="75"/>
  <c r="T31" i="75" s="1"/>
  <c r="L35" i="75"/>
  <c r="H45" i="75"/>
  <c r="O9" i="75"/>
  <c r="O14" i="75"/>
  <c r="N44" i="74"/>
  <c r="Q40" i="74" s="1"/>
  <c r="G44" i="74"/>
  <c r="F44" i="74"/>
  <c r="N38" i="74"/>
  <c r="Q39" i="74" s="1"/>
  <c r="Q42" i="74" s="1"/>
  <c r="R2" i="74" s="1"/>
  <c r="G38" i="74"/>
  <c r="F38" i="74"/>
  <c r="M37" i="74"/>
  <c r="L37" i="74"/>
  <c r="K37" i="74"/>
  <c r="J37" i="74"/>
  <c r="I37" i="74"/>
  <c r="H37" i="74"/>
  <c r="M33" i="74"/>
  <c r="L33" i="74"/>
  <c r="L45" i="74" s="1"/>
  <c r="L46" i="74" s="1"/>
  <c r="L47" i="74" s="1"/>
  <c r="K33" i="74"/>
  <c r="K45" i="74" s="1"/>
  <c r="K46" i="74" s="1"/>
  <c r="K47" i="74" s="1"/>
  <c r="J33" i="74"/>
  <c r="J45" i="74" s="1"/>
  <c r="J46" i="74" s="1"/>
  <c r="J47" i="74" s="1"/>
  <c r="I33" i="74"/>
  <c r="I45" i="74" s="1"/>
  <c r="I46" i="74" s="1"/>
  <c r="I47" i="74" s="1"/>
  <c r="H33" i="74"/>
  <c r="C33" i="74"/>
  <c r="N32" i="74"/>
  <c r="O32" i="74" s="1"/>
  <c r="E32" i="74"/>
  <c r="D32" i="74"/>
  <c r="Z31" i="74"/>
  <c r="AA31" i="74" s="1"/>
  <c r="N31" i="74"/>
  <c r="Q31" i="74" s="1"/>
  <c r="E31" i="74"/>
  <c r="D31" i="74"/>
  <c r="N30" i="74"/>
  <c r="O30" i="74" s="1"/>
  <c r="E30" i="74"/>
  <c r="D30" i="74"/>
  <c r="Z29" i="74"/>
  <c r="AA29" i="74" s="1"/>
  <c r="Q29" i="74"/>
  <c r="R29" i="74" s="1"/>
  <c r="T29" i="74" s="1"/>
  <c r="N29" i="74"/>
  <c r="O29" i="74" s="1"/>
  <c r="E29" i="74"/>
  <c r="D29" i="74"/>
  <c r="N28" i="74"/>
  <c r="Q28" i="74" s="1"/>
  <c r="E28" i="74"/>
  <c r="D28" i="74"/>
  <c r="Z27" i="74"/>
  <c r="AA27" i="74" s="1"/>
  <c r="Q27" i="74"/>
  <c r="R27" i="74" s="1"/>
  <c r="T27" i="74" s="1"/>
  <c r="N27" i="74"/>
  <c r="O27" i="74" s="1"/>
  <c r="E27" i="74"/>
  <c r="D27" i="74"/>
  <c r="N26" i="74"/>
  <c r="O26" i="74" s="1"/>
  <c r="E26" i="74"/>
  <c r="D26" i="74"/>
  <c r="Z25" i="74"/>
  <c r="AA25" i="74" s="1"/>
  <c r="N25" i="74"/>
  <c r="O25" i="74" s="1"/>
  <c r="E25" i="74"/>
  <c r="D25" i="74"/>
  <c r="N24" i="74"/>
  <c r="O24" i="74" s="1"/>
  <c r="E24" i="74"/>
  <c r="D24" i="74"/>
  <c r="Z23" i="74"/>
  <c r="AA23" i="74" s="1"/>
  <c r="N23" i="74"/>
  <c r="Q23" i="74" s="1"/>
  <c r="E23" i="74"/>
  <c r="D23" i="74"/>
  <c r="N22" i="74"/>
  <c r="O22" i="74" s="1"/>
  <c r="E22" i="74"/>
  <c r="D22" i="74"/>
  <c r="Z21" i="74"/>
  <c r="AA21" i="74" s="1"/>
  <c r="S21" i="74"/>
  <c r="Q21" i="74"/>
  <c r="R21" i="74" s="1"/>
  <c r="T21" i="74" s="1"/>
  <c r="N21" i="74"/>
  <c r="O21" i="74" s="1"/>
  <c r="E21" i="74"/>
  <c r="D21" i="74"/>
  <c r="M20" i="74"/>
  <c r="M43" i="74" s="1"/>
  <c r="L20" i="74"/>
  <c r="L43" i="74" s="1"/>
  <c r="K20" i="74"/>
  <c r="K43" i="74" s="1"/>
  <c r="J20" i="74"/>
  <c r="J43" i="74" s="1"/>
  <c r="I20" i="74"/>
  <c r="I43" i="74" s="1"/>
  <c r="H20" i="74"/>
  <c r="H43" i="74" s="1"/>
  <c r="M19" i="74"/>
  <c r="M39" i="74" s="1"/>
  <c r="M40" i="74" s="1"/>
  <c r="M41" i="74" s="1"/>
  <c r="L19" i="74"/>
  <c r="L39" i="74" s="1"/>
  <c r="L40" i="74" s="1"/>
  <c r="L41" i="74" s="1"/>
  <c r="K19" i="74"/>
  <c r="K39" i="74" s="1"/>
  <c r="K40" i="74" s="1"/>
  <c r="K41" i="74" s="1"/>
  <c r="J19" i="74"/>
  <c r="J39" i="74" s="1"/>
  <c r="J40" i="74" s="1"/>
  <c r="J41" i="74" s="1"/>
  <c r="I19" i="74"/>
  <c r="I39" i="74" s="1"/>
  <c r="I40" i="74" s="1"/>
  <c r="I41" i="74" s="1"/>
  <c r="H19" i="74"/>
  <c r="H39" i="74" s="1"/>
  <c r="C19" i="74"/>
  <c r="C35" i="74" s="1"/>
  <c r="Q18" i="74"/>
  <c r="S18" i="74" s="1"/>
  <c r="O18" i="74"/>
  <c r="N18" i="74"/>
  <c r="E18" i="74"/>
  <c r="D18" i="74"/>
  <c r="AA17" i="74"/>
  <c r="Z17" i="74"/>
  <c r="Q17" i="74"/>
  <c r="S17" i="74" s="1"/>
  <c r="O17" i="74"/>
  <c r="N17" i="74"/>
  <c r="E17" i="74"/>
  <c r="D17" i="74"/>
  <c r="O16" i="74"/>
  <c r="N16" i="74"/>
  <c r="Q16" i="74" s="1"/>
  <c r="E16" i="74"/>
  <c r="D16" i="74"/>
  <c r="Z15" i="74"/>
  <c r="N15" i="74"/>
  <c r="AA15" i="74" s="1"/>
  <c r="E15" i="74"/>
  <c r="D15" i="74"/>
  <c r="Q14" i="74"/>
  <c r="R14" i="74" s="1"/>
  <c r="T14" i="74" s="1"/>
  <c r="N14" i="74"/>
  <c r="O14" i="74" s="1"/>
  <c r="E14" i="74"/>
  <c r="D14" i="74"/>
  <c r="Z13" i="74"/>
  <c r="AA13" i="74" s="1"/>
  <c r="N13" i="74"/>
  <c r="Q13" i="74" s="1"/>
  <c r="E13" i="74"/>
  <c r="D13" i="74"/>
  <c r="N12" i="74"/>
  <c r="O12" i="74" s="1"/>
  <c r="E12" i="74"/>
  <c r="D12" i="74"/>
  <c r="Z11" i="74"/>
  <c r="AA11" i="74" s="1"/>
  <c r="Q11" i="74"/>
  <c r="R11" i="74" s="1"/>
  <c r="T11" i="74" s="1"/>
  <c r="O11" i="74"/>
  <c r="N11" i="74"/>
  <c r="E11" i="74"/>
  <c r="D11" i="74"/>
  <c r="N10" i="74"/>
  <c r="Q10" i="74" s="1"/>
  <c r="E10" i="74"/>
  <c r="D10" i="74"/>
  <c r="Z9" i="74"/>
  <c r="Q9" i="74"/>
  <c r="S9" i="74" s="1"/>
  <c r="N9" i="74"/>
  <c r="O9" i="74" s="1"/>
  <c r="E9" i="74"/>
  <c r="D9" i="74"/>
  <c r="N8" i="74"/>
  <c r="Q8" i="74" s="1"/>
  <c r="E8" i="74"/>
  <c r="D8" i="74"/>
  <c r="Z7" i="74"/>
  <c r="AA7" i="74" s="1"/>
  <c r="N7" i="74"/>
  <c r="O7" i="74" s="1"/>
  <c r="E7" i="74"/>
  <c r="D7" i="74"/>
  <c r="B7" i="74"/>
  <c r="A8" i="74" s="1"/>
  <c r="B8" i="74" s="1"/>
  <c r="A9" i="74" s="1"/>
  <c r="B9" i="74" s="1"/>
  <c r="A10" i="74" s="1"/>
  <c r="B10" i="74" s="1"/>
  <c r="A11" i="74" s="1"/>
  <c r="B11" i="74" s="1"/>
  <c r="A12" i="74" s="1"/>
  <c r="B12" i="74" s="1"/>
  <c r="A13" i="74" s="1"/>
  <c r="B13" i="74" s="1"/>
  <c r="A14" i="74" s="1"/>
  <c r="B14" i="74" s="1"/>
  <c r="A15" i="74" s="1"/>
  <c r="B15" i="74" s="1"/>
  <c r="A16" i="74" s="1"/>
  <c r="B16" i="74" s="1"/>
  <c r="A17" i="74" s="1"/>
  <c r="B17" i="74" s="1"/>
  <c r="A18" i="74" s="1"/>
  <c r="B18" i="74" s="1"/>
  <c r="A21" i="74" s="1"/>
  <c r="B21" i="74" s="1"/>
  <c r="A22" i="74" s="1"/>
  <c r="B22" i="74" s="1"/>
  <c r="A23" i="74" s="1"/>
  <c r="B23" i="74" s="1"/>
  <c r="A24" i="74" s="1"/>
  <c r="B24" i="74" s="1"/>
  <c r="A25" i="74" s="1"/>
  <c r="B25" i="74" s="1"/>
  <c r="A26" i="74" s="1"/>
  <c r="B26" i="74" s="1"/>
  <c r="A27" i="74" s="1"/>
  <c r="B27" i="74" s="1"/>
  <c r="A28" i="74" s="1"/>
  <c r="B28" i="74" s="1"/>
  <c r="A29" i="74" s="1"/>
  <c r="B29" i="74" s="1"/>
  <c r="A30" i="74" s="1"/>
  <c r="B30" i="74" s="1"/>
  <c r="A31" i="74" s="1"/>
  <c r="B31" i="74" s="1"/>
  <c r="A32" i="74" s="1"/>
  <c r="B32" i="74" s="1"/>
  <c r="L2" i="74"/>
  <c r="D2" i="74"/>
  <c r="N44" i="73"/>
  <c r="Q40" i="73" s="1"/>
  <c r="G44" i="73"/>
  <c r="F44" i="73"/>
  <c r="N38" i="73"/>
  <c r="Q39" i="73" s="1"/>
  <c r="G38" i="73"/>
  <c r="F38" i="73"/>
  <c r="M37" i="73"/>
  <c r="L37" i="73"/>
  <c r="K37" i="73"/>
  <c r="J37" i="73"/>
  <c r="I37" i="73"/>
  <c r="H37" i="73"/>
  <c r="M33" i="73"/>
  <c r="L33" i="73"/>
  <c r="L45" i="73" s="1"/>
  <c r="L46" i="73" s="1"/>
  <c r="L47" i="73" s="1"/>
  <c r="K33" i="73"/>
  <c r="K45" i="73" s="1"/>
  <c r="K46" i="73" s="1"/>
  <c r="K47" i="73" s="1"/>
  <c r="J33" i="73"/>
  <c r="J45" i="73" s="1"/>
  <c r="J46" i="73" s="1"/>
  <c r="J47" i="73" s="1"/>
  <c r="I33" i="73"/>
  <c r="I45" i="73" s="1"/>
  <c r="I46" i="73" s="1"/>
  <c r="I47" i="73" s="1"/>
  <c r="H33" i="73"/>
  <c r="H45" i="73" s="1"/>
  <c r="C33" i="73"/>
  <c r="Q32" i="73"/>
  <c r="R32" i="73" s="1"/>
  <c r="T32" i="73" s="1"/>
  <c r="N32" i="73"/>
  <c r="O32" i="73" s="1"/>
  <c r="E32" i="73"/>
  <c r="D32" i="73"/>
  <c r="Z31" i="73"/>
  <c r="N31" i="73"/>
  <c r="AA31" i="73" s="1"/>
  <c r="E31" i="73"/>
  <c r="D31" i="73"/>
  <c r="N30" i="73"/>
  <c r="O30" i="73" s="1"/>
  <c r="E30" i="73"/>
  <c r="D30" i="73"/>
  <c r="Z29" i="73"/>
  <c r="AA29" i="73" s="1"/>
  <c r="Q29" i="73"/>
  <c r="S29" i="73" s="1"/>
  <c r="N29" i="73"/>
  <c r="O29" i="73" s="1"/>
  <c r="E29" i="73"/>
  <c r="D29" i="73"/>
  <c r="N28" i="73"/>
  <c r="Q28" i="73" s="1"/>
  <c r="E28" i="73"/>
  <c r="D28" i="73"/>
  <c r="Z27" i="73"/>
  <c r="AA27" i="73" s="1"/>
  <c r="N27" i="73"/>
  <c r="Q27" i="73" s="1"/>
  <c r="E27" i="73"/>
  <c r="D27" i="73"/>
  <c r="N26" i="73"/>
  <c r="O26" i="73" s="1"/>
  <c r="E26" i="73"/>
  <c r="D26" i="73"/>
  <c r="Z25" i="73"/>
  <c r="AA25" i="73" s="1"/>
  <c r="N25" i="73"/>
  <c r="O25" i="73" s="1"/>
  <c r="E25" i="73"/>
  <c r="D25" i="73"/>
  <c r="N24" i="73"/>
  <c r="Q24" i="73" s="1"/>
  <c r="E24" i="73"/>
  <c r="D24" i="73"/>
  <c r="Z23" i="73"/>
  <c r="AA23" i="73" s="1"/>
  <c r="N23" i="73"/>
  <c r="Q23" i="73" s="1"/>
  <c r="E23" i="73"/>
  <c r="D23" i="73"/>
  <c r="N22" i="73"/>
  <c r="O22" i="73" s="1"/>
  <c r="E22" i="73"/>
  <c r="D22" i="73"/>
  <c r="Z21" i="73"/>
  <c r="AA21" i="73" s="1"/>
  <c r="Q21" i="73"/>
  <c r="S21" i="73" s="1"/>
  <c r="N21" i="73"/>
  <c r="O21" i="73" s="1"/>
  <c r="E21" i="73"/>
  <c r="D21" i="73"/>
  <c r="M20" i="73"/>
  <c r="M43" i="73" s="1"/>
  <c r="L20" i="73"/>
  <c r="L43" i="73" s="1"/>
  <c r="K20" i="73"/>
  <c r="K43" i="73" s="1"/>
  <c r="J20" i="73"/>
  <c r="J43" i="73" s="1"/>
  <c r="I20" i="73"/>
  <c r="I43" i="73" s="1"/>
  <c r="H20" i="73"/>
  <c r="H43" i="73" s="1"/>
  <c r="M19" i="73"/>
  <c r="M39" i="73" s="1"/>
  <c r="M40" i="73" s="1"/>
  <c r="M41" i="73" s="1"/>
  <c r="L19" i="73"/>
  <c r="L39" i="73" s="1"/>
  <c r="L40" i="73" s="1"/>
  <c r="L41" i="73" s="1"/>
  <c r="K19" i="73"/>
  <c r="K39" i="73" s="1"/>
  <c r="K40" i="73" s="1"/>
  <c r="K41" i="73" s="1"/>
  <c r="J19" i="73"/>
  <c r="J39" i="73" s="1"/>
  <c r="J40" i="73" s="1"/>
  <c r="J41" i="73" s="1"/>
  <c r="I19" i="73"/>
  <c r="I39" i="73" s="1"/>
  <c r="I40" i="73" s="1"/>
  <c r="I41" i="73" s="1"/>
  <c r="H19" i="73"/>
  <c r="C19" i="73"/>
  <c r="N18" i="73"/>
  <c r="Q18" i="73" s="1"/>
  <c r="E18" i="73"/>
  <c r="D18" i="73"/>
  <c r="AA17" i="73"/>
  <c r="Z17" i="73"/>
  <c r="S17" i="73"/>
  <c r="R17" i="73"/>
  <c r="T17" i="73" s="1"/>
  <c r="Q17" i="73"/>
  <c r="O17" i="73"/>
  <c r="N17" i="73"/>
  <c r="E17" i="73"/>
  <c r="D17" i="73"/>
  <c r="N16" i="73"/>
  <c r="Q16" i="73" s="1"/>
  <c r="E16" i="73"/>
  <c r="D16" i="73"/>
  <c r="AA15" i="73"/>
  <c r="Z15" i="73"/>
  <c r="S15" i="73"/>
  <c r="R15" i="73"/>
  <c r="T15" i="73" s="1"/>
  <c r="Q15" i="73"/>
  <c r="O15" i="73"/>
  <c r="N15" i="73"/>
  <c r="E15" i="73"/>
  <c r="D15" i="73"/>
  <c r="N14" i="73"/>
  <c r="Q14" i="73" s="1"/>
  <c r="E14" i="73"/>
  <c r="D14" i="73"/>
  <c r="AA13" i="73"/>
  <c r="Z13" i="73"/>
  <c r="Q13" i="73"/>
  <c r="S13" i="73" s="1"/>
  <c r="O13" i="73"/>
  <c r="N13" i="73"/>
  <c r="E13" i="73"/>
  <c r="D13" i="73"/>
  <c r="N12" i="73"/>
  <c r="O12" i="73" s="1"/>
  <c r="E12" i="73"/>
  <c r="D12" i="73"/>
  <c r="Z11" i="73"/>
  <c r="N11" i="73"/>
  <c r="O11" i="73" s="1"/>
  <c r="E11" i="73"/>
  <c r="D11" i="73"/>
  <c r="Q10" i="73"/>
  <c r="S10" i="73" s="1"/>
  <c r="O10" i="73"/>
  <c r="N10" i="73"/>
  <c r="E10" i="73"/>
  <c r="D10" i="73"/>
  <c r="Z9" i="73"/>
  <c r="AA9" i="73" s="1"/>
  <c r="N9" i="73"/>
  <c r="Q9" i="73" s="1"/>
  <c r="E9" i="73"/>
  <c r="D9" i="73"/>
  <c r="N8" i="73"/>
  <c r="Q8" i="73" s="1"/>
  <c r="E8" i="73"/>
  <c r="D8" i="73"/>
  <c r="Z7" i="73"/>
  <c r="AA7" i="73" s="1"/>
  <c r="S7" i="73"/>
  <c r="R7" i="73"/>
  <c r="T7" i="73" s="1"/>
  <c r="Q7" i="73"/>
  <c r="O7" i="73"/>
  <c r="N7" i="73"/>
  <c r="E7" i="73"/>
  <c r="D7" i="73"/>
  <c r="B7" i="73"/>
  <c r="A8" i="73" s="1"/>
  <c r="B8" i="73" s="1"/>
  <c r="A9" i="73" s="1"/>
  <c r="B9" i="73" s="1"/>
  <c r="A10" i="73" s="1"/>
  <c r="B10" i="73" s="1"/>
  <c r="A11" i="73" s="1"/>
  <c r="B11" i="73" s="1"/>
  <c r="A12" i="73" s="1"/>
  <c r="B12" i="73" s="1"/>
  <c r="A13" i="73" s="1"/>
  <c r="B13" i="73" s="1"/>
  <c r="A14" i="73" s="1"/>
  <c r="B14" i="73" s="1"/>
  <c r="A15" i="73" s="1"/>
  <c r="B15" i="73" s="1"/>
  <c r="A16" i="73" s="1"/>
  <c r="B16" i="73" s="1"/>
  <c r="A17" i="73" s="1"/>
  <c r="B17" i="73" s="1"/>
  <c r="A18" i="73" s="1"/>
  <c r="B18" i="73" s="1"/>
  <c r="A21" i="73" s="1"/>
  <c r="B21" i="73" s="1"/>
  <c r="A22" i="73" s="1"/>
  <c r="B22" i="73" s="1"/>
  <c r="A23" i="73" s="1"/>
  <c r="B23" i="73" s="1"/>
  <c r="A24" i="73" s="1"/>
  <c r="B24" i="73" s="1"/>
  <c r="A25" i="73" s="1"/>
  <c r="B25" i="73" s="1"/>
  <c r="A26" i="73" s="1"/>
  <c r="B26" i="73" s="1"/>
  <c r="A27" i="73" s="1"/>
  <c r="B27" i="73" s="1"/>
  <c r="A28" i="73" s="1"/>
  <c r="B28" i="73" s="1"/>
  <c r="A29" i="73" s="1"/>
  <c r="B29" i="73" s="1"/>
  <c r="A30" i="73" s="1"/>
  <c r="B30" i="73" s="1"/>
  <c r="A31" i="73" s="1"/>
  <c r="B31" i="73" s="1"/>
  <c r="A32" i="73" s="1"/>
  <c r="B32" i="73" s="1"/>
  <c r="L2" i="73"/>
  <c r="D2" i="73"/>
  <c r="N47" i="72"/>
  <c r="N21" i="72"/>
  <c r="N23" i="72"/>
  <c r="N24" i="72"/>
  <c r="N25" i="72"/>
  <c r="N26" i="72"/>
  <c r="Q26" i="72" s="1"/>
  <c r="N27" i="72"/>
  <c r="Q27" i="72" s="1"/>
  <c r="N28" i="72"/>
  <c r="O28" i="72" s="1"/>
  <c r="N29" i="72"/>
  <c r="N30" i="72"/>
  <c r="Q30" i="72" s="1"/>
  <c r="N31" i="72"/>
  <c r="N32" i="72"/>
  <c r="K33" i="72"/>
  <c r="K45" i="72" s="1"/>
  <c r="K46" i="72" s="1"/>
  <c r="K47" i="72" s="1"/>
  <c r="M33" i="72"/>
  <c r="I42" i="72"/>
  <c r="J42" i="72"/>
  <c r="K42" i="72"/>
  <c r="L42" i="72"/>
  <c r="M42" i="72"/>
  <c r="H42" i="72"/>
  <c r="N44" i="72"/>
  <c r="Q40" i="72" s="1"/>
  <c r="G44" i="72"/>
  <c r="F44" i="72"/>
  <c r="N38" i="72"/>
  <c r="Q39" i="72" s="1"/>
  <c r="Q42" i="72" s="1"/>
  <c r="R2" i="72" s="1"/>
  <c r="G38" i="72"/>
  <c r="F38" i="72"/>
  <c r="M37" i="72"/>
  <c r="L37" i="72"/>
  <c r="K37" i="72"/>
  <c r="J37" i="72"/>
  <c r="I37" i="72"/>
  <c r="H37" i="72"/>
  <c r="J33" i="72"/>
  <c r="J45" i="72" s="1"/>
  <c r="J46" i="72" s="1"/>
  <c r="J47" i="72" s="1"/>
  <c r="H33" i="72"/>
  <c r="Q32" i="72"/>
  <c r="E32" i="72"/>
  <c r="D32" i="72"/>
  <c r="Q31" i="72"/>
  <c r="S31" i="72" s="1"/>
  <c r="O31" i="72"/>
  <c r="E31" i="72"/>
  <c r="D31" i="72"/>
  <c r="E30" i="72"/>
  <c r="D30" i="72"/>
  <c r="E29" i="72"/>
  <c r="D29" i="72"/>
  <c r="E28" i="72"/>
  <c r="D28" i="72"/>
  <c r="O27" i="72"/>
  <c r="E27" i="72"/>
  <c r="D27" i="72"/>
  <c r="E26" i="72"/>
  <c r="D26" i="72"/>
  <c r="D25" i="72"/>
  <c r="O24" i="72"/>
  <c r="E24" i="72"/>
  <c r="D24" i="72"/>
  <c r="S23" i="72"/>
  <c r="Q23" i="72"/>
  <c r="R23" i="72" s="1"/>
  <c r="T23" i="72" s="1"/>
  <c r="O23" i="72"/>
  <c r="E23" i="72"/>
  <c r="D23" i="72"/>
  <c r="N22" i="72"/>
  <c r="Q22" i="72" s="1"/>
  <c r="E22" i="72"/>
  <c r="D22" i="72"/>
  <c r="E21" i="72"/>
  <c r="D21" i="72"/>
  <c r="M20" i="72"/>
  <c r="M43" i="72" s="1"/>
  <c r="L20" i="72"/>
  <c r="L43" i="72" s="1"/>
  <c r="K20" i="72"/>
  <c r="K43" i="72" s="1"/>
  <c r="J20" i="72"/>
  <c r="J43" i="72" s="1"/>
  <c r="I20" i="72"/>
  <c r="I43" i="72" s="1"/>
  <c r="H20" i="72"/>
  <c r="H43" i="72" s="1"/>
  <c r="M19" i="72"/>
  <c r="M39" i="72" s="1"/>
  <c r="M40" i="72" s="1"/>
  <c r="M41" i="72" s="1"/>
  <c r="L19" i="72"/>
  <c r="L39" i="72" s="1"/>
  <c r="L40" i="72" s="1"/>
  <c r="L41" i="72" s="1"/>
  <c r="K19" i="72"/>
  <c r="K39" i="72" s="1"/>
  <c r="K40" i="72" s="1"/>
  <c r="K41" i="72" s="1"/>
  <c r="J19" i="72"/>
  <c r="J39" i="72" s="1"/>
  <c r="J40" i="72" s="1"/>
  <c r="J41" i="72" s="1"/>
  <c r="I19" i="72"/>
  <c r="I39" i="72" s="1"/>
  <c r="I40" i="72" s="1"/>
  <c r="I41" i="72" s="1"/>
  <c r="H19" i="72"/>
  <c r="H39" i="72" s="1"/>
  <c r="C19" i="72"/>
  <c r="N18" i="72"/>
  <c r="E18" i="72"/>
  <c r="D18" i="72"/>
  <c r="Q17" i="72"/>
  <c r="N17" i="72"/>
  <c r="O17" i="72" s="1"/>
  <c r="E17" i="72"/>
  <c r="D17" i="72"/>
  <c r="N16" i="72"/>
  <c r="Q16" i="72" s="1"/>
  <c r="R16" i="72" s="1"/>
  <c r="T16" i="72" s="1"/>
  <c r="E16" i="72"/>
  <c r="D16" i="72"/>
  <c r="O15" i="72"/>
  <c r="N15" i="72"/>
  <c r="Q15" i="72" s="1"/>
  <c r="E15" i="72"/>
  <c r="D15" i="72"/>
  <c r="N14" i="72"/>
  <c r="E14" i="72"/>
  <c r="D14" i="72"/>
  <c r="Q13" i="72"/>
  <c r="N13" i="72"/>
  <c r="O13" i="72" s="1"/>
  <c r="E13" i="72"/>
  <c r="D13" i="72"/>
  <c r="N12" i="72"/>
  <c r="Q12" i="72" s="1"/>
  <c r="R12" i="72" s="1"/>
  <c r="T12" i="72" s="1"/>
  <c r="E12" i="72"/>
  <c r="D12" i="72"/>
  <c r="N11" i="72"/>
  <c r="Q11" i="72" s="1"/>
  <c r="E11" i="72"/>
  <c r="D11" i="72"/>
  <c r="N10" i="72"/>
  <c r="O10" i="72" s="1"/>
  <c r="E10" i="72"/>
  <c r="D10" i="72"/>
  <c r="T9" i="72"/>
  <c r="S9" i="72"/>
  <c r="Q9" i="72"/>
  <c r="R9" i="72" s="1"/>
  <c r="N9" i="72"/>
  <c r="O9" i="72" s="1"/>
  <c r="E9" i="72"/>
  <c r="D9" i="72"/>
  <c r="N8" i="72"/>
  <c r="Q8" i="72" s="1"/>
  <c r="R8" i="72" s="1"/>
  <c r="T8" i="72" s="1"/>
  <c r="E8" i="72"/>
  <c r="D8" i="72"/>
  <c r="A8" i="72"/>
  <c r="B8" i="72" s="1"/>
  <c r="A9" i="72" s="1"/>
  <c r="B9" i="72" s="1"/>
  <c r="A10" i="72" s="1"/>
  <c r="B10" i="72" s="1"/>
  <c r="A11" i="72" s="1"/>
  <c r="B11" i="72" s="1"/>
  <c r="A12" i="72" s="1"/>
  <c r="B12" i="72" s="1"/>
  <c r="A13" i="72" s="1"/>
  <c r="B13" i="72" s="1"/>
  <c r="A14" i="72" s="1"/>
  <c r="B14" i="72" s="1"/>
  <c r="A15" i="72" s="1"/>
  <c r="B15" i="72" s="1"/>
  <c r="A16" i="72" s="1"/>
  <c r="B16" i="72" s="1"/>
  <c r="A17" i="72" s="1"/>
  <c r="B17" i="72" s="1"/>
  <c r="A18" i="72" s="1"/>
  <c r="B18" i="72" s="1"/>
  <c r="A21" i="72" s="1"/>
  <c r="B21" i="72" s="1"/>
  <c r="A22" i="72" s="1"/>
  <c r="B22" i="72" s="1"/>
  <c r="A23" i="72" s="1"/>
  <c r="B23" i="72" s="1"/>
  <c r="A24" i="72" s="1"/>
  <c r="B24" i="72" s="1"/>
  <c r="A25" i="72" s="1"/>
  <c r="N7" i="72"/>
  <c r="Q7" i="72" s="1"/>
  <c r="E7" i="72"/>
  <c r="D7" i="72"/>
  <c r="B7" i="72"/>
  <c r="L2" i="72"/>
  <c r="D2" i="72"/>
  <c r="B9" i="76" l="1"/>
  <c r="A10" i="76" s="1"/>
  <c r="R39" i="78"/>
  <c r="S36" i="78"/>
  <c r="T36" i="78" s="1"/>
  <c r="R39" i="77"/>
  <c r="S36" i="77"/>
  <c r="T36" i="77" s="1"/>
  <c r="N44" i="76"/>
  <c r="N45" i="76" s="1"/>
  <c r="N46" i="76" s="1"/>
  <c r="R30" i="76"/>
  <c r="T30" i="76" s="1"/>
  <c r="S26" i="76"/>
  <c r="R27" i="76"/>
  <c r="T27" i="76" s="1"/>
  <c r="S31" i="76"/>
  <c r="O32" i="76"/>
  <c r="S23" i="76"/>
  <c r="R23" i="76"/>
  <c r="T23" i="76" s="1"/>
  <c r="S29" i="76"/>
  <c r="R29" i="76"/>
  <c r="T29" i="76" s="1"/>
  <c r="O35" i="75"/>
  <c r="S33" i="75"/>
  <c r="S35" i="75" s="1"/>
  <c r="L5" i="75" s="1"/>
  <c r="T19" i="75"/>
  <c r="S13" i="75"/>
  <c r="S19" i="75" s="1"/>
  <c r="R13" i="75"/>
  <c r="T13" i="75" s="1"/>
  <c r="H46" i="75"/>
  <c r="H47" i="75" s="1"/>
  <c r="N45" i="75"/>
  <c r="S30" i="75"/>
  <c r="R30" i="75"/>
  <c r="T30" i="75" s="1"/>
  <c r="T33" i="75" s="1"/>
  <c r="T35" i="75" s="1"/>
  <c r="R5" i="75" s="1"/>
  <c r="N40" i="75"/>
  <c r="N41" i="75" s="1"/>
  <c r="R39" i="75"/>
  <c r="R8" i="74"/>
  <c r="T8" i="74" s="1"/>
  <c r="S8" i="74"/>
  <c r="O8" i="74"/>
  <c r="S11" i="74"/>
  <c r="Q24" i="74"/>
  <c r="R24" i="74" s="1"/>
  <c r="T24" i="74" s="1"/>
  <c r="Q26" i="74"/>
  <c r="R18" i="74"/>
  <c r="T18" i="74" s="1"/>
  <c r="Q32" i="74"/>
  <c r="S29" i="74"/>
  <c r="E33" i="74"/>
  <c r="E19" i="74"/>
  <c r="M35" i="74"/>
  <c r="H35" i="74"/>
  <c r="S28" i="74"/>
  <c r="R28" i="74"/>
  <c r="T28" i="74" s="1"/>
  <c r="S10" i="74"/>
  <c r="R10" i="74"/>
  <c r="T10" i="74" s="1"/>
  <c r="R16" i="74"/>
  <c r="T16" i="74" s="1"/>
  <c r="S16" i="74"/>
  <c r="S23" i="74"/>
  <c r="R23" i="74"/>
  <c r="T23" i="74" s="1"/>
  <c r="N39" i="74"/>
  <c r="S31" i="74"/>
  <c r="R31" i="74"/>
  <c r="T31" i="74" s="1"/>
  <c r="S13" i="74"/>
  <c r="R13" i="74"/>
  <c r="T13" i="74" s="1"/>
  <c r="O15" i="74"/>
  <c r="Q12" i="74"/>
  <c r="Q15" i="74"/>
  <c r="O10" i="74"/>
  <c r="O13" i="74"/>
  <c r="Q22" i="74"/>
  <c r="Q25" i="74"/>
  <c r="S27" i="74"/>
  <c r="Q30" i="74"/>
  <c r="I35" i="74"/>
  <c r="M45" i="74"/>
  <c r="M46" i="74" s="1"/>
  <c r="M47" i="74" s="1"/>
  <c r="R9" i="74"/>
  <c r="T9" i="74" s="1"/>
  <c r="Q7" i="74"/>
  <c r="O23" i="74"/>
  <c r="O33" i="74" s="1"/>
  <c r="O28" i="74"/>
  <c r="O31" i="74"/>
  <c r="J35" i="74"/>
  <c r="S14" i="74"/>
  <c r="AA9" i="74"/>
  <c r="K35" i="74"/>
  <c r="L35" i="74"/>
  <c r="H45" i="74"/>
  <c r="H40" i="74"/>
  <c r="H41" i="74" s="1"/>
  <c r="R17" i="74"/>
  <c r="T17" i="74" s="1"/>
  <c r="S32" i="73"/>
  <c r="Q26" i="73"/>
  <c r="S26" i="73" s="1"/>
  <c r="Q12" i="73"/>
  <c r="O18" i="73"/>
  <c r="E33" i="73"/>
  <c r="H35" i="73"/>
  <c r="E19" i="73"/>
  <c r="M35" i="73"/>
  <c r="C35" i="73"/>
  <c r="S14" i="73"/>
  <c r="R14" i="73"/>
  <c r="T14" i="73" s="1"/>
  <c r="R27" i="73"/>
  <c r="T27" i="73" s="1"/>
  <c r="S27" i="73"/>
  <c r="S23" i="73"/>
  <c r="R23" i="73"/>
  <c r="T23" i="73" s="1"/>
  <c r="S8" i="73"/>
  <c r="R8" i="73"/>
  <c r="T8" i="73" s="1"/>
  <c r="S16" i="73"/>
  <c r="R16" i="73"/>
  <c r="T16" i="73" s="1"/>
  <c r="S9" i="73"/>
  <c r="R9" i="73"/>
  <c r="T9" i="73" s="1"/>
  <c r="R24" i="73"/>
  <c r="T24" i="73" s="1"/>
  <c r="S24" i="73"/>
  <c r="Q42" i="73"/>
  <c r="R2" i="73" s="1"/>
  <c r="S18" i="73"/>
  <c r="R18" i="73"/>
  <c r="T18" i="73" s="1"/>
  <c r="S28" i="73"/>
  <c r="R28" i="73"/>
  <c r="T28" i="73" s="1"/>
  <c r="H46" i="73"/>
  <c r="H47" i="73" s="1"/>
  <c r="Q11" i="73"/>
  <c r="AA11" i="73"/>
  <c r="Q22" i="73"/>
  <c r="Q25" i="73"/>
  <c r="Q30" i="73"/>
  <c r="I35" i="73"/>
  <c r="M45" i="73"/>
  <c r="M46" i="73" s="1"/>
  <c r="M47" i="73" s="1"/>
  <c r="O23" i="73"/>
  <c r="O28" i="73"/>
  <c r="O31" i="73"/>
  <c r="J35" i="73"/>
  <c r="H39" i="73"/>
  <c r="O8" i="73"/>
  <c r="R10" i="73"/>
  <c r="T10" i="73" s="1"/>
  <c r="R13" i="73"/>
  <c r="T13" i="73" s="1"/>
  <c r="O16" i="73"/>
  <c r="Q31" i="73"/>
  <c r="K35" i="73"/>
  <c r="L35" i="73"/>
  <c r="O9" i="73"/>
  <c r="O14" i="73"/>
  <c r="R21" i="73"/>
  <c r="T21" i="73" s="1"/>
  <c r="O24" i="73"/>
  <c r="R26" i="73"/>
  <c r="T26" i="73" s="1"/>
  <c r="O27" i="73"/>
  <c r="R29" i="73"/>
  <c r="T29" i="73" s="1"/>
  <c r="Q28" i="72"/>
  <c r="R27" i="72"/>
  <c r="T27" i="72" s="1"/>
  <c r="S27" i="72"/>
  <c r="R31" i="72"/>
  <c r="T31" i="72" s="1"/>
  <c r="O32" i="72"/>
  <c r="E25" i="72"/>
  <c r="E33" i="72" s="1"/>
  <c r="C33" i="72"/>
  <c r="C35" i="72" s="1"/>
  <c r="B25" i="72"/>
  <c r="A26" i="72" s="1"/>
  <c r="B26" i="72" s="1"/>
  <c r="A27" i="72" s="1"/>
  <c r="B27" i="72" s="1"/>
  <c r="A28" i="72" s="1"/>
  <c r="B28" i="72" s="1"/>
  <c r="Q24" i="72"/>
  <c r="S24" i="72" s="1"/>
  <c r="I33" i="72"/>
  <c r="I45" i="72" s="1"/>
  <c r="I46" i="72" s="1"/>
  <c r="I47" i="72" s="1"/>
  <c r="L33" i="72"/>
  <c r="L45" i="72" s="1"/>
  <c r="L46" i="72" s="1"/>
  <c r="L47" i="72" s="1"/>
  <c r="S16" i="72"/>
  <c r="Q10" i="72"/>
  <c r="E19" i="72"/>
  <c r="S8" i="72"/>
  <c r="M35" i="72"/>
  <c r="H35" i="72"/>
  <c r="Q14" i="72"/>
  <c r="O14" i="72"/>
  <c r="S11" i="72"/>
  <c r="R11" i="72"/>
  <c r="T11" i="72" s="1"/>
  <c r="R24" i="72"/>
  <c r="T24" i="72" s="1"/>
  <c r="S28" i="72"/>
  <c r="R28" i="72"/>
  <c r="T28" i="72" s="1"/>
  <c r="S7" i="72"/>
  <c r="R7" i="72"/>
  <c r="T7" i="72" s="1"/>
  <c r="Q18" i="72"/>
  <c r="O18" i="72"/>
  <c r="O7" i="72"/>
  <c r="S13" i="72"/>
  <c r="R13" i="72"/>
  <c r="T13" i="72" s="1"/>
  <c r="S15" i="72"/>
  <c r="R15" i="72"/>
  <c r="T15" i="72" s="1"/>
  <c r="Q21" i="72"/>
  <c r="O21" i="72"/>
  <c r="Q25" i="72"/>
  <c r="O25" i="72"/>
  <c r="Q29" i="72"/>
  <c r="O29" i="72"/>
  <c r="S32" i="72"/>
  <c r="R32" i="72"/>
  <c r="T32" i="72" s="1"/>
  <c r="O11" i="72"/>
  <c r="N39" i="72"/>
  <c r="H40" i="72"/>
  <c r="H41" i="72" s="1"/>
  <c r="S12" i="72"/>
  <c r="S17" i="72"/>
  <c r="R17" i="72"/>
  <c r="T17" i="72" s="1"/>
  <c r="S22" i="72"/>
  <c r="R22" i="72"/>
  <c r="T22" i="72" s="1"/>
  <c r="S26" i="72"/>
  <c r="R26" i="72"/>
  <c r="T26" i="72" s="1"/>
  <c r="S30" i="72"/>
  <c r="R30" i="72"/>
  <c r="T30" i="72" s="1"/>
  <c r="M45" i="72"/>
  <c r="M46" i="72" s="1"/>
  <c r="M47" i="72" s="1"/>
  <c r="J35" i="72"/>
  <c r="O8" i="72"/>
  <c r="O12" i="72"/>
  <c r="O16" i="72"/>
  <c r="O22" i="72"/>
  <c r="O26" i="72"/>
  <c r="O30" i="72"/>
  <c r="K35" i="72"/>
  <c r="H45" i="72"/>
  <c r="N41" i="71"/>
  <c r="Q37" i="71" s="1"/>
  <c r="G41" i="71"/>
  <c r="F41" i="71"/>
  <c r="N35" i="71"/>
  <c r="Q36" i="71" s="1"/>
  <c r="Q39" i="71" s="1"/>
  <c r="R2" i="71" s="1"/>
  <c r="G35" i="71"/>
  <c r="F35" i="71"/>
  <c r="M34" i="71"/>
  <c r="L34" i="71"/>
  <c r="K34" i="71"/>
  <c r="J34" i="71"/>
  <c r="I34" i="71"/>
  <c r="H34" i="71"/>
  <c r="M30" i="71"/>
  <c r="L30" i="71"/>
  <c r="L42" i="71" s="1"/>
  <c r="L43" i="71" s="1"/>
  <c r="L44" i="71" s="1"/>
  <c r="K30" i="71"/>
  <c r="K42" i="71" s="1"/>
  <c r="K43" i="71" s="1"/>
  <c r="K44" i="71" s="1"/>
  <c r="J30" i="71"/>
  <c r="J42" i="71" s="1"/>
  <c r="J43" i="71" s="1"/>
  <c r="J44" i="71" s="1"/>
  <c r="I30" i="71"/>
  <c r="I42" i="71" s="1"/>
  <c r="I43" i="71" s="1"/>
  <c r="I44" i="71" s="1"/>
  <c r="H30" i="71"/>
  <c r="H42" i="71" s="1"/>
  <c r="C30" i="71"/>
  <c r="S29" i="71"/>
  <c r="Q29" i="71"/>
  <c r="R29" i="71" s="1"/>
  <c r="T29" i="71" s="1"/>
  <c r="N29" i="71"/>
  <c r="O29" i="71" s="1"/>
  <c r="E29" i="71"/>
  <c r="D29" i="71"/>
  <c r="N28" i="71"/>
  <c r="Q28" i="71" s="1"/>
  <c r="E28" i="71"/>
  <c r="D28" i="71"/>
  <c r="N27" i="71"/>
  <c r="Q27" i="71" s="1"/>
  <c r="E27" i="71"/>
  <c r="D27" i="71"/>
  <c r="Q26" i="71"/>
  <c r="S26" i="71" s="1"/>
  <c r="N26" i="71"/>
  <c r="O26" i="71" s="1"/>
  <c r="E26" i="71"/>
  <c r="D26" i="71"/>
  <c r="N25" i="71"/>
  <c r="Q25" i="71" s="1"/>
  <c r="E25" i="71"/>
  <c r="D25" i="71"/>
  <c r="Q24" i="71"/>
  <c r="S24" i="71" s="1"/>
  <c r="N24" i="71"/>
  <c r="O24" i="71" s="1"/>
  <c r="E24" i="71"/>
  <c r="D24" i="71"/>
  <c r="N23" i="71"/>
  <c r="Q23" i="71" s="1"/>
  <c r="E23" i="71"/>
  <c r="D23" i="71"/>
  <c r="Q22" i="71"/>
  <c r="S22" i="71" s="1"/>
  <c r="N22" i="71"/>
  <c r="O22" i="71" s="1"/>
  <c r="E22" i="71"/>
  <c r="D22" i="71"/>
  <c r="N21" i="71"/>
  <c r="Q21" i="71" s="1"/>
  <c r="E21" i="71"/>
  <c r="D21" i="71"/>
  <c r="M20" i="71"/>
  <c r="M40" i="71" s="1"/>
  <c r="L20" i="71"/>
  <c r="L40" i="71" s="1"/>
  <c r="K20" i="71"/>
  <c r="K40" i="71" s="1"/>
  <c r="J20" i="71"/>
  <c r="J40" i="71" s="1"/>
  <c r="I20" i="71"/>
  <c r="I40" i="71" s="1"/>
  <c r="H20" i="71"/>
  <c r="H40" i="71" s="1"/>
  <c r="M19" i="71"/>
  <c r="M36" i="71" s="1"/>
  <c r="M37" i="71" s="1"/>
  <c r="M38" i="71" s="1"/>
  <c r="L19" i="71"/>
  <c r="L36" i="71" s="1"/>
  <c r="L37" i="71" s="1"/>
  <c r="L38" i="71" s="1"/>
  <c r="K19" i="71"/>
  <c r="K36" i="71" s="1"/>
  <c r="K37" i="71" s="1"/>
  <c r="K38" i="71" s="1"/>
  <c r="J19" i="71"/>
  <c r="J36" i="71" s="1"/>
  <c r="J37" i="71" s="1"/>
  <c r="J38" i="71" s="1"/>
  <c r="I19" i="71"/>
  <c r="I36" i="71" s="1"/>
  <c r="I37" i="71" s="1"/>
  <c r="I38" i="71" s="1"/>
  <c r="H19" i="71"/>
  <c r="C19" i="71"/>
  <c r="O18" i="71"/>
  <c r="N18" i="71"/>
  <c r="Q18" i="71" s="1"/>
  <c r="E18" i="71"/>
  <c r="D18" i="71"/>
  <c r="O17" i="71"/>
  <c r="N17" i="71"/>
  <c r="Q17" i="71" s="1"/>
  <c r="E17" i="71"/>
  <c r="D17" i="71"/>
  <c r="N16" i="71"/>
  <c r="Q16" i="71" s="1"/>
  <c r="E16" i="71"/>
  <c r="D16" i="71"/>
  <c r="O15" i="71"/>
  <c r="N15" i="71"/>
  <c r="Q15" i="71" s="1"/>
  <c r="E15" i="71"/>
  <c r="D15" i="71"/>
  <c r="R14" i="71"/>
  <c r="T14" i="71" s="1"/>
  <c r="Q14" i="71"/>
  <c r="S14" i="71" s="1"/>
  <c r="N14" i="71"/>
  <c r="O14" i="71" s="1"/>
  <c r="E14" i="71"/>
  <c r="D14" i="71"/>
  <c r="S13" i="71"/>
  <c r="Q13" i="71"/>
  <c r="R13" i="71" s="1"/>
  <c r="T13" i="71" s="1"/>
  <c r="O13" i="71"/>
  <c r="N13" i="71"/>
  <c r="E13" i="71"/>
  <c r="D13" i="71"/>
  <c r="N12" i="71"/>
  <c r="Q12" i="71" s="1"/>
  <c r="E12" i="71"/>
  <c r="D12" i="71"/>
  <c r="N11" i="71"/>
  <c r="Q11" i="71" s="1"/>
  <c r="E11" i="71"/>
  <c r="D11" i="71"/>
  <c r="Q10" i="71"/>
  <c r="S10" i="71" s="1"/>
  <c r="N10" i="71"/>
  <c r="O10" i="71" s="1"/>
  <c r="E10" i="71"/>
  <c r="D10" i="71"/>
  <c r="S9" i="71"/>
  <c r="Q9" i="71"/>
  <c r="R9" i="71" s="1"/>
  <c r="T9" i="71" s="1"/>
  <c r="O9" i="71"/>
  <c r="N9" i="71"/>
  <c r="E9" i="71"/>
  <c r="D9" i="71"/>
  <c r="N8" i="71"/>
  <c r="Q8" i="71" s="1"/>
  <c r="E8" i="71"/>
  <c r="D8" i="71"/>
  <c r="N7" i="71"/>
  <c r="O7" i="71" s="1"/>
  <c r="E7" i="71"/>
  <c r="D7" i="71"/>
  <c r="B7" i="71"/>
  <c r="A8" i="71" s="1"/>
  <c r="B8" i="71" s="1"/>
  <c r="A9" i="71" s="1"/>
  <c r="B9" i="71" s="1"/>
  <c r="A10" i="71" s="1"/>
  <c r="B10" i="71" s="1"/>
  <c r="A11" i="71" s="1"/>
  <c r="B11" i="71" s="1"/>
  <c r="A12" i="71" s="1"/>
  <c r="B12" i="71" s="1"/>
  <c r="A13" i="71" s="1"/>
  <c r="B13" i="71" s="1"/>
  <c r="A14" i="71" s="1"/>
  <c r="B14" i="71" s="1"/>
  <c r="A15" i="71" s="1"/>
  <c r="B15" i="71" s="1"/>
  <c r="A16" i="71" s="1"/>
  <c r="B16" i="71" s="1"/>
  <c r="A17" i="71" s="1"/>
  <c r="B17" i="71" s="1"/>
  <c r="A18" i="71" s="1"/>
  <c r="B18" i="71" s="1"/>
  <c r="A21" i="71" s="1"/>
  <c r="B21" i="71" s="1"/>
  <c r="A22" i="71" s="1"/>
  <c r="B22" i="71" s="1"/>
  <c r="A23" i="71" s="1"/>
  <c r="B23" i="71" s="1"/>
  <c r="A24" i="71" s="1"/>
  <c r="B24" i="71" s="1"/>
  <c r="A25" i="71" s="1"/>
  <c r="B25" i="71" s="1"/>
  <c r="A26" i="71" s="1"/>
  <c r="B26" i="71" s="1"/>
  <c r="A27" i="71" s="1"/>
  <c r="B27" i="71" s="1"/>
  <c r="A28" i="71" s="1"/>
  <c r="B28" i="71" s="1"/>
  <c r="A29" i="71" s="1"/>
  <c r="B29" i="71" s="1"/>
  <c r="L2" i="71"/>
  <c r="D2" i="71"/>
  <c r="B10" i="76" l="1"/>
  <c r="A11" i="76" s="1"/>
  <c r="B11" i="76" s="1"/>
  <c r="A12" i="76" s="1"/>
  <c r="B12" i="76" s="1"/>
  <c r="A13" i="76" s="1"/>
  <c r="R3" i="78"/>
  <c r="S39" i="78"/>
  <c r="R3" i="77"/>
  <c r="S39" i="77"/>
  <c r="T32" i="76"/>
  <c r="S32" i="76"/>
  <c r="R40" i="75"/>
  <c r="S40" i="75" s="1"/>
  <c r="T40" i="75" s="1"/>
  <c r="N46" i="75"/>
  <c r="N47" i="75" s="1"/>
  <c r="R42" i="75"/>
  <c r="S39" i="75"/>
  <c r="T39" i="75" s="1"/>
  <c r="R26" i="74"/>
  <c r="T26" i="74" s="1"/>
  <c r="S26" i="74"/>
  <c r="R32" i="74"/>
  <c r="T32" i="74" s="1"/>
  <c r="S32" i="74"/>
  <c r="S24" i="74"/>
  <c r="E35" i="74"/>
  <c r="O19" i="74"/>
  <c r="O35" i="74" s="1"/>
  <c r="N40" i="74"/>
  <c r="N41" i="74" s="1"/>
  <c r="R39" i="74"/>
  <c r="S22" i="74"/>
  <c r="R22" i="74"/>
  <c r="T22" i="74" s="1"/>
  <c r="S15" i="74"/>
  <c r="R15" i="74"/>
  <c r="T15" i="74" s="1"/>
  <c r="S7" i="74"/>
  <c r="S19" i="74" s="1"/>
  <c r="R7" i="74"/>
  <c r="T7" i="74" s="1"/>
  <c r="S30" i="74"/>
  <c r="R30" i="74"/>
  <c r="T30" i="74" s="1"/>
  <c r="S12" i="74"/>
  <c r="R12" i="74"/>
  <c r="T12" i="74" s="1"/>
  <c r="S25" i="74"/>
  <c r="R25" i="74"/>
  <c r="T25" i="74" s="1"/>
  <c r="H46" i="74"/>
  <c r="H47" i="74" s="1"/>
  <c r="N45" i="74"/>
  <c r="E35" i="73"/>
  <c r="S12" i="73"/>
  <c r="R12" i="73"/>
  <c r="T12" i="73" s="1"/>
  <c r="O33" i="73"/>
  <c r="N45" i="73"/>
  <c r="N46" i="73" s="1"/>
  <c r="N47" i="73" s="1"/>
  <c r="O19" i="73"/>
  <c r="O35" i="73" s="1"/>
  <c r="S30" i="73"/>
  <c r="R30" i="73"/>
  <c r="T30" i="73" s="1"/>
  <c r="N39" i="73"/>
  <c r="H40" i="73"/>
  <c r="H41" i="73" s="1"/>
  <c r="S25" i="73"/>
  <c r="R25" i="73"/>
  <c r="T25" i="73" s="1"/>
  <c r="S22" i="73"/>
  <c r="R22" i="73"/>
  <c r="T22" i="73" s="1"/>
  <c r="S31" i="73"/>
  <c r="R31" i="73"/>
  <c r="T31" i="73" s="1"/>
  <c r="S11" i="73"/>
  <c r="S19" i="73" s="1"/>
  <c r="R11" i="73"/>
  <c r="T11" i="73" s="1"/>
  <c r="T19" i="73" s="1"/>
  <c r="A29" i="72"/>
  <c r="B29" i="72" s="1"/>
  <c r="A30" i="72" s="1"/>
  <c r="B30" i="72" s="1"/>
  <c r="A31" i="72" s="1"/>
  <c r="B31" i="72" s="1"/>
  <c r="A32" i="72" s="1"/>
  <c r="B32" i="72" s="1"/>
  <c r="E35" i="72"/>
  <c r="I35" i="72"/>
  <c r="L35" i="72"/>
  <c r="S10" i="72"/>
  <c r="R10" i="72"/>
  <c r="T10" i="72" s="1"/>
  <c r="O19" i="72"/>
  <c r="S25" i="72"/>
  <c r="R25" i="72"/>
  <c r="T25" i="72" s="1"/>
  <c r="N40" i="72"/>
  <c r="N41" i="72" s="1"/>
  <c r="R39" i="72"/>
  <c r="S21" i="72"/>
  <c r="R21" i="72"/>
  <c r="T21" i="72" s="1"/>
  <c r="S18" i="72"/>
  <c r="R18" i="72"/>
  <c r="T18" i="72" s="1"/>
  <c r="O33" i="72"/>
  <c r="H46" i="72"/>
  <c r="H47" i="72" s="1"/>
  <c r="N45" i="72"/>
  <c r="S14" i="72"/>
  <c r="R14" i="72"/>
  <c r="T14" i="72" s="1"/>
  <c r="S29" i="72"/>
  <c r="R29" i="72"/>
  <c r="T29" i="72" s="1"/>
  <c r="E30" i="71"/>
  <c r="H32" i="71"/>
  <c r="C32" i="71"/>
  <c r="M32" i="71"/>
  <c r="E19" i="71"/>
  <c r="S17" i="71"/>
  <c r="R17" i="71"/>
  <c r="T17" i="71" s="1"/>
  <c r="S15" i="71"/>
  <c r="R15" i="71"/>
  <c r="T15" i="71" s="1"/>
  <c r="S27" i="71"/>
  <c r="R27" i="71"/>
  <c r="T27" i="71" s="1"/>
  <c r="S11" i="71"/>
  <c r="R11" i="71"/>
  <c r="T11" i="71" s="1"/>
  <c r="S8" i="71"/>
  <c r="R8" i="71"/>
  <c r="T8" i="71" s="1"/>
  <c r="S12" i="71"/>
  <c r="R12" i="71"/>
  <c r="T12" i="71" s="1"/>
  <c r="R25" i="71"/>
  <c r="T25" i="71" s="1"/>
  <c r="S25" i="71"/>
  <c r="S18" i="71"/>
  <c r="R18" i="71"/>
  <c r="T18" i="71" s="1"/>
  <c r="S23" i="71"/>
  <c r="R23" i="71"/>
  <c r="T23" i="71" s="1"/>
  <c r="H43" i="71"/>
  <c r="H44" i="71" s="1"/>
  <c r="S16" i="71"/>
  <c r="R16" i="71"/>
  <c r="T16" i="71" s="1"/>
  <c r="R21" i="71"/>
  <c r="T21" i="71" s="1"/>
  <c r="S21" i="71"/>
  <c r="S28" i="71"/>
  <c r="R28" i="71"/>
  <c r="T28" i="71" s="1"/>
  <c r="I32" i="71"/>
  <c r="M42" i="71"/>
  <c r="M43" i="71" s="1"/>
  <c r="M44" i="71" s="1"/>
  <c r="R22" i="71"/>
  <c r="T22" i="71" s="1"/>
  <c r="O23" i="71"/>
  <c r="R26" i="71"/>
  <c r="T26" i="71" s="1"/>
  <c r="O27" i="71"/>
  <c r="J32" i="71"/>
  <c r="H36" i="71"/>
  <c r="K32" i="71"/>
  <c r="O28" i="71"/>
  <c r="L32" i="71"/>
  <c r="O11" i="71"/>
  <c r="Q7" i="71"/>
  <c r="O21" i="71"/>
  <c r="R24" i="71"/>
  <c r="T24" i="71" s="1"/>
  <c r="O25" i="71"/>
  <c r="R10" i="71"/>
  <c r="T10" i="71" s="1"/>
  <c r="O8" i="71"/>
  <c r="O12" i="71"/>
  <c r="O16" i="71"/>
  <c r="R4" i="78" l="1"/>
  <c r="T4" i="78" s="1"/>
  <c r="T39" i="78"/>
  <c r="R4" i="77"/>
  <c r="T4" i="77" s="1"/>
  <c r="T39" i="77"/>
  <c r="R3" i="75"/>
  <c r="S42" i="75"/>
  <c r="T33" i="74"/>
  <c r="S33" i="74"/>
  <c r="S35" i="74" s="1"/>
  <c r="L5" i="74" s="1"/>
  <c r="S39" i="74"/>
  <c r="T39" i="74" s="1"/>
  <c r="R40" i="74"/>
  <c r="S40" i="74" s="1"/>
  <c r="T40" i="74" s="1"/>
  <c r="N46" i="74"/>
  <c r="N47" i="74" s="1"/>
  <c r="T19" i="74"/>
  <c r="T33" i="73"/>
  <c r="R40" i="73"/>
  <c r="S40" i="73" s="1"/>
  <c r="T40" i="73" s="1"/>
  <c r="T35" i="73"/>
  <c r="R5" i="73" s="1"/>
  <c r="N40" i="73"/>
  <c r="N41" i="73" s="1"/>
  <c r="R39" i="73"/>
  <c r="S33" i="73"/>
  <c r="S35" i="73" s="1"/>
  <c r="L5" i="73" s="1"/>
  <c r="T33" i="72"/>
  <c r="S33" i="72"/>
  <c r="T19" i="72"/>
  <c r="S19" i="72"/>
  <c r="O35" i="72"/>
  <c r="S39" i="72"/>
  <c r="T39" i="72" s="1"/>
  <c r="R40" i="72"/>
  <c r="S40" i="72" s="1"/>
  <c r="T40" i="72" s="1"/>
  <c r="N46" i="72"/>
  <c r="E32" i="71"/>
  <c r="O19" i="71"/>
  <c r="O30" i="71"/>
  <c r="S30" i="71"/>
  <c r="S7" i="71"/>
  <c r="S19" i="71" s="1"/>
  <c r="R7" i="71"/>
  <c r="T7" i="71" s="1"/>
  <c r="T19" i="71" s="1"/>
  <c r="T30" i="71"/>
  <c r="N42" i="71"/>
  <c r="N36" i="71"/>
  <c r="H37" i="71"/>
  <c r="H38" i="71" s="1"/>
  <c r="R4" i="75" l="1"/>
  <c r="T4" i="75" s="1"/>
  <c r="T42" i="75"/>
  <c r="T35" i="74"/>
  <c r="R5" i="74" s="1"/>
  <c r="R42" i="74"/>
  <c r="R42" i="73"/>
  <c r="S39" i="73"/>
  <c r="T39" i="73" s="1"/>
  <c r="T35" i="72"/>
  <c r="R5" i="72" s="1"/>
  <c r="S35" i="72"/>
  <c r="L5" i="72" s="1"/>
  <c r="R42" i="72"/>
  <c r="O32" i="71"/>
  <c r="T32" i="71"/>
  <c r="R5" i="71" s="1"/>
  <c r="S32" i="71"/>
  <c r="L5" i="71" s="1"/>
  <c r="N37" i="71"/>
  <c r="N38" i="71" s="1"/>
  <c r="R36" i="71"/>
  <c r="R37" i="71"/>
  <c r="S37" i="71" s="1"/>
  <c r="T37" i="71" s="1"/>
  <c r="N43" i="71"/>
  <c r="N44" i="71" s="1"/>
  <c r="R3" i="74" l="1"/>
  <c r="S42" i="74"/>
  <c r="R3" i="73"/>
  <c r="S42" i="73"/>
  <c r="S42" i="72"/>
  <c r="R3" i="72"/>
  <c r="R39" i="71"/>
  <c r="S36" i="71"/>
  <c r="T36" i="71" s="1"/>
  <c r="T42" i="74" l="1"/>
  <c r="R4" i="74"/>
  <c r="T4" i="74" s="1"/>
  <c r="R4" i="73"/>
  <c r="T4" i="73" s="1"/>
  <c r="T42" i="73"/>
  <c r="T42" i="72"/>
  <c r="R4" i="72"/>
  <c r="T4" i="72" s="1"/>
  <c r="R3" i="71"/>
  <c r="S39" i="71"/>
  <c r="R4" i="71" l="1"/>
  <c r="T4" i="71" s="1"/>
  <c r="T39" i="71"/>
  <c r="M21" i="76" l="1"/>
  <c r="M34" i="76" s="1"/>
  <c r="J21" i="76"/>
  <c r="J34" i="76" s="1"/>
  <c r="K21" i="76"/>
  <c r="K38" i="76" s="1"/>
  <c r="K39" i="76" s="1"/>
  <c r="K40" i="76" s="1"/>
  <c r="O13" i="76"/>
  <c r="O21" i="76" s="1"/>
  <c r="O34" i="76" s="1"/>
  <c r="L21" i="76"/>
  <c r="L34" i="76" s="1"/>
  <c r="C21" i="76"/>
  <c r="C34" i="76" s="1"/>
  <c r="E13" i="76"/>
  <c r="E21" i="76" s="1"/>
  <c r="E34" i="76" s="1"/>
  <c r="T13" i="76"/>
  <c r="B13" i="76"/>
  <c r="A14" i="76" s="1"/>
  <c r="B14" i="76" s="1"/>
  <c r="A15" i="76" s="1"/>
  <c r="B15" i="76" s="1"/>
  <c r="A16" i="76" s="1"/>
  <c r="B16" i="76" s="1"/>
  <c r="A17" i="76" s="1"/>
  <c r="B17" i="76" s="1"/>
  <c r="A18" i="76" s="1"/>
  <c r="B18" i="76" s="1"/>
  <c r="A19" i="76" s="1"/>
  <c r="B19" i="76" s="1"/>
  <c r="A20" i="76" s="1"/>
  <c r="B20" i="76" s="1"/>
  <c r="A23" i="76" s="1"/>
  <c r="B23" i="76" s="1"/>
  <c r="I21" i="76"/>
  <c r="I34" i="76" s="1"/>
  <c r="H21" i="76"/>
  <c r="H34" i="76" s="1"/>
  <c r="M38" i="76" l="1"/>
  <c r="M39" i="76" s="1"/>
  <c r="M40" i="76" s="1"/>
  <c r="J38" i="76"/>
  <c r="J39" i="76" s="1"/>
  <c r="J40" i="76" s="1"/>
  <c r="I38" i="76"/>
  <c r="I39" i="76" s="1"/>
  <c r="I40" i="76" s="1"/>
  <c r="L38" i="76"/>
  <c r="L39" i="76" s="1"/>
  <c r="L40" i="76" s="1"/>
  <c r="A24" i="76"/>
  <c r="B24" i="76" s="1"/>
  <c r="A26" i="76" s="1"/>
  <c r="B26" i="76" s="1"/>
  <c r="A27" i="76" s="1"/>
  <c r="B27" i="76" s="1"/>
  <c r="A28" i="76" s="1"/>
  <c r="B28" i="76" s="1"/>
  <c r="A29" i="76" s="1"/>
  <c r="B29" i="76" s="1"/>
  <c r="A30" i="76" s="1"/>
  <c r="B30" i="76" s="1"/>
  <c r="A31" i="76" s="1"/>
  <c r="B31" i="76" s="1"/>
  <c r="A25" i="76"/>
  <c r="B25" i="76" s="1"/>
  <c r="K34" i="76"/>
  <c r="H38" i="76"/>
  <c r="N38" i="76" l="1"/>
  <c r="H39" i="76"/>
  <c r="H40" i="76" s="1"/>
  <c r="N39" i="76" l="1"/>
  <c r="N40" i="76" s="1"/>
  <c r="R38" i="76"/>
  <c r="R41" i="76" l="1"/>
  <c r="S38" i="76"/>
  <c r="T38" i="76" s="1"/>
  <c r="R5" i="76" l="1"/>
  <c r="S41" i="76"/>
  <c r="R6" i="76" l="1"/>
  <c r="T6" i="76" s="1"/>
  <c r="T41" i="76"/>
  <c r="T10" i="76" l="1"/>
  <c r="S10" i="76"/>
  <c r="S12" i="76"/>
  <c r="T12" i="76"/>
  <c r="T21" i="76" s="1"/>
  <c r="T34" i="76" s="1"/>
  <c r="R7" i="76" s="1"/>
  <c r="T14" i="76"/>
  <c r="S14" i="76"/>
  <c r="S16" i="76"/>
  <c r="T16" i="76"/>
  <c r="S18" i="76"/>
  <c r="T18" i="76"/>
  <c r="T20" i="76"/>
  <c r="S20" i="76"/>
  <c r="Q11" i="76"/>
  <c r="S11" i="76" s="1"/>
  <c r="Q13" i="76"/>
  <c r="S13" i="76" s="1"/>
  <c r="Q15" i="76"/>
  <c r="S15" i="76" s="1"/>
  <c r="Q17" i="76"/>
  <c r="S17" i="76" s="1"/>
  <c r="Q19" i="76"/>
  <c r="S19" i="76" s="1"/>
  <c r="S21" i="76" l="1"/>
  <c r="S34" i="76" s="1"/>
  <c r="L7" i="76" s="1"/>
</calcChain>
</file>

<file path=xl/sharedStrings.xml><?xml version="1.0" encoding="utf-8"?>
<sst xmlns="http://schemas.openxmlformats.org/spreadsheetml/2006/main" count="713" uniqueCount="95">
  <si>
    <t xml:space="preserve"> </t>
  </si>
  <si>
    <t>CBM</t>
  </si>
  <si>
    <t>Color</t>
  </si>
  <si>
    <t>Date</t>
  </si>
  <si>
    <t>Invoice No.</t>
  </si>
  <si>
    <t>Fabric</t>
  </si>
  <si>
    <t>PO Number</t>
  </si>
  <si>
    <t>Item</t>
  </si>
  <si>
    <t>Excess / Shortage</t>
  </si>
  <si>
    <t>Style No</t>
  </si>
  <si>
    <t>Net Weight</t>
  </si>
  <si>
    <t>Gross Weight</t>
  </si>
  <si>
    <t>Carton Nos</t>
  </si>
  <si>
    <t>Total Ctns</t>
  </si>
  <si>
    <t>Carton Measurements</t>
  </si>
  <si>
    <t>Destination</t>
  </si>
  <si>
    <t>COLOR</t>
  </si>
  <si>
    <t>Pcs / Ctn</t>
  </si>
  <si>
    <t>Total Pcs</t>
  </si>
  <si>
    <t xml:space="preserve">Nt. Wt / Gmt </t>
  </si>
  <si>
    <t>Nt. Wt / Ctn</t>
  </si>
  <si>
    <t>Gr.Wt / Ctn</t>
  </si>
  <si>
    <t>Total Nt. Wt</t>
  </si>
  <si>
    <t>Total Gr. Wt.</t>
  </si>
  <si>
    <t>SU TOTAL</t>
  </si>
  <si>
    <t>Abstract</t>
  </si>
  <si>
    <t>Total</t>
  </si>
  <si>
    <t>Order Qty</t>
  </si>
  <si>
    <t>COLOR CODE</t>
  </si>
  <si>
    <t>ORDER QTY</t>
  </si>
  <si>
    <t>SHIP QTY</t>
  </si>
  <si>
    <t>EXCESS/SHORT</t>
  </si>
  <si>
    <t>EXCESS/SHORT %</t>
  </si>
  <si>
    <t>Packed Qty</t>
  </si>
  <si>
    <t>Excess / Short</t>
  </si>
  <si>
    <t>TOTAL</t>
  </si>
  <si>
    <t>GRAND Total</t>
  </si>
  <si>
    <t>TOTAL CBM</t>
  </si>
  <si>
    <t>MEGHNA DENIMS LTD.</t>
  </si>
  <si>
    <t>Germany</t>
  </si>
  <si>
    <t>100% COTTON</t>
  </si>
  <si>
    <t>WOMEN WOVEN COTTON PANT</t>
  </si>
  <si>
    <t>SSHDEMOMO3</t>
  </si>
  <si>
    <t>Medium Indigo (EHV)</t>
  </si>
  <si>
    <t>Black (HHU)</t>
  </si>
  <si>
    <t>SUB TOTAL</t>
  </si>
  <si>
    <t>EHV</t>
  </si>
  <si>
    <t>HHU</t>
  </si>
  <si>
    <t xml:space="preserve">SPADEBOXER </t>
  </si>
  <si>
    <t>Bleach Indigo
 (EHBL)</t>
  </si>
  <si>
    <t>Medium Dark (EHMD)</t>
  </si>
  <si>
    <t>EHBL</t>
  </si>
  <si>
    <t>EHMD</t>
  </si>
  <si>
    <t>MDL-TALLY-2024-14</t>
  </si>
  <si>
    <t>Women Knit Cotton Pant</t>
  </si>
  <si>
    <t>82 % COTTON, 18 % LYOCELL</t>
  </si>
  <si>
    <t>G.W</t>
  </si>
  <si>
    <t>N.W</t>
  </si>
  <si>
    <t>PC WT</t>
  </si>
  <si>
    <t>93 % COTTON, 5  % ELASTOMULTIESTER, 2  % ELASTANE</t>
  </si>
  <si>
    <t>SPADEPIKA</t>
  </si>
  <si>
    <t>VeryLight
Bleached Indigo Wash (EHBS)</t>
  </si>
  <si>
    <t>Denim BlueEHLM2 (LM00)</t>
  </si>
  <si>
    <t>EHBS</t>
  </si>
  <si>
    <t>LM00</t>
  </si>
  <si>
    <t>Woven Women Cotton Denim Pant</t>
  </si>
  <si>
    <t>MDL-TALLY-2024-19</t>
  </si>
  <si>
    <t>Medium Indigo WashUsedEffects3 (EHV)</t>
  </si>
  <si>
    <t>SPADECYNTIA2</t>
  </si>
  <si>
    <t>MDL-TALLY-2025-34</t>
  </si>
  <si>
    <t>92 % COTTON, 6  % ELASTOMULTIESTER, 2  % ELASTANE</t>
  </si>
  <si>
    <t xml:space="preserve">MidDark IndigoWash DirtyBeige2 (DB00)
</t>
  </si>
  <si>
    <t>DB00</t>
  </si>
  <si>
    <t>MDL-TALLY-2025-</t>
  </si>
  <si>
    <t xml:space="preserve">Bleach Indigo Wash (EHBL)
</t>
  </si>
  <si>
    <t>Woven Women Cotton Short</t>
  </si>
  <si>
    <t>THAT'S IT SPORT'S WEAR LTD.     ( UNIT = 04 )</t>
  </si>
  <si>
    <t>Narashighpur, Ashulia, Dhaka-1341.</t>
  </si>
  <si>
    <t xml:space="preserve">PACKING LIST </t>
  </si>
  <si>
    <t>SSHCOPUMPYMR</t>
  </si>
  <si>
    <t>XS/32</t>
  </si>
  <si>
    <t>S/34</t>
  </si>
  <si>
    <t>M/36</t>
  </si>
  <si>
    <t>L/38</t>
  </si>
  <si>
    <t>XL/40</t>
  </si>
  <si>
    <t>2XL/42</t>
  </si>
  <si>
    <t>98 % COTTON, 2 % ELASTANE,</t>
  </si>
  <si>
    <t xml:space="preserve">HH, Black
</t>
  </si>
  <si>
    <t>SJADEMALIK</t>
  </si>
  <si>
    <t xml:space="preserve">Black Used Wash
</t>
  </si>
  <si>
    <t>99 % COTTON, 1 % ELASTANE,</t>
  </si>
  <si>
    <t>Woven Women Cotton Jacket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</si>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</sst>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T_L_-;\-* #,##0.00\ _T_L_-;_-* &quot;-&quot;??\ _T_L_-;_-@_-"/>
    <numFmt numFmtId="165" formatCode="0.000"/>
    <numFmt numFmtId="166" formatCode="0.0%"/>
    <numFmt numFmtId="167" formatCode="[$-F800]dddd\,\ mmmm\ dd\,\ yyyy"/>
    <numFmt numFmtId="168" formatCode="@\ &quot;CM&quot;"/>
    <numFmt numFmtId="169" formatCode="0.0"/>
  </numFmts>
  <fonts count="159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name val="宋体"/>
      <charset val="134"/>
    </font>
    <font>
      <sz val="10"/>
      <name val="Times New Roman"/>
      <family val="1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162"/>
    </font>
    <font>
      <sz val="12"/>
      <name val="宋体"/>
      <family val="3"/>
      <charset val="134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20">
    <xf numFmtId="0" fontId="0" fillId="0" borderId="0"/>
    <xf numFmtId="0" fontId="116" fillId="0" borderId="0"/>
    <xf numFmtId="43" fontId="117" fillId="0" borderId="0" applyFont="0" applyFill="0" applyBorder="0" applyAlignment="0" applyProtection="0"/>
    <xf numFmtId="44" fontId="116" fillId="0" borderId="0" applyFont="0" applyFill="0" applyBorder="0" applyAlignment="0" applyProtection="0"/>
    <xf numFmtId="0" fontId="115" fillId="0" borderId="0"/>
    <xf numFmtId="0" fontId="117" fillId="0" borderId="0"/>
    <xf numFmtId="0" fontId="117" fillId="0" borderId="0">
      <alignment vertical="top"/>
    </xf>
    <xf numFmtId="0" fontId="117" fillId="0" borderId="0"/>
    <xf numFmtId="0" fontId="117" fillId="0" borderId="0"/>
    <xf numFmtId="0" fontId="118" fillId="0" borderId="0"/>
    <xf numFmtId="0" fontId="11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3" fillId="0" borderId="0"/>
    <xf numFmtId="9" fontId="113" fillId="0" borderId="0" applyFont="0" applyFill="0" applyBorder="0" applyAlignment="0" applyProtection="0"/>
    <xf numFmtId="0" fontId="121" fillId="0" borderId="0"/>
    <xf numFmtId="0" fontId="112" fillId="0" borderId="0"/>
    <xf numFmtId="9" fontId="112" fillId="0" borderId="0" applyFont="0" applyFill="0" applyBorder="0" applyAlignment="0" applyProtection="0"/>
    <xf numFmtId="0" fontId="111" fillId="0" borderId="0"/>
    <xf numFmtId="9" fontId="111" fillId="0" borderId="0" applyFont="0" applyFill="0" applyBorder="0" applyAlignment="0" applyProtection="0"/>
    <xf numFmtId="0" fontId="110" fillId="0" borderId="0"/>
    <xf numFmtId="9" fontId="110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7" fillId="0" borderId="0"/>
    <xf numFmtId="9" fontId="107" fillId="0" borderId="0" applyFont="0" applyFill="0" applyBorder="0" applyAlignment="0" applyProtection="0"/>
    <xf numFmtId="0" fontId="106" fillId="0" borderId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/>
    <xf numFmtId="0" fontId="120" fillId="0" borderId="0"/>
    <xf numFmtId="0" fontId="116" fillId="0" borderId="0">
      <alignment vertical="top"/>
    </xf>
    <xf numFmtId="0" fontId="116" fillId="0" borderId="0">
      <alignment vertical="top"/>
    </xf>
    <xf numFmtId="0" fontId="116" fillId="0" borderId="0">
      <alignment vertical="top"/>
    </xf>
    <xf numFmtId="0" fontId="124" fillId="0" borderId="0"/>
    <xf numFmtId="0" fontId="125" fillId="0" borderId="0"/>
    <xf numFmtId="0" fontId="116" fillId="0" borderId="0"/>
    <xf numFmtId="0" fontId="106" fillId="0" borderId="0"/>
    <xf numFmtId="9" fontId="106" fillId="0" borderId="0" applyFont="0" applyFill="0" applyBorder="0" applyAlignment="0" applyProtection="0"/>
    <xf numFmtId="0" fontId="105" fillId="0" borderId="0"/>
    <xf numFmtId="9" fontId="105" fillId="0" borderId="0" applyFont="0" applyFill="0" applyBorder="0" applyAlignment="0" applyProtection="0"/>
    <xf numFmtId="0" fontId="126" fillId="0" borderId="0">
      <alignment vertical="center"/>
    </xf>
    <xf numFmtId="0" fontId="127" fillId="0" borderId="0" applyNumberFormat="0" applyFill="0" applyBorder="0" applyAlignment="0" applyProtection="0"/>
    <xf numFmtId="0" fontId="124" fillId="3" borderId="0" applyNumberFormat="0" applyBorder="0" applyAlignment="0" applyProtection="0"/>
    <xf numFmtId="0" fontId="124" fillId="4" borderId="0" applyNumberFormat="0" applyBorder="0" applyAlignment="0" applyProtection="0"/>
    <xf numFmtId="0" fontId="124" fillId="5" borderId="0" applyNumberFormat="0" applyBorder="0" applyAlignment="0" applyProtection="0"/>
    <xf numFmtId="0" fontId="124" fillId="6" borderId="0" applyNumberFormat="0" applyBorder="0" applyAlignment="0" applyProtection="0"/>
    <xf numFmtId="0" fontId="124" fillId="7" borderId="0" applyNumberFormat="0" applyBorder="0" applyAlignment="0" applyProtection="0"/>
    <xf numFmtId="0" fontId="124" fillId="8" borderId="0" applyNumberFormat="0" applyBorder="0" applyAlignment="0" applyProtection="0"/>
    <xf numFmtId="0" fontId="124" fillId="9" borderId="0" applyNumberFormat="0" applyBorder="0" applyAlignment="0" applyProtection="0"/>
    <xf numFmtId="0" fontId="124" fillId="10" borderId="0" applyNumberFormat="0" applyBorder="0" applyAlignment="0" applyProtection="0"/>
    <xf numFmtId="0" fontId="124" fillId="11" borderId="0" applyNumberFormat="0" applyBorder="0" applyAlignment="0" applyProtection="0"/>
    <xf numFmtId="0" fontId="124" fillId="6" borderId="0" applyNumberFormat="0" applyBorder="0" applyAlignment="0" applyProtection="0"/>
    <xf numFmtId="0" fontId="124" fillId="9" borderId="0" applyNumberFormat="0" applyBorder="0" applyAlignment="0" applyProtection="0"/>
    <xf numFmtId="0" fontId="124" fillId="12" borderId="0" applyNumberFormat="0" applyBorder="0" applyAlignment="0" applyProtection="0"/>
    <xf numFmtId="0" fontId="128" fillId="13" borderId="0" applyNumberFormat="0" applyBorder="0" applyAlignment="0" applyProtection="0"/>
    <xf numFmtId="0" fontId="128" fillId="10" borderId="0" applyNumberFormat="0" applyBorder="0" applyAlignment="0" applyProtection="0"/>
    <xf numFmtId="0" fontId="128" fillId="11" borderId="0" applyNumberFormat="0" applyBorder="0" applyAlignment="0" applyProtection="0"/>
    <xf numFmtId="0" fontId="128" fillId="14" borderId="0" applyNumberFormat="0" applyBorder="0" applyAlignment="0" applyProtection="0"/>
    <xf numFmtId="0" fontId="128" fillId="15" borderId="0" applyNumberFormat="0" applyBorder="0" applyAlignment="0" applyProtection="0"/>
    <xf numFmtId="0" fontId="128" fillId="16" borderId="0" applyNumberFormat="0" applyBorder="0" applyAlignment="0" applyProtection="0"/>
    <xf numFmtId="0" fontId="116" fillId="17" borderId="8" applyNumberFormat="0" applyFont="0" applyAlignment="0" applyProtection="0"/>
    <xf numFmtId="0" fontId="129" fillId="18" borderId="9" applyNumberFormat="0" applyAlignment="0" applyProtection="0"/>
    <xf numFmtId="0" fontId="130" fillId="5" borderId="0" applyNumberFormat="0" applyBorder="0" applyAlignment="0" applyProtection="0"/>
    <xf numFmtId="0" fontId="131" fillId="4" borderId="0" applyNumberFormat="0" applyBorder="0" applyAlignment="0" applyProtection="0"/>
    <xf numFmtId="0" fontId="128" fillId="19" borderId="0" applyNumberFormat="0" applyBorder="0" applyAlignment="0" applyProtection="0"/>
    <xf numFmtId="0" fontId="128" fillId="20" borderId="0" applyNumberFormat="0" applyBorder="0" applyAlignment="0" applyProtection="0"/>
    <xf numFmtId="0" fontId="128" fillId="21" borderId="0" applyNumberFormat="0" applyBorder="0" applyAlignment="0" applyProtection="0"/>
    <xf numFmtId="0" fontId="128" fillId="14" borderId="0" applyNumberFormat="0" applyBorder="0" applyAlignment="0" applyProtection="0"/>
    <xf numFmtId="0" fontId="128" fillId="15" borderId="0" applyNumberFormat="0" applyBorder="0" applyAlignment="0" applyProtection="0"/>
    <xf numFmtId="0" fontId="128" fillId="22" borderId="0" applyNumberFormat="0" applyBorder="0" applyAlignment="0" applyProtection="0"/>
    <xf numFmtId="0" fontId="132" fillId="0" borderId="0" applyNumberFormat="0" applyFill="0" applyBorder="0" applyAlignment="0" applyProtection="0"/>
    <xf numFmtId="0" fontId="133" fillId="8" borderId="9" applyNumberFormat="0" applyAlignment="0" applyProtection="0"/>
    <xf numFmtId="0" fontId="134" fillId="23" borderId="10" applyNumberFormat="0" applyAlignment="0" applyProtection="0"/>
    <xf numFmtId="0" fontId="135" fillId="0" borderId="11" applyNumberFormat="0" applyFill="0" applyAlignment="0" applyProtection="0"/>
    <xf numFmtId="0" fontId="136" fillId="0" borderId="0" applyNumberFormat="0" applyFill="0" applyBorder="0" applyAlignment="0" applyProtection="0"/>
    <xf numFmtId="0" fontId="137" fillId="0" borderId="12" applyNumberFormat="0" applyFill="0" applyAlignment="0" applyProtection="0"/>
    <xf numFmtId="0" fontId="138" fillId="0" borderId="13" applyNumberFormat="0" applyFill="0" applyAlignment="0" applyProtection="0"/>
    <xf numFmtId="0" fontId="139" fillId="0" borderId="14" applyNumberFormat="0" applyFill="0" applyAlignment="0" applyProtection="0"/>
    <xf numFmtId="0" fontId="139" fillId="0" borderId="0" applyNumberFormat="0" applyFill="0" applyBorder="0" applyAlignment="0" applyProtection="0"/>
    <xf numFmtId="0" fontId="140" fillId="0" borderId="0">
      <alignment vertical="top"/>
    </xf>
    <xf numFmtId="0" fontId="141" fillId="0" borderId="15" applyNumberFormat="0" applyFill="0" applyAlignment="0" applyProtection="0"/>
    <xf numFmtId="0" fontId="142" fillId="18" borderId="16" applyNumberFormat="0" applyAlignment="0" applyProtection="0"/>
    <xf numFmtId="0" fontId="143" fillId="0" borderId="0" applyNumberFormat="0" applyFill="0" applyBorder="0" applyAlignment="0" applyProtection="0"/>
    <xf numFmtId="0" fontId="119" fillId="0" borderId="0"/>
    <xf numFmtId="164" fontId="144" fillId="0" borderId="0" applyFont="0" applyFill="0" applyBorder="0" applyAlignment="0" applyProtection="0"/>
    <xf numFmtId="0" fontId="126" fillId="0" borderId="0"/>
    <xf numFmtId="0" fontId="145" fillId="0" borderId="0"/>
    <xf numFmtId="0" fontId="145" fillId="0" borderId="0"/>
    <xf numFmtId="0" fontId="116" fillId="0" borderId="0" applyFill="0" applyBorder="0" applyAlignment="0" applyProtection="0"/>
    <xf numFmtId="0" fontId="146" fillId="0" borderId="0" applyNumberFormat="0" applyFill="0" applyBorder="0" applyAlignment="0" applyProtection="0">
      <alignment vertical="top"/>
      <protection locked="0"/>
    </xf>
    <xf numFmtId="0" fontId="104" fillId="0" borderId="0"/>
    <xf numFmtId="9" fontId="104" fillId="0" borderId="0" applyFont="0" applyFill="0" applyBorder="0" applyAlignment="0" applyProtection="0"/>
    <xf numFmtId="0" fontId="103" fillId="0" borderId="0"/>
    <xf numFmtId="9" fontId="103" fillId="0" borderId="0" applyFon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1" fillId="0" borderId="0"/>
    <xf numFmtId="9" fontId="101" fillId="0" borderId="0" applyFont="0" applyFill="0" applyBorder="0" applyAlignment="0" applyProtection="0"/>
    <xf numFmtId="0" fontId="100" fillId="0" borderId="0"/>
    <xf numFmtId="9" fontId="100" fillId="0" borderId="0" applyFont="0" applyFill="0" applyBorder="0" applyAlignment="0" applyProtection="0"/>
    <xf numFmtId="0" fontId="99" fillId="0" borderId="0"/>
    <xf numFmtId="9" fontId="99" fillId="0" borderId="0" applyFont="0" applyFill="0" applyBorder="0" applyAlignment="0" applyProtection="0"/>
    <xf numFmtId="0" fontId="98" fillId="0" borderId="0"/>
    <xf numFmtId="9" fontId="98" fillId="0" borderId="0" applyFont="0" applyFill="0" applyBorder="0" applyAlignment="0" applyProtection="0"/>
    <xf numFmtId="0" fontId="97" fillId="0" borderId="0"/>
    <xf numFmtId="0" fontId="97" fillId="0" borderId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0" fontId="96" fillId="0" borderId="0"/>
    <xf numFmtId="9" fontId="96" fillId="0" borderId="0" applyFont="0" applyFill="0" applyBorder="0" applyAlignment="0" applyProtection="0"/>
    <xf numFmtId="0" fontId="95" fillId="0" borderId="0"/>
    <xf numFmtId="9" fontId="95" fillId="0" borderId="0" applyFont="0" applyFill="0" applyBorder="0" applyAlignment="0" applyProtection="0"/>
    <xf numFmtId="0" fontId="94" fillId="0" borderId="0"/>
    <xf numFmtId="9" fontId="94" fillId="0" borderId="0" applyFont="0" applyFill="0" applyBorder="0" applyAlignment="0" applyProtection="0"/>
    <xf numFmtId="0" fontId="93" fillId="0" borderId="0"/>
    <xf numFmtId="9" fontId="93" fillId="0" borderId="0" applyFont="0" applyFill="0" applyBorder="0" applyAlignment="0" applyProtection="0"/>
    <xf numFmtId="0" fontId="92" fillId="0" borderId="0"/>
    <xf numFmtId="9" fontId="92" fillId="0" borderId="0" applyFont="0" applyFill="0" applyBorder="0" applyAlignment="0" applyProtection="0"/>
    <xf numFmtId="0" fontId="91" fillId="0" borderId="0"/>
    <xf numFmtId="9" fontId="91" fillId="0" borderId="0" applyFont="0" applyFill="0" applyBorder="0" applyAlignment="0" applyProtection="0"/>
    <xf numFmtId="0" fontId="90" fillId="0" borderId="0"/>
    <xf numFmtId="9" fontId="90" fillId="0" borderId="0" applyFont="0" applyFill="0" applyBorder="0" applyAlignment="0" applyProtection="0"/>
    <xf numFmtId="0" fontId="89" fillId="0" borderId="0"/>
    <xf numFmtId="9" fontId="89" fillId="0" borderId="0" applyFont="0" applyFill="0" applyBorder="0" applyAlignment="0" applyProtection="0"/>
    <xf numFmtId="0" fontId="88" fillId="0" borderId="0"/>
    <xf numFmtId="9" fontId="88" fillId="0" borderId="0" applyFont="0" applyFill="0" applyBorder="0" applyAlignment="0" applyProtection="0"/>
    <xf numFmtId="0" fontId="87" fillId="0" borderId="0"/>
    <xf numFmtId="9" fontId="87" fillId="0" borderId="0" applyFont="0" applyFill="0" applyBorder="0" applyAlignment="0" applyProtection="0"/>
    <xf numFmtId="0" fontId="86" fillId="0" borderId="0"/>
    <xf numFmtId="9" fontId="86" fillId="0" borderId="0" applyFont="0" applyFill="0" applyBorder="0" applyAlignment="0" applyProtection="0"/>
    <xf numFmtId="0" fontId="85" fillId="0" borderId="0"/>
    <xf numFmtId="9" fontId="85" fillId="0" borderId="0" applyFont="0" applyFill="0" applyBorder="0" applyAlignment="0" applyProtection="0"/>
    <xf numFmtId="0" fontId="84" fillId="0" borderId="0"/>
    <xf numFmtId="9" fontId="84" fillId="0" borderId="0" applyFont="0" applyFill="0" applyBorder="0" applyAlignment="0" applyProtection="0"/>
    <xf numFmtId="0" fontId="83" fillId="0" borderId="0"/>
    <xf numFmtId="9" fontId="83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1" fillId="0" borderId="0"/>
    <xf numFmtId="9" fontId="81" fillId="0" borderId="0" applyFont="0" applyFill="0" applyBorder="0" applyAlignment="0" applyProtection="0"/>
    <xf numFmtId="0" fontId="80" fillId="0" borderId="0"/>
    <xf numFmtId="9" fontId="80" fillId="0" borderId="0" applyFont="0" applyFill="0" applyBorder="0" applyAlignment="0" applyProtection="0"/>
    <xf numFmtId="0" fontId="79" fillId="0" borderId="0"/>
    <xf numFmtId="9" fontId="79" fillId="0" borderId="0" applyFont="0" applyFill="0" applyBorder="0" applyAlignment="0" applyProtection="0"/>
    <xf numFmtId="0" fontId="78" fillId="0" borderId="0"/>
    <xf numFmtId="9" fontId="78" fillId="0" borderId="0" applyFont="0" applyFill="0" applyBorder="0" applyAlignment="0" applyProtection="0"/>
    <xf numFmtId="0" fontId="77" fillId="0" borderId="0"/>
    <xf numFmtId="9" fontId="77" fillId="0" borderId="0" applyFont="0" applyFill="0" applyBorder="0" applyAlignment="0" applyProtection="0"/>
    <xf numFmtId="0" fontId="76" fillId="0" borderId="0"/>
    <xf numFmtId="9" fontId="76" fillId="0" borderId="0" applyFont="0" applyFill="0" applyBorder="0" applyAlignment="0" applyProtection="0"/>
    <xf numFmtId="0" fontId="75" fillId="0" borderId="0"/>
    <xf numFmtId="9" fontId="75" fillId="0" borderId="0" applyFont="0" applyFill="0" applyBorder="0" applyAlignment="0" applyProtection="0"/>
    <xf numFmtId="0" fontId="74" fillId="0" borderId="0"/>
    <xf numFmtId="9" fontId="74" fillId="0" borderId="0" applyFont="0" applyFill="0" applyBorder="0" applyAlignment="0" applyProtection="0"/>
    <xf numFmtId="0" fontId="73" fillId="0" borderId="0"/>
    <xf numFmtId="9" fontId="73" fillId="0" borderId="0" applyFont="0" applyFill="0" applyBorder="0" applyAlignment="0" applyProtection="0"/>
    <xf numFmtId="0" fontId="72" fillId="0" borderId="0"/>
    <xf numFmtId="9" fontId="72" fillId="0" borderId="0" applyFont="0" applyFill="0" applyBorder="0" applyAlignment="0" applyProtection="0"/>
    <xf numFmtId="0" fontId="71" fillId="0" borderId="0"/>
    <xf numFmtId="9" fontId="71" fillId="0" borderId="0" applyFont="0" applyFill="0" applyBorder="0" applyAlignment="0" applyProtection="0"/>
    <xf numFmtId="0" fontId="70" fillId="0" borderId="0"/>
    <xf numFmtId="9" fontId="70" fillId="0" borderId="0" applyFont="0" applyFill="0" applyBorder="0" applyAlignment="0" applyProtection="0"/>
    <xf numFmtId="0" fontId="69" fillId="0" borderId="0"/>
    <xf numFmtId="9" fontId="69" fillId="0" borderId="0" applyFont="0" applyFill="0" applyBorder="0" applyAlignment="0" applyProtection="0"/>
    <xf numFmtId="0" fontId="68" fillId="0" borderId="0"/>
    <xf numFmtId="9" fontId="68" fillId="0" borderId="0" applyFont="0" applyFill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0" fontId="66" fillId="0" borderId="0"/>
    <xf numFmtId="9" fontId="66" fillId="0" borderId="0" applyFont="0" applyFill="0" applyBorder="0" applyAlignment="0" applyProtection="0"/>
    <xf numFmtId="0" fontId="65" fillId="0" borderId="0"/>
    <xf numFmtId="9" fontId="65" fillId="0" borderId="0" applyFont="0" applyFill="0" applyBorder="0" applyAlignment="0" applyProtection="0"/>
    <xf numFmtId="0" fontId="64" fillId="0" borderId="0"/>
    <xf numFmtId="9" fontId="64" fillId="0" borderId="0" applyFont="0" applyFill="0" applyBorder="0" applyAlignment="0" applyProtection="0"/>
    <xf numFmtId="0" fontId="63" fillId="0" borderId="0"/>
    <xf numFmtId="9" fontId="63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0" fontId="61" fillId="0" borderId="0"/>
    <xf numFmtId="9" fontId="61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/>
    <xf numFmtId="0" fontId="59" fillId="0" borderId="0"/>
    <xf numFmtId="9" fontId="59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/>
    <xf numFmtId="0" fontId="57" fillId="0" borderId="0"/>
    <xf numFmtId="9" fontId="57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55" fillId="0" borderId="0"/>
    <xf numFmtId="9" fontId="55" fillId="0" borderId="0" applyFont="0" applyFill="0" applyBorder="0" applyAlignment="0" applyProtection="0"/>
    <xf numFmtId="0" fontId="54" fillId="0" borderId="0"/>
    <xf numFmtId="9" fontId="54" fillId="0" borderId="0" applyFont="0" applyFill="0" applyBorder="0" applyAlignment="0" applyProtection="0"/>
    <xf numFmtId="0" fontId="53" fillId="0" borderId="0"/>
    <xf numFmtId="9" fontId="53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51" fillId="0" borderId="0"/>
    <xf numFmtId="9" fontId="51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  <xf numFmtId="0" fontId="49" fillId="0" borderId="0"/>
    <xf numFmtId="9" fontId="49" fillId="0" borderId="0" applyFont="0" applyFill="0" applyBorder="0" applyAlignment="0" applyProtection="0"/>
    <xf numFmtId="0" fontId="48" fillId="0" borderId="0"/>
    <xf numFmtId="9" fontId="48" fillId="0" borderId="0" applyFont="0" applyFill="0" applyBorder="0" applyAlignment="0" applyProtection="0"/>
    <xf numFmtId="0" fontId="47" fillId="0" borderId="0"/>
    <xf numFmtId="9" fontId="47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0" fontId="43" fillId="0" borderId="0"/>
    <xf numFmtId="9" fontId="43" fillId="0" borderId="0" applyFont="0" applyFill="0" applyBorder="0" applyAlignment="0" applyProtection="0"/>
    <xf numFmtId="0" fontId="42" fillId="0" borderId="0"/>
    <xf numFmtId="9" fontId="42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38" fillId="0" borderId="0"/>
    <xf numFmtId="9" fontId="38" fillId="0" borderId="0" applyFont="0" applyFill="0" applyBorder="0" applyAlignment="0" applyProtection="0"/>
    <xf numFmtId="0" fontId="37" fillId="0" borderId="0"/>
    <xf numFmtId="9" fontId="37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5" fillId="0" borderId="0"/>
    <xf numFmtId="9" fontId="35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57">
    <xf numFmtId="0" fontId="0" fillId="0" borderId="0" xfId="0" applyAlignment="1">
      <alignment horizontal="left" vertical="top"/>
    </xf>
    <xf numFmtId="0" fontId="1" fillId="0" borderId="0" xfId="318" applyFont="1" applyAlignment="1">
      <alignment horizontal="center" vertical="center" wrapText="1"/>
    </xf>
    <xf numFmtId="10" fontId="123" fillId="0" borderId="29" xfId="318" applyNumberFormat="1" applyFont="1" applyBorder="1" applyAlignment="1">
      <alignment horizontal="center" vertical="center" wrapText="1"/>
    </xf>
    <xf numFmtId="0" fontId="148" fillId="25" borderId="1" xfId="318" applyFont="1" applyFill="1" applyBorder="1" applyAlignment="1">
      <alignment horizontal="center" vertical="center" wrapText="1"/>
    </xf>
    <xf numFmtId="0" fontId="148" fillId="25" borderId="29" xfId="318" applyFont="1" applyFill="1" applyBorder="1" applyAlignment="1">
      <alignment horizontal="center" vertical="center" wrapText="1"/>
    </xf>
    <xf numFmtId="0" fontId="150" fillId="0" borderId="0" xfId="318" applyFont="1" applyAlignment="1">
      <alignment horizontal="center" vertical="center" wrapText="1"/>
    </xf>
    <xf numFmtId="0" fontId="150" fillId="24" borderId="0" xfId="318" applyFont="1" applyFill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2" fontId="123" fillId="0" borderId="1" xfId="318" applyNumberFormat="1" applyFont="1" applyBorder="1" applyAlignment="1">
      <alignment horizontal="center" vertical="center" wrapText="1"/>
    </xf>
    <xf numFmtId="0" fontId="123" fillId="2" borderId="1" xfId="318" applyFont="1" applyFill="1" applyBorder="1" applyAlignment="1">
      <alignment horizontal="center" vertical="center" wrapText="1"/>
    </xf>
    <xf numFmtId="165" fontId="148" fillId="0" borderId="1" xfId="318" applyNumberFormat="1" applyFont="1" applyBorder="1" applyAlignment="1">
      <alignment horizontal="center" vertical="center" wrapText="1"/>
    </xf>
    <xf numFmtId="2" fontId="148" fillId="0" borderId="1" xfId="318" applyNumberFormat="1" applyFont="1" applyBorder="1" applyAlignment="1">
      <alignment horizontal="center" vertical="center" wrapText="1"/>
    </xf>
    <xf numFmtId="2" fontId="123" fillId="0" borderId="29" xfId="318" applyNumberFormat="1" applyFont="1" applyBorder="1" applyAlignment="1">
      <alignment horizontal="center" vertical="center" wrapText="1"/>
    </xf>
    <xf numFmtId="0" fontId="148" fillId="26" borderId="1" xfId="318" applyFont="1" applyFill="1" applyBorder="1" applyAlignment="1">
      <alignment horizontal="center" vertical="center" wrapText="1"/>
    </xf>
    <xf numFmtId="2" fontId="148" fillId="26" borderId="1" xfId="318" applyNumberFormat="1" applyFont="1" applyFill="1" applyBorder="1" applyAlignment="1">
      <alignment horizontal="center" vertical="center" wrapText="1"/>
    </xf>
    <xf numFmtId="0" fontId="151" fillId="0" borderId="0" xfId="318" applyFont="1" applyAlignment="1">
      <alignment vertical="center" wrapText="1"/>
    </xf>
    <xf numFmtId="0" fontId="148" fillId="27" borderId="1" xfId="318" applyFont="1" applyFill="1" applyBorder="1" applyAlignment="1">
      <alignment horizontal="center" vertical="center" wrapText="1"/>
    </xf>
    <xf numFmtId="2" fontId="148" fillId="27" borderId="1" xfId="318" applyNumberFormat="1" applyFont="1" applyFill="1" applyBorder="1" applyAlignment="1">
      <alignment horizontal="center" vertical="center" wrapText="1"/>
    </xf>
    <xf numFmtId="0" fontId="150" fillId="28" borderId="0" xfId="318" applyFont="1" applyFill="1" applyAlignment="1">
      <alignment horizontal="center" vertical="center" wrapText="1"/>
    </xf>
    <xf numFmtId="0" fontId="122" fillId="0" borderId="30" xfId="318" applyFont="1" applyBorder="1" applyAlignment="1">
      <alignment horizontal="center" vertical="center" wrapText="1"/>
    </xf>
    <xf numFmtId="0" fontId="122" fillId="0" borderId="0" xfId="318" applyFont="1" applyAlignment="1">
      <alignment horizontal="center" vertical="center" wrapText="1"/>
    </xf>
    <xf numFmtId="165" fontId="122" fillId="0" borderId="0" xfId="318" applyNumberFormat="1" applyFont="1" applyAlignment="1">
      <alignment horizontal="center" vertical="center" wrapText="1"/>
    </xf>
    <xf numFmtId="165" fontId="122" fillId="0" borderId="31" xfId="318" applyNumberFormat="1" applyFont="1" applyBorder="1" applyAlignment="1">
      <alignment horizontal="center" vertical="center" wrapText="1"/>
    </xf>
    <xf numFmtId="0" fontId="123" fillId="0" borderId="33" xfId="318" applyFont="1" applyBorder="1" applyAlignment="1">
      <alignment horizontal="center" vertical="center" wrapText="1"/>
    </xf>
    <xf numFmtId="0" fontId="123" fillId="0" borderId="34" xfId="318" applyFont="1" applyBorder="1" applyAlignment="1">
      <alignment horizontal="center" vertical="center" wrapText="1"/>
    </xf>
    <xf numFmtId="0" fontId="148" fillId="24" borderId="34" xfId="318" applyFont="1" applyFill="1" applyBorder="1" applyAlignment="1">
      <alignment horizontal="center" vertical="center" wrapText="1"/>
    </xf>
    <xf numFmtId="0" fontId="148" fillId="24" borderId="35" xfId="318" applyFont="1" applyFill="1" applyBorder="1" applyAlignment="1">
      <alignment horizontal="center" vertical="center" wrapText="1"/>
    </xf>
    <xf numFmtId="0" fontId="123" fillId="0" borderId="22" xfId="318" applyFont="1" applyBorder="1" applyAlignment="1">
      <alignment horizontal="center" vertical="center" wrapText="1"/>
    </xf>
    <xf numFmtId="0" fontId="123" fillId="0" borderId="23" xfId="318" applyFont="1" applyBorder="1" applyAlignment="1">
      <alignment horizontal="center" vertical="center" wrapText="1"/>
    </xf>
    <xf numFmtId="0" fontId="123" fillId="0" borderId="27" xfId="318" applyFont="1" applyBorder="1" applyAlignment="1">
      <alignment horizontal="center" vertical="center" wrapText="1"/>
    </xf>
    <xf numFmtId="0" fontId="148" fillId="0" borderId="1" xfId="318" applyFont="1" applyBorder="1" applyAlignment="1">
      <alignment horizontal="center" vertical="center" wrapText="1"/>
    </xf>
    <xf numFmtId="165" fontId="148" fillId="0" borderId="29" xfId="318" applyNumberFormat="1" applyFont="1" applyBorder="1" applyAlignment="1">
      <alignment horizontal="center" vertical="center" wrapText="1"/>
    </xf>
    <xf numFmtId="0" fontId="123" fillId="0" borderId="29" xfId="318" applyFont="1" applyBorder="1" applyAlignment="1">
      <alignment horizontal="center" vertical="center" wrapText="1"/>
    </xf>
    <xf numFmtId="0" fontId="123" fillId="0" borderId="2" xfId="318" applyFont="1" applyBorder="1" applyAlignment="1">
      <alignment horizontal="center" vertical="center" wrapText="1"/>
    </xf>
    <xf numFmtId="1" fontId="123" fillId="0" borderId="1" xfId="318" applyNumberFormat="1" applyFont="1" applyBorder="1" applyAlignment="1">
      <alignment horizontal="center" vertical="center" wrapText="1"/>
    </xf>
    <xf numFmtId="10" fontId="123" fillId="0" borderId="29" xfId="319" applyNumberFormat="1" applyFont="1" applyBorder="1" applyAlignment="1">
      <alignment horizontal="center" vertical="center" wrapText="1"/>
    </xf>
    <xf numFmtId="0" fontId="153" fillId="0" borderId="0" xfId="318" applyFont="1" applyAlignment="1">
      <alignment horizontal="center" vertical="center" wrapText="1"/>
    </xf>
    <xf numFmtId="0" fontId="151" fillId="0" borderId="30" xfId="318" applyFont="1" applyBorder="1" applyAlignment="1">
      <alignment horizontal="center" vertical="center" wrapText="1"/>
    </xf>
    <xf numFmtId="0" fontId="148" fillId="0" borderId="28" xfId="318" applyFont="1" applyBorder="1" applyAlignment="1">
      <alignment horizontal="center" vertical="center" wrapText="1"/>
    </xf>
    <xf numFmtId="0" fontId="148" fillId="24" borderId="1" xfId="318" applyFont="1" applyFill="1" applyBorder="1" applyAlignment="1">
      <alignment horizontal="center" vertical="center" wrapText="1"/>
    </xf>
    <xf numFmtId="0" fontId="148" fillId="24" borderId="29" xfId="318" applyFont="1" applyFill="1" applyBorder="1" applyAlignment="1">
      <alignment horizontal="center" vertical="center" wrapText="1"/>
    </xf>
    <xf numFmtId="0" fontId="151" fillId="0" borderId="0" xfId="318" applyFont="1" applyAlignment="1">
      <alignment horizontal="center" vertical="center" wrapText="1"/>
    </xf>
    <xf numFmtId="0" fontId="148" fillId="2" borderId="1" xfId="318" applyFont="1" applyFill="1" applyBorder="1" applyAlignment="1">
      <alignment horizontal="center" vertical="center" wrapText="1"/>
    </xf>
    <xf numFmtId="0" fontId="148" fillId="29" borderId="1" xfId="318" applyFont="1" applyFill="1" applyBorder="1" applyAlignment="1">
      <alignment horizontal="center" vertical="center" wrapText="1"/>
    </xf>
    <xf numFmtId="1" fontId="148" fillId="29" borderId="1" xfId="318" applyNumberFormat="1" applyFont="1" applyFill="1" applyBorder="1" applyAlignment="1">
      <alignment horizontal="center" vertical="center" wrapText="1"/>
    </xf>
    <xf numFmtId="10" fontId="123" fillId="29" borderId="29" xfId="319" applyNumberFormat="1" applyFont="1" applyFill="1" applyBorder="1" applyAlignment="1">
      <alignment horizontal="center" vertical="center" wrapText="1"/>
    </xf>
    <xf numFmtId="0" fontId="123" fillId="0" borderId="0" xfId="318" applyFont="1" applyAlignment="1">
      <alignment horizontal="center" vertical="center" wrapText="1"/>
    </xf>
    <xf numFmtId="0" fontId="1" fillId="0" borderId="31" xfId="318" applyFont="1" applyBorder="1" applyAlignment="1">
      <alignment horizontal="center" vertical="center" wrapText="1"/>
    </xf>
    <xf numFmtId="0" fontId="1" fillId="0" borderId="18" xfId="318" applyFont="1" applyBorder="1" applyAlignment="1">
      <alignment horizontal="center" vertical="center" wrapText="1"/>
    </xf>
    <xf numFmtId="165" fontId="148" fillId="26" borderId="29" xfId="318" applyNumberFormat="1" applyFont="1" applyFill="1" applyBorder="1" applyAlignment="1">
      <alignment horizontal="center" vertical="center" wrapText="1"/>
    </xf>
    <xf numFmtId="0" fontId="122" fillId="0" borderId="0" xfId="318" quotePrefix="1" applyFont="1" applyAlignment="1">
      <alignment horizontal="center" vertical="center" wrapText="1"/>
    </xf>
    <xf numFmtId="168" fontId="123" fillId="0" borderId="1" xfId="318" applyNumberFormat="1" applyFont="1" applyBorder="1" applyAlignment="1">
      <alignment horizontal="center" vertical="center" wrapText="1"/>
    </xf>
    <xf numFmtId="0" fontId="151" fillId="0" borderId="5" xfId="318" applyFont="1" applyBorder="1" applyAlignment="1">
      <alignment horizontal="center" vertical="center" wrapText="1"/>
    </xf>
    <xf numFmtId="0" fontId="1" fillId="0" borderId="36" xfId="318" applyFont="1" applyBorder="1" applyAlignment="1">
      <alignment horizontal="center" vertical="center" wrapText="1"/>
    </xf>
    <xf numFmtId="0" fontId="123" fillId="0" borderId="37" xfId="318" applyFont="1" applyBorder="1" applyAlignment="1">
      <alignment horizontal="center" vertical="center" wrapText="1"/>
    </xf>
    <xf numFmtId="0" fontId="123" fillId="0" borderId="38" xfId="318" applyFont="1" applyBorder="1" applyAlignment="1">
      <alignment horizontal="center" vertical="center" wrapText="1"/>
    </xf>
    <xf numFmtId="166" fontId="148" fillId="2" borderId="38" xfId="319" applyNumberFormat="1" applyFont="1" applyFill="1" applyBorder="1" applyAlignment="1">
      <alignment horizontal="center" vertical="center" wrapText="1"/>
    </xf>
    <xf numFmtId="166" fontId="148" fillId="2" borderId="39" xfId="319" applyNumberFormat="1" applyFont="1" applyFill="1" applyBorder="1" applyAlignment="1">
      <alignment horizontal="center" vertical="center" wrapText="1"/>
    </xf>
    <xf numFmtId="0" fontId="148" fillId="0" borderId="0" xfId="318" applyFont="1" applyAlignment="1">
      <alignment horizontal="center" vertical="center" wrapText="1"/>
    </xf>
    <xf numFmtId="0" fontId="1" fillId="0" borderId="30" xfId="318" applyFont="1" applyBorder="1" applyAlignment="1">
      <alignment horizontal="center" vertical="center" wrapText="1"/>
    </xf>
    <xf numFmtId="0" fontId="1" fillId="0" borderId="40" xfId="318" applyFont="1" applyBorder="1" applyAlignment="1">
      <alignment horizontal="center" vertical="center" wrapText="1"/>
    </xf>
    <xf numFmtId="0" fontId="149" fillId="0" borderId="0" xfId="318" applyFont="1" applyAlignment="1">
      <alignment horizontal="center" vertical="center" wrapText="1"/>
    </xf>
    <xf numFmtId="10" fontId="123" fillId="0" borderId="0" xfId="318" applyNumberFormat="1" applyFont="1" applyAlignment="1">
      <alignment horizontal="center" vertical="center" wrapText="1"/>
    </xf>
    <xf numFmtId="0" fontId="148" fillId="25" borderId="0" xfId="318" applyFont="1" applyFill="1" applyAlignment="1">
      <alignment horizontal="center" vertical="center" wrapText="1"/>
    </xf>
    <xf numFmtId="2" fontId="123" fillId="0" borderId="0" xfId="318" applyNumberFormat="1" applyFont="1" applyAlignment="1">
      <alignment horizontal="center" vertical="center" wrapText="1"/>
    </xf>
    <xf numFmtId="165" fontId="148" fillId="26" borderId="0" xfId="318" applyNumberFormat="1" applyFont="1" applyFill="1" applyAlignment="1">
      <alignment horizontal="center" vertical="center" wrapText="1"/>
    </xf>
    <xf numFmtId="0" fontId="147" fillId="0" borderId="0" xfId="318" applyFont="1" applyAlignment="1">
      <alignment horizontal="center" vertical="center" wrapText="1"/>
    </xf>
    <xf numFmtId="2" fontId="148" fillId="27" borderId="0" xfId="318" applyNumberFormat="1" applyFont="1" applyFill="1" applyAlignment="1">
      <alignment horizontal="center" vertical="center" wrapText="1"/>
    </xf>
    <xf numFmtId="165" fontId="148" fillId="0" borderId="0" xfId="318" applyNumberFormat="1" applyFont="1" applyAlignment="1">
      <alignment horizontal="center" vertical="center" wrapText="1"/>
    </xf>
    <xf numFmtId="10" fontId="123" fillId="0" borderId="0" xfId="319" applyNumberFormat="1" applyFont="1" applyBorder="1" applyAlignment="1">
      <alignment horizontal="center" vertical="center" wrapText="1"/>
    </xf>
    <xf numFmtId="10" fontId="123" fillId="29" borderId="0" xfId="319" applyNumberFormat="1" applyFont="1" applyFill="1" applyBorder="1" applyAlignment="1">
      <alignment horizontal="center" vertical="center" wrapText="1"/>
    </xf>
    <xf numFmtId="0" fontId="154" fillId="0" borderId="0" xfId="318" applyFont="1" applyAlignment="1">
      <alignment horizontal="center" vertical="center" wrapText="1"/>
    </xf>
    <xf numFmtId="0" fontId="122" fillId="0" borderId="4" xfId="318" applyFont="1" applyBorder="1" applyAlignment="1">
      <alignment vertical="center" wrapText="1"/>
    </xf>
    <xf numFmtId="0" fontId="122" fillId="0" borderId="0" xfId="318" applyFont="1" applyAlignment="1">
      <alignment vertical="center" wrapText="1"/>
    </xf>
    <xf numFmtId="10" fontId="148" fillId="2" borderId="38" xfId="319" applyNumberFormat="1" applyFont="1" applyFill="1" applyBorder="1" applyAlignment="1">
      <alignment horizontal="center" vertical="center" wrapText="1"/>
    </xf>
    <xf numFmtId="10" fontId="148" fillId="2" borderId="39" xfId="319" applyNumberFormat="1" applyFont="1" applyFill="1" applyBorder="1" applyAlignment="1">
      <alignment horizontal="center" vertical="center" wrapText="1"/>
    </xf>
    <xf numFmtId="165" fontId="1" fillId="0" borderId="0" xfId="318" applyNumberFormat="1" applyFont="1" applyAlignment="1">
      <alignment horizontal="center" vertical="center" wrapText="1"/>
    </xf>
    <xf numFmtId="165" fontId="150" fillId="24" borderId="0" xfId="318" applyNumberFormat="1" applyFont="1" applyFill="1" applyAlignment="1">
      <alignment horizontal="center" vertical="center" wrapText="1"/>
    </xf>
    <xf numFmtId="0" fontId="156" fillId="0" borderId="1" xfId="0" applyFont="1" applyBorder="1" applyAlignment="1">
      <alignment horizontal="center" vertical="center"/>
    </xf>
    <xf numFmtId="0" fontId="0" fillId="0" borderId="0" xfId="0"/>
    <xf numFmtId="0" fontId="148" fillId="26" borderId="1" xfId="318" applyFont="1" applyFill="1" applyBorder="1" applyAlignment="1">
      <alignment horizontal="center" vertical="center" wrapText="1"/>
    </xf>
    <xf numFmtId="169" fontId="1" fillId="0" borderId="0" xfId="318" applyNumberFormat="1" applyFont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0" fontId="123" fillId="0" borderId="29" xfId="318" applyFont="1" applyBorder="1" applyAlignment="1">
      <alignment horizontal="center" vertical="center" wrapText="1"/>
    </xf>
    <xf numFmtId="0" fontId="123" fillId="0" borderId="22" xfId="318" applyFont="1" applyBorder="1" applyAlignment="1">
      <alignment horizontal="center" vertical="center" wrapText="1"/>
    </xf>
    <xf numFmtId="0" fontId="123" fillId="0" borderId="23" xfId="318" applyFont="1" applyBorder="1" applyAlignment="1">
      <alignment horizontal="center" vertical="center" wrapText="1"/>
    </xf>
    <xf numFmtId="0" fontId="123" fillId="0" borderId="27" xfId="318" applyFont="1" applyBorder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0" fontId="123" fillId="0" borderId="2" xfId="318" applyFont="1" applyBorder="1" applyAlignment="1">
      <alignment horizontal="center" vertical="center" wrapText="1"/>
    </xf>
    <xf numFmtId="1" fontId="123" fillId="0" borderId="1" xfId="318" applyNumberFormat="1" applyFont="1" applyBorder="1" applyAlignment="1">
      <alignment horizontal="center" vertical="center" wrapText="1"/>
    </xf>
    <xf numFmtId="0" fontId="148" fillId="26" borderId="1" xfId="318" applyFont="1" applyFill="1" applyBorder="1" applyAlignment="1">
      <alignment horizontal="center" vertical="center" wrapText="1"/>
    </xf>
    <xf numFmtId="0" fontId="123" fillId="0" borderId="34" xfId="318" applyFont="1" applyBorder="1" applyAlignment="1">
      <alignment horizontal="center" vertical="center" wrapText="1"/>
    </xf>
    <xf numFmtId="0" fontId="122" fillId="0" borderId="0" xfId="318" applyFont="1" applyAlignment="1">
      <alignment horizontal="center" vertical="center" wrapText="1"/>
    </xf>
    <xf numFmtId="0" fontId="122" fillId="0" borderId="0" xfId="318" quotePrefix="1" applyFont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0" fontId="148" fillId="25" borderId="1" xfId="318" applyFont="1" applyFill="1" applyBorder="1" applyAlignment="1">
      <alignment horizontal="center" vertical="center" wrapText="1"/>
    </xf>
    <xf numFmtId="0" fontId="148" fillId="25" borderId="41" xfId="318" applyFont="1" applyFill="1" applyBorder="1" applyAlignment="1">
      <alignment horizontal="center" vertical="center" wrapText="1"/>
    </xf>
    <xf numFmtId="0" fontId="148" fillId="25" borderId="43" xfId="318" applyFont="1" applyFill="1" applyBorder="1" applyAlignment="1">
      <alignment horizontal="center" vertical="center" wrapText="1"/>
    </xf>
    <xf numFmtId="0" fontId="148" fillId="26" borderId="38" xfId="318" applyFont="1" applyFill="1" applyBorder="1" applyAlignment="1">
      <alignment horizontal="center" vertical="center" wrapText="1"/>
    </xf>
    <xf numFmtId="2" fontId="148" fillId="26" borderId="38" xfId="318" applyNumberFormat="1" applyFont="1" applyFill="1" applyBorder="1" applyAlignment="1">
      <alignment horizontal="center" vertical="center" wrapText="1"/>
    </xf>
    <xf numFmtId="165" fontId="148" fillId="26" borderId="39" xfId="318" applyNumberFormat="1" applyFont="1" applyFill="1" applyBorder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0" fontId="123" fillId="0" borderId="29" xfId="318" applyFont="1" applyBorder="1" applyAlignment="1">
      <alignment horizontal="center" vertical="center" wrapText="1"/>
    </xf>
    <xf numFmtId="0" fontId="149" fillId="0" borderId="19" xfId="318" applyFont="1" applyBorder="1" applyAlignment="1">
      <alignment horizontal="center" vertical="center" wrapText="1"/>
    </xf>
    <xf numFmtId="0" fontId="149" fillId="0" borderId="20" xfId="318" applyFont="1" applyBorder="1" applyAlignment="1">
      <alignment horizontal="center" vertical="center" wrapText="1"/>
    </xf>
    <xf numFmtId="0" fontId="149" fillId="0" borderId="21" xfId="318" applyFont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58" fillId="0" borderId="0" xfId="0" applyFont="1" applyBorder="1" applyAlignment="1">
      <alignment horizontal="center" vertical="center"/>
    </xf>
    <xf numFmtId="0" fontId="123" fillId="0" borderId="22" xfId="318" applyFont="1" applyBorder="1" applyAlignment="1">
      <alignment horizontal="center" vertical="center" wrapText="1"/>
    </xf>
    <xf numFmtId="0" fontId="123" fillId="0" borderId="23" xfId="318" applyFont="1" applyBorder="1" applyAlignment="1">
      <alignment horizontal="center" vertical="center" wrapText="1"/>
    </xf>
    <xf numFmtId="0" fontId="123" fillId="0" borderId="27" xfId="318" applyFont="1" applyBorder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167" fontId="123" fillId="0" borderId="23" xfId="318" applyNumberFormat="1" applyFont="1" applyBorder="1" applyAlignment="1">
      <alignment horizontal="center" vertical="center" wrapText="1"/>
    </xf>
    <xf numFmtId="0" fontId="155" fillId="0" borderId="23" xfId="318" applyFont="1" applyBorder="1" applyAlignment="1">
      <alignment horizontal="center" vertical="center"/>
    </xf>
    <xf numFmtId="165" fontId="123" fillId="0" borderId="1" xfId="318" applyNumberFormat="1" applyFont="1" applyBorder="1" applyAlignment="1">
      <alignment horizontal="center" vertical="center" wrapText="1"/>
    </xf>
    <xf numFmtId="1" fontId="123" fillId="0" borderId="1" xfId="318" applyNumberFormat="1" applyFont="1" applyBorder="1" applyAlignment="1">
      <alignment horizontal="center" vertical="center" wrapText="1"/>
    </xf>
    <xf numFmtId="0" fontId="123" fillId="0" borderId="17" xfId="318" applyFont="1" applyBorder="1" applyAlignment="1">
      <alignment horizontal="center" vertical="center" wrapText="1"/>
    </xf>
    <xf numFmtId="0" fontId="123" fillId="0" borderId="6" xfId="318" applyFont="1" applyBorder="1" applyAlignment="1">
      <alignment horizontal="center" vertical="center" wrapText="1"/>
    </xf>
    <xf numFmtId="0" fontId="148" fillId="25" borderId="28" xfId="318" applyFont="1" applyFill="1" applyBorder="1" applyAlignment="1">
      <alignment horizontal="center" vertical="center" wrapText="1"/>
    </xf>
    <xf numFmtId="0" fontId="148" fillId="25" borderId="1" xfId="318" applyFont="1" applyFill="1" applyBorder="1" applyAlignment="1">
      <alignment horizontal="center" vertical="center" wrapText="1"/>
    </xf>
    <xf numFmtId="0" fontId="148" fillId="26" borderId="37" xfId="318" applyFont="1" applyFill="1" applyBorder="1" applyAlignment="1">
      <alignment horizontal="center" vertical="center" wrapText="1"/>
    </xf>
    <xf numFmtId="0" fontId="148" fillId="26" borderId="38" xfId="318" applyFont="1" applyFill="1" applyBorder="1" applyAlignment="1">
      <alignment horizontal="center" vertical="center" wrapText="1"/>
    </xf>
    <xf numFmtId="0" fontId="148" fillId="25" borderId="42" xfId="318" applyFont="1" applyFill="1" applyBorder="1" applyAlignment="1">
      <alignment horizontal="center" vertical="center" wrapText="1"/>
    </xf>
    <xf numFmtId="0" fontId="148" fillId="25" borderId="41" xfId="318" applyFont="1" applyFill="1" applyBorder="1" applyAlignment="1">
      <alignment horizontal="center" vertical="center" wrapText="1"/>
    </xf>
    <xf numFmtId="0" fontId="123" fillId="0" borderId="34" xfId="318" applyFont="1" applyBorder="1" applyAlignment="1">
      <alignment horizontal="center" vertical="center" wrapText="1"/>
    </xf>
    <xf numFmtId="0" fontId="123" fillId="0" borderId="41" xfId="318" applyFont="1" applyBorder="1" applyAlignment="1">
      <alignment horizontal="center" vertical="center" wrapText="1"/>
    </xf>
    <xf numFmtId="0" fontId="148" fillId="26" borderId="28" xfId="318" applyFont="1" applyFill="1" applyBorder="1" applyAlignment="1">
      <alignment horizontal="center" vertical="center" wrapText="1"/>
    </xf>
    <xf numFmtId="0" fontId="148" fillId="26" borderId="1" xfId="318" applyFont="1" applyFill="1" applyBorder="1" applyAlignment="1">
      <alignment horizontal="center" vertical="center" wrapText="1"/>
    </xf>
    <xf numFmtId="0" fontId="147" fillId="0" borderId="32" xfId="318" applyFont="1" applyBorder="1" applyAlignment="1">
      <alignment horizontal="center" vertical="center" wrapText="1"/>
    </xf>
    <xf numFmtId="0" fontId="147" fillId="0" borderId="3" xfId="318" applyFont="1" applyBorder="1" applyAlignment="1">
      <alignment horizontal="center" vertical="center" wrapText="1"/>
    </xf>
    <xf numFmtId="0" fontId="148" fillId="27" borderId="32" xfId="318" applyFont="1" applyFill="1" applyBorder="1" applyAlignment="1">
      <alignment horizontal="center" vertical="center" wrapText="1"/>
    </xf>
    <xf numFmtId="0" fontId="148" fillId="27" borderId="7" xfId="318" applyFont="1" applyFill="1" applyBorder="1" applyAlignment="1">
      <alignment horizontal="center" vertical="center" wrapText="1"/>
    </xf>
    <xf numFmtId="0" fontId="122" fillId="0" borderId="0" xfId="318" applyFont="1" applyAlignment="1">
      <alignment horizontal="center" vertical="center" wrapText="1"/>
    </xf>
    <xf numFmtId="0" fontId="122" fillId="0" borderId="0" xfId="318" quotePrefix="1" applyFont="1" applyAlignment="1">
      <alignment horizontal="center" vertical="center" wrapText="1"/>
    </xf>
    <xf numFmtId="0" fontId="122" fillId="0" borderId="31" xfId="318" quotePrefix="1" applyFont="1" applyBorder="1" applyAlignment="1">
      <alignment horizontal="center" vertical="center" wrapText="1"/>
    </xf>
    <xf numFmtId="165" fontId="123" fillId="0" borderId="2" xfId="318" applyNumberFormat="1" applyFont="1" applyBorder="1" applyAlignment="1">
      <alignment horizontal="center" vertical="center" wrapText="1"/>
    </xf>
    <xf numFmtId="165" fontId="123" fillId="0" borderId="3" xfId="318" applyNumberFormat="1" applyFont="1" applyBorder="1" applyAlignment="1">
      <alignment horizontal="center" vertical="center" wrapText="1"/>
    </xf>
    <xf numFmtId="165" fontId="123" fillId="0" borderId="7" xfId="318" applyNumberFormat="1" applyFont="1" applyBorder="1" applyAlignment="1">
      <alignment horizontal="center" vertical="center" wrapText="1"/>
    </xf>
    <xf numFmtId="0" fontId="123" fillId="0" borderId="2" xfId="318" applyFont="1" applyBorder="1" applyAlignment="1">
      <alignment horizontal="center" vertical="center" wrapText="1"/>
    </xf>
    <xf numFmtId="0" fontId="123" fillId="0" borderId="3" xfId="318" applyFont="1" applyBorder="1" applyAlignment="1">
      <alignment horizontal="center" vertical="center" wrapText="1"/>
    </xf>
    <xf numFmtId="0" fontId="123" fillId="0" borderId="7" xfId="318" applyFont="1" applyBorder="1" applyAlignment="1">
      <alignment horizontal="center" vertical="center" wrapText="1"/>
    </xf>
    <xf numFmtId="0" fontId="158" fillId="0" borderId="18" xfId="0" applyFont="1" applyBorder="1" applyAlignment="1">
      <alignment horizontal="center" vertical="center"/>
    </xf>
    <xf numFmtId="0" fontId="152" fillId="0" borderId="23" xfId="318" applyFont="1" applyBorder="1" applyAlignment="1">
      <alignment horizontal="center" vertical="center" wrapText="1"/>
    </xf>
    <xf numFmtId="0" fontId="155" fillId="0" borderId="24" xfId="318" applyFont="1" applyBorder="1" applyAlignment="1">
      <alignment horizontal="center" wrapText="1"/>
    </xf>
    <xf numFmtId="0" fontId="155" fillId="0" borderId="25" xfId="318" applyFont="1" applyBorder="1" applyAlignment="1">
      <alignment horizontal="center" wrapText="1"/>
    </xf>
    <xf numFmtId="0" fontId="155" fillId="0" borderId="26" xfId="318" applyFont="1" applyBorder="1" applyAlignment="1">
      <alignment horizontal="center" wrapText="1"/>
    </xf>
    <xf numFmtId="0" fontId="155" fillId="0" borderId="24" xfId="318" applyFont="1" applyBorder="1" applyAlignment="1">
      <alignment horizontal="center" vertical="center" wrapText="1"/>
    </xf>
    <xf numFmtId="0" fontId="155" fillId="0" borderId="25" xfId="318" applyFont="1" applyBorder="1" applyAlignment="1">
      <alignment horizontal="center" vertical="center" wrapText="1"/>
    </xf>
    <xf numFmtId="0" fontId="155" fillId="0" borderId="26" xfId="318" applyFont="1" applyBorder="1" applyAlignment="1">
      <alignment horizontal="center" vertical="center" wrapText="1"/>
    </xf>
    <xf numFmtId="0" fontId="123" fillId="0" borderId="24" xfId="318" applyFont="1" applyBorder="1" applyAlignment="1">
      <alignment horizontal="center" vertical="center" wrapText="1"/>
    </xf>
    <xf numFmtId="0" fontId="123" fillId="0" borderId="25" xfId="318" applyFont="1" applyBorder="1" applyAlignment="1">
      <alignment horizontal="center" vertical="center" wrapText="1"/>
    </xf>
    <xf numFmtId="0" fontId="123" fillId="0" borderId="26" xfId="318" applyFont="1" applyBorder="1" applyAlignment="1">
      <alignment horizontal="center" vertical="center" wrapText="1"/>
    </xf>
    <xf numFmtId="0" fontId="123" fillId="0" borderId="2" xfId="318" applyFont="1" applyBorder="1" applyAlignment="1">
      <alignment horizontal="center" vertical="center"/>
    </xf>
    <xf numFmtId="0" fontId="123" fillId="0" borderId="3" xfId="318" applyFont="1" applyBorder="1" applyAlignment="1">
      <alignment horizontal="center" vertical="center"/>
    </xf>
    <xf numFmtId="0" fontId="123" fillId="0" borderId="7" xfId="318" applyFont="1" applyBorder="1" applyAlignment="1">
      <alignment horizontal="center" vertical="center"/>
    </xf>
  </cellXfs>
  <cellStyles count="320">
    <cellStyle name="          _x000a__x000a_386grabber=VGA.3GR_x000a__x000a_" xfId="33"/>
    <cellStyle name="          _x000d__x000a_386grabber=VGA.3GR_x000d__x000a_" xfId="52"/>
    <cellStyle name="20% - Dekorfärg1" xfId="53"/>
    <cellStyle name="20% - Dekorfärg2" xfId="54"/>
    <cellStyle name="20% - Dekorfärg3" xfId="55"/>
    <cellStyle name="20% - Dekorfärg4" xfId="56"/>
    <cellStyle name="20% - Dekorfärg5" xfId="57"/>
    <cellStyle name="20% - Dekorfärg6" xfId="58"/>
    <cellStyle name="40% - Dekorfärg1" xfId="59"/>
    <cellStyle name="40% - Dekorfärg2" xfId="60"/>
    <cellStyle name="40% - Dekorfärg3" xfId="61"/>
    <cellStyle name="40% - Dekorfärg4" xfId="62"/>
    <cellStyle name="40% - Dekorfärg5" xfId="63"/>
    <cellStyle name="40% - Dekorfärg6" xfId="64"/>
    <cellStyle name="60% - Dekorfärg1" xfId="65"/>
    <cellStyle name="60% - Dekorfärg2" xfId="66"/>
    <cellStyle name="60% - Dekorfärg3" xfId="67"/>
    <cellStyle name="60% - Dekorfärg4" xfId="68"/>
    <cellStyle name="60% - Dekorfärg5" xfId="69"/>
    <cellStyle name="60% - Dekorfärg6" xfId="70"/>
    <cellStyle name="Anteckning" xfId="71"/>
    <cellStyle name="Beräkning" xfId="72"/>
    <cellStyle name="Bra" xfId="73"/>
    <cellStyle name="Comma 2" xfId="2"/>
    <cellStyle name="Comma 2 2" xfId="34"/>
    <cellStyle name="Comma 4" xfId="35"/>
    <cellStyle name="Comma 6 2" xfId="36"/>
    <cellStyle name="Currency 2" xfId="3"/>
    <cellStyle name="Dålig" xfId="74"/>
    <cellStyle name="Färg1" xfId="75"/>
    <cellStyle name="Färg2" xfId="76"/>
    <cellStyle name="Färg3" xfId="77"/>
    <cellStyle name="Färg4" xfId="78"/>
    <cellStyle name="Färg5" xfId="79"/>
    <cellStyle name="Färg6" xfId="80"/>
    <cellStyle name="Förklarande text" xfId="81"/>
    <cellStyle name="Indata" xfId="82"/>
    <cellStyle name="Kontrollcell" xfId="83"/>
    <cellStyle name="Länkad cell" xfId="84"/>
    <cellStyle name="Normal" xfId="0" builtinId="0"/>
    <cellStyle name="Normal 10" xfId="18"/>
    <cellStyle name="Normal 100" xfId="252"/>
    <cellStyle name="Normal 101" xfId="254"/>
    <cellStyle name="Normal 102" xfId="256"/>
    <cellStyle name="Normal 103" xfId="258"/>
    <cellStyle name="Normal 104" xfId="260"/>
    <cellStyle name="Normal 105" xfId="262"/>
    <cellStyle name="Normal 106" xfId="264"/>
    <cellStyle name="Normal 107" xfId="266"/>
    <cellStyle name="Normal 108" xfId="268"/>
    <cellStyle name="Normal 109" xfId="270"/>
    <cellStyle name="Normal 11" xfId="21"/>
    <cellStyle name="Normal 110" xfId="272"/>
    <cellStyle name="Normal 111" xfId="274"/>
    <cellStyle name="Normal 112" xfId="276"/>
    <cellStyle name="Normal 113" xfId="278"/>
    <cellStyle name="Normal 114" xfId="280"/>
    <cellStyle name="Normal 115" xfId="282"/>
    <cellStyle name="Normal 116" xfId="284"/>
    <cellStyle name="Normal 117" xfId="286"/>
    <cellStyle name="Normal 118" xfId="288"/>
    <cellStyle name="Normal 119" xfId="290"/>
    <cellStyle name="Normal 12" xfId="11"/>
    <cellStyle name="Normal 120" xfId="292"/>
    <cellStyle name="Normal 121" xfId="294"/>
    <cellStyle name="Normal 122" xfId="296"/>
    <cellStyle name="Normal 123" xfId="298"/>
    <cellStyle name="Normal 124" xfId="300"/>
    <cellStyle name="Normal 125" xfId="302"/>
    <cellStyle name="Normal 126" xfId="304"/>
    <cellStyle name="Normal 127" xfId="306"/>
    <cellStyle name="Normal 128" xfId="308"/>
    <cellStyle name="Normal 129" xfId="310"/>
    <cellStyle name="Normal 13" xfId="7"/>
    <cellStyle name="Normal 130" xfId="312"/>
    <cellStyle name="Normal 131" xfId="314"/>
    <cellStyle name="Normal 132" xfId="316"/>
    <cellStyle name="Normal 133" xfId="318"/>
    <cellStyle name="Normal 14" xfId="23"/>
    <cellStyle name="Normal 15" xfId="25"/>
    <cellStyle name="Normal 16" xfId="27"/>
    <cellStyle name="Normal 17" xfId="29"/>
    <cellStyle name="Normal 18" xfId="31"/>
    <cellStyle name="Normal 19" xfId="46"/>
    <cellStyle name="Normal 2" xfId="1"/>
    <cellStyle name="Normal 2 2" xfId="5"/>
    <cellStyle name="Normal 2 2 2" xfId="15"/>
    <cellStyle name="Normal 2 3" xfId="37"/>
    <cellStyle name="Normal 2 4" xfId="32"/>
    <cellStyle name="Normal 2 5" xfId="38"/>
    <cellStyle name="Normal 20" xfId="47"/>
    <cellStyle name="Normal 21" xfId="49"/>
    <cellStyle name="Normal 22" xfId="101"/>
    <cellStyle name="Normal 23" xfId="103"/>
    <cellStyle name="Normal 24" xfId="39"/>
    <cellStyle name="Normal 25" xfId="106"/>
    <cellStyle name="Normal 26" xfId="107"/>
    <cellStyle name="Normal 27" xfId="108"/>
    <cellStyle name="Normal 28" xfId="109"/>
    <cellStyle name="Normal 29" xfId="110"/>
    <cellStyle name="Normal 3" xfId="9"/>
    <cellStyle name="Normal 3 2" xfId="12"/>
    <cellStyle name="Normal 30" xfId="14"/>
    <cellStyle name="Normal 31" xfId="111"/>
    <cellStyle name="Normal 32" xfId="105"/>
    <cellStyle name="Normal 33" xfId="118"/>
    <cellStyle name="Normal 34" xfId="120"/>
    <cellStyle name="Normal 35" xfId="40"/>
    <cellStyle name="Normal 36" xfId="122"/>
    <cellStyle name="Normal 37" xfId="124"/>
    <cellStyle name="Normal 38" xfId="127"/>
    <cellStyle name="Normal 39" xfId="126"/>
    <cellStyle name="Normal 4" xfId="10"/>
    <cellStyle name="Normal 4 2" xfId="8"/>
    <cellStyle name="Normal 40" xfId="130"/>
    <cellStyle name="Normal 40 2" xfId="134"/>
    <cellStyle name="Normal 41" xfId="132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"/>
    <cellStyle name="Normal 5 2" xfId="41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70"/>
    <cellStyle name="Normal 6" xfId="16"/>
    <cellStyle name="Normal 60" xfId="172"/>
    <cellStyle name="Normal 61" xfId="174"/>
    <cellStyle name="Normal 62" xfId="176"/>
    <cellStyle name="Normal 63" xfId="178"/>
    <cellStyle name="Normal 64" xfId="180"/>
    <cellStyle name="Normal 65" xfId="182"/>
    <cellStyle name="Normal 66" xfId="184"/>
    <cellStyle name="Normal 67" xfId="186"/>
    <cellStyle name="Normal 68" xfId="188"/>
    <cellStyle name="Normal 69" xfId="190"/>
    <cellStyle name="Normal 7" xfId="4"/>
    <cellStyle name="Normal 7 2" xfId="42"/>
    <cellStyle name="Normal 7 3" xfId="51"/>
    <cellStyle name="Normal 70" xfId="192"/>
    <cellStyle name="Normal 71" xfId="194"/>
    <cellStyle name="Normal 72" xfId="196"/>
    <cellStyle name="Normal 73" xfId="198"/>
    <cellStyle name="Normal 74" xfId="200"/>
    <cellStyle name="Normal 75" xfId="202"/>
    <cellStyle name="Normal 76" xfId="204"/>
    <cellStyle name="Normal 77" xfId="206"/>
    <cellStyle name="Normal 78" xfId="208"/>
    <cellStyle name="Normal 79" xfId="210"/>
    <cellStyle name="Normal 8" xfId="13"/>
    <cellStyle name="Normal 8 2" xfId="43"/>
    <cellStyle name="Normal 80" xfId="212"/>
    <cellStyle name="Normal 81" xfId="214"/>
    <cellStyle name="Normal 82" xfId="216"/>
    <cellStyle name="Normal 83" xfId="218"/>
    <cellStyle name="Normal 84" xfId="220"/>
    <cellStyle name="Normal 85" xfId="222"/>
    <cellStyle name="Normal 86" xfId="224"/>
    <cellStyle name="Normal 87" xfId="226"/>
    <cellStyle name="Normal 88" xfId="228"/>
    <cellStyle name="Normal 89" xfId="230"/>
    <cellStyle name="Normal 9" xfId="19"/>
    <cellStyle name="Normal 90" xfId="232"/>
    <cellStyle name="Normal 91" xfId="234"/>
    <cellStyle name="Normal 92" xfId="236"/>
    <cellStyle name="Normal 93" xfId="238"/>
    <cellStyle name="Normal 94" xfId="240"/>
    <cellStyle name="Normal 95" xfId="242"/>
    <cellStyle name="Normal 96" xfId="244"/>
    <cellStyle name="Normal 97" xfId="246"/>
    <cellStyle name="Normal 98" xfId="248"/>
    <cellStyle name="Normal 99" xfId="250"/>
    <cellStyle name="Percent 10" xfId="50"/>
    <cellStyle name="Percent 100" xfId="283"/>
    <cellStyle name="Percent 101" xfId="285"/>
    <cellStyle name="Percent 102" xfId="287"/>
    <cellStyle name="Percent 103" xfId="289"/>
    <cellStyle name="Percent 104" xfId="291"/>
    <cellStyle name="Percent 105" xfId="293"/>
    <cellStyle name="Percent 106" xfId="295"/>
    <cellStyle name="Percent 107" xfId="297"/>
    <cellStyle name="Percent 108" xfId="299"/>
    <cellStyle name="Percent 109" xfId="301"/>
    <cellStyle name="Percent 11" xfId="102"/>
    <cellStyle name="Percent 110" xfId="303"/>
    <cellStyle name="Percent 111" xfId="305"/>
    <cellStyle name="Percent 112" xfId="307"/>
    <cellStyle name="Percent 113" xfId="309"/>
    <cellStyle name="Percent 114" xfId="311"/>
    <cellStyle name="Percent 115" xfId="313"/>
    <cellStyle name="Percent 116" xfId="315"/>
    <cellStyle name="Percent 117" xfId="317"/>
    <cellStyle name="Percent 118" xfId="319"/>
    <cellStyle name="Percent 12" xfId="104"/>
    <cellStyle name="Percent 13" xfId="112"/>
    <cellStyle name="Percent 14" xfId="113"/>
    <cellStyle name="Percent 15" xfId="114"/>
    <cellStyle name="Percent 16" xfId="115"/>
    <cellStyle name="Percent 17" xfId="116"/>
    <cellStyle name="Percent 18" xfId="117"/>
    <cellStyle name="Percent 19" xfId="119"/>
    <cellStyle name="Percent 2" xfId="17"/>
    <cellStyle name="Percent 20" xfId="121"/>
    <cellStyle name="Percent 21" xfId="123"/>
    <cellStyle name="Percent 22" xfId="125"/>
    <cellStyle name="Percent 23" xfId="128"/>
    <cellStyle name="Percent 24" xfId="129"/>
    <cellStyle name="Percent 25" xfId="131"/>
    <cellStyle name="Percent 25 2" xfId="135"/>
    <cellStyle name="Percent 26" xfId="133"/>
    <cellStyle name="Percent 27" xfId="137"/>
    <cellStyle name="Percent 28" xfId="139"/>
    <cellStyle name="Percent 29" xfId="141"/>
    <cellStyle name="Percent 3" xfId="20"/>
    <cellStyle name="Percent 30" xfId="143"/>
    <cellStyle name="Percent 31" xfId="145"/>
    <cellStyle name="Percent 32" xfId="147"/>
    <cellStyle name="Percent 33" xfId="149"/>
    <cellStyle name="Percent 34" xfId="151"/>
    <cellStyle name="Percent 35" xfId="153"/>
    <cellStyle name="Percent 36" xfId="155"/>
    <cellStyle name="Percent 37" xfId="157"/>
    <cellStyle name="Percent 38" xfId="159"/>
    <cellStyle name="Percent 39" xfId="161"/>
    <cellStyle name="Percent 4" xfId="22"/>
    <cellStyle name="Percent 40" xfId="163"/>
    <cellStyle name="Percent 41" xfId="165"/>
    <cellStyle name="Percent 42" xfId="167"/>
    <cellStyle name="Percent 43" xfId="169"/>
    <cellStyle name="Percent 44" xfId="171"/>
    <cellStyle name="Percent 45" xfId="173"/>
    <cellStyle name="Percent 46" xfId="175"/>
    <cellStyle name="Percent 47" xfId="177"/>
    <cellStyle name="Percent 48" xfId="179"/>
    <cellStyle name="Percent 49" xfId="181"/>
    <cellStyle name="Percent 5" xfId="24"/>
    <cellStyle name="Percent 50" xfId="183"/>
    <cellStyle name="Percent 51" xfId="185"/>
    <cellStyle name="Percent 52" xfId="187"/>
    <cellStyle name="Percent 53" xfId="189"/>
    <cellStyle name="Percent 54" xfId="191"/>
    <cellStyle name="Percent 55" xfId="193"/>
    <cellStyle name="Percent 56" xfId="195"/>
    <cellStyle name="Percent 57" xfId="197"/>
    <cellStyle name="Percent 58" xfId="199"/>
    <cellStyle name="Percent 59" xfId="201"/>
    <cellStyle name="Percent 6" xfId="26"/>
    <cellStyle name="Percent 60" xfId="203"/>
    <cellStyle name="Percent 61" xfId="205"/>
    <cellStyle name="Percent 62" xfId="207"/>
    <cellStyle name="Percent 63" xfId="209"/>
    <cellStyle name="Percent 64" xfId="211"/>
    <cellStyle name="Percent 65" xfId="213"/>
    <cellStyle name="Percent 66" xfId="215"/>
    <cellStyle name="Percent 67" xfId="217"/>
    <cellStyle name="Percent 68" xfId="219"/>
    <cellStyle name="Percent 69" xfId="221"/>
    <cellStyle name="Percent 7" xfId="28"/>
    <cellStyle name="Percent 70" xfId="223"/>
    <cellStyle name="Percent 71" xfId="225"/>
    <cellStyle name="Percent 72" xfId="227"/>
    <cellStyle name="Percent 73" xfId="229"/>
    <cellStyle name="Percent 74" xfId="231"/>
    <cellStyle name="Percent 75" xfId="233"/>
    <cellStyle name="Percent 76" xfId="235"/>
    <cellStyle name="Percent 77" xfId="237"/>
    <cellStyle name="Percent 78" xfId="239"/>
    <cellStyle name="Percent 79" xfId="241"/>
    <cellStyle name="Percent 8" xfId="30"/>
    <cellStyle name="Percent 80" xfId="243"/>
    <cellStyle name="Percent 81" xfId="245"/>
    <cellStyle name="Percent 82" xfId="247"/>
    <cellStyle name="Percent 83" xfId="249"/>
    <cellStyle name="Percent 84" xfId="251"/>
    <cellStyle name="Percent 85" xfId="253"/>
    <cellStyle name="Percent 86" xfId="255"/>
    <cellStyle name="Percent 87" xfId="257"/>
    <cellStyle name="Percent 88" xfId="259"/>
    <cellStyle name="Percent 89" xfId="261"/>
    <cellStyle name="Percent 9" xfId="48"/>
    <cellStyle name="Percent 90" xfId="263"/>
    <cellStyle name="Percent 91" xfId="265"/>
    <cellStyle name="Percent 92" xfId="267"/>
    <cellStyle name="Percent 93" xfId="269"/>
    <cellStyle name="Percent 94" xfId="271"/>
    <cellStyle name="Percent 95" xfId="273"/>
    <cellStyle name="Percent 96" xfId="275"/>
    <cellStyle name="Percent 97" xfId="277"/>
    <cellStyle name="Percent 98" xfId="279"/>
    <cellStyle name="Percent 99" xfId="281"/>
    <cellStyle name="Rubrik" xfId="85"/>
    <cellStyle name="Rubrik 1" xfId="86"/>
    <cellStyle name="Rubrik 2" xfId="87"/>
    <cellStyle name="Rubrik 3" xfId="88"/>
    <cellStyle name="Rubrik 4" xfId="89"/>
    <cellStyle name="Standard_Damen" xfId="44"/>
    <cellStyle name="Style 1" xfId="90"/>
    <cellStyle name="Summa" xfId="91"/>
    <cellStyle name="Utdata" xfId="92"/>
    <cellStyle name="Varningstext" xfId="93"/>
    <cellStyle name="一般_8 CO" xfId="94"/>
    <cellStyle name="千分位_DKC-KAFFE-20151012-103-H2CFD3302-DK-SEA" xfId="95"/>
    <cellStyle name="常规 2 3 3" xfId="96"/>
    <cellStyle name="常规 4 2" xfId="97"/>
    <cellStyle name="常规 5 2" xfId="98"/>
    <cellStyle name="常规_12-30--CPKR Packing List for BD Dec 31st Shipment (version 1)" xfId="45"/>
    <cellStyle name="桁区切り_オリジナル検品検針報告書（Tシャツ09-12月)" xfId="99"/>
    <cellStyle name="超連結_DKC-KAFFE-20151012-103-H2CFD3302-DK-SEA" xfId="10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Y43"/>
  <sheetViews>
    <sheetView tabSelected="1" topLeftCell="L12" zoomScale="85" zoomScaleNormal="85" zoomScaleSheetLayoutView="100" workbookViewId="0">
      <selection activeCell="G42" sqref="G42:U42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1" width="21.109375" style="1" customWidth="1"/>
    <col min="12" max="12" width="14.77734375" style="1" customWidth="1"/>
    <col min="13" max="13" width="17.77734375" style="1" customWidth="1"/>
    <col min="14" max="14" width="16" style="1" customWidth="1"/>
    <col min="15" max="15" width="13.77734375" style="1" customWidth="1"/>
    <col min="16" max="16" width="20" style="1" customWidth="1"/>
    <col min="17" max="17" width="22" style="1" customWidth="1"/>
    <col min="18" max="18" width="6.44140625" style="1" customWidth="1"/>
    <col min="19" max="23" width="10.109375" style="1"/>
    <col min="24" max="25" width="14.44140625" style="1" bestFit="1" customWidth="1"/>
    <col min="26" max="16384" width="10.109375" style="1"/>
  </cols>
  <sheetData>
    <row r="1" spans="1:25" ht="30.75" customHeight="1">
      <c r="A1" s="105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62"/>
    </row>
    <row r="2" spans="1:25" s="80" customFormat="1" ht="13.2">
      <c r="A2" s="108" t="s">
        <v>77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25" s="80" customFormat="1" ht="13.8" thickBot="1">
      <c r="A3" s="109" t="s">
        <v>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25" ht="39.9" customHeight="1">
      <c r="A4" s="110" t="s">
        <v>3</v>
      </c>
      <c r="B4" s="111"/>
      <c r="C4" s="111"/>
      <c r="D4" s="114">
        <f ca="1">TODAY()</f>
        <v>46274</v>
      </c>
      <c r="E4" s="114"/>
      <c r="F4" s="114" t="s">
        <v>2</v>
      </c>
      <c r="G4" s="114"/>
      <c r="H4" s="115" t="str">
        <f>G9</f>
        <v xml:space="preserve">Black Used Wash
</v>
      </c>
      <c r="I4" s="115"/>
      <c r="J4" s="115"/>
      <c r="K4" s="115"/>
      <c r="L4" s="111" t="s">
        <v>27</v>
      </c>
      <c r="M4" s="111"/>
      <c r="N4" s="111"/>
      <c r="O4" s="111">
        <f>+N35</f>
        <v>2474</v>
      </c>
      <c r="P4" s="111"/>
      <c r="Q4" s="112"/>
      <c r="R4" s="47"/>
    </row>
    <row r="5" spans="1:25" ht="30" customHeight="1">
      <c r="A5" s="113" t="s">
        <v>4</v>
      </c>
      <c r="B5" s="103"/>
      <c r="C5" s="103"/>
      <c r="D5" s="103"/>
      <c r="E5" s="103"/>
      <c r="F5" s="103" t="s">
        <v>5</v>
      </c>
      <c r="G5" s="103"/>
      <c r="H5" s="103" t="s">
        <v>90</v>
      </c>
      <c r="I5" s="103"/>
      <c r="J5" s="103"/>
      <c r="K5" s="103"/>
      <c r="L5" s="103" t="s">
        <v>33</v>
      </c>
      <c r="M5" s="103"/>
      <c r="N5" s="103"/>
      <c r="O5" s="103">
        <f>+O35</f>
        <v>2501</v>
      </c>
      <c r="P5" s="103"/>
      <c r="Q5" s="104"/>
      <c r="R5" s="47"/>
    </row>
    <row r="6" spans="1:25" ht="18" customHeight="1">
      <c r="A6" s="113" t="s">
        <v>6</v>
      </c>
      <c r="B6" s="103"/>
      <c r="C6" s="103"/>
      <c r="D6" s="103">
        <v>500085367</v>
      </c>
      <c r="E6" s="103"/>
      <c r="F6" s="103" t="s">
        <v>7</v>
      </c>
      <c r="G6" s="103"/>
      <c r="H6" s="103" t="s">
        <v>91</v>
      </c>
      <c r="I6" s="103"/>
      <c r="J6" s="103"/>
      <c r="K6" s="103"/>
      <c r="L6" s="103" t="s">
        <v>8</v>
      </c>
      <c r="M6" s="103"/>
      <c r="N6" s="103"/>
      <c r="O6" s="117">
        <f>+P35</f>
        <v>27</v>
      </c>
      <c r="P6" s="103"/>
      <c r="Q6" s="2">
        <f>(O6/O4)</f>
        <v>1.0913500404203719E-2</v>
      </c>
      <c r="R6" s="63"/>
    </row>
    <row r="7" spans="1:25" ht="18" customHeight="1">
      <c r="A7" s="113" t="s">
        <v>9</v>
      </c>
      <c r="B7" s="103"/>
      <c r="C7" s="103"/>
      <c r="D7" s="103" t="s">
        <v>88</v>
      </c>
      <c r="E7" s="103"/>
      <c r="F7" s="103" t="s">
        <v>10</v>
      </c>
      <c r="G7" s="103"/>
      <c r="H7" s="116">
        <f>P28</f>
        <v>1594.1200000000001</v>
      </c>
      <c r="I7" s="116"/>
      <c r="J7" s="116"/>
      <c r="K7" s="116"/>
      <c r="L7" s="103" t="s">
        <v>11</v>
      </c>
      <c r="M7" s="103"/>
      <c r="N7" s="103"/>
      <c r="O7" s="116">
        <f>+Q28</f>
        <v>1729.1200000000001</v>
      </c>
      <c r="P7" s="103"/>
      <c r="Q7" s="2"/>
      <c r="R7" s="63"/>
    </row>
    <row r="8" spans="1:25" s="6" customFormat="1" ht="30" customHeight="1">
      <c r="A8" s="120" t="s">
        <v>12</v>
      </c>
      <c r="B8" s="121"/>
      <c r="C8" s="97" t="s">
        <v>13</v>
      </c>
      <c r="D8" s="97" t="s">
        <v>14</v>
      </c>
      <c r="E8" s="97" t="s">
        <v>1</v>
      </c>
      <c r="F8" s="97" t="s">
        <v>15</v>
      </c>
      <c r="G8" s="97" t="s">
        <v>16</v>
      </c>
      <c r="H8" s="97" t="s">
        <v>92</v>
      </c>
      <c r="I8" s="97" t="s">
        <v>93</v>
      </c>
      <c r="J8" s="97" t="s">
        <v>94</v>
      </c>
      <c r="K8" s="97" t="s">
        <v>17</v>
      </c>
      <c r="L8" s="97" t="s">
        <v>18</v>
      </c>
      <c r="M8" s="97" t="s">
        <v>19</v>
      </c>
      <c r="N8" s="97" t="s">
        <v>20</v>
      </c>
      <c r="O8" s="97" t="s">
        <v>21</v>
      </c>
      <c r="P8" s="97" t="s">
        <v>22</v>
      </c>
      <c r="Q8" s="4" t="s">
        <v>23</v>
      </c>
      <c r="R8" s="64"/>
      <c r="S8" s="5"/>
      <c r="T8" s="5"/>
      <c r="U8" s="5"/>
      <c r="V8" s="6" t="s">
        <v>56</v>
      </c>
      <c r="W8" s="6" t="s">
        <v>57</v>
      </c>
      <c r="X8" s="6" t="s">
        <v>58</v>
      </c>
    </row>
    <row r="9" spans="1:25" ht="21.9" customHeight="1">
      <c r="A9" s="96">
        <v>1</v>
      </c>
      <c r="B9" s="95">
        <f t="shared" ref="B9:B14" si="0">C9+A9-1</f>
        <v>47</v>
      </c>
      <c r="C9" s="95">
        <v>47</v>
      </c>
      <c r="D9" s="79" t="str">
        <f>S9 &amp; " X " &amp; T9 &amp; " X " &amp; U9 &amp; " CM"</f>
        <v>60 X 40 X 30 CM</v>
      </c>
      <c r="E9" s="9">
        <f t="shared" ref="E9:E14" si="1">S9*T9*U9*C9/1000000</f>
        <v>3.3839999999999999</v>
      </c>
      <c r="F9" s="103" t="s">
        <v>39</v>
      </c>
      <c r="G9" s="103" t="s">
        <v>89</v>
      </c>
      <c r="H9" s="10">
        <v>28</v>
      </c>
      <c r="I9" s="10"/>
      <c r="J9" s="10"/>
      <c r="K9" s="95">
        <f t="shared" ref="K9:K14" si="2">SUM(H9:J9)</f>
        <v>28</v>
      </c>
      <c r="L9" s="95">
        <f t="shared" ref="L9:L14" si="3">K9*C9</f>
        <v>1316</v>
      </c>
      <c r="M9" s="11">
        <f>X9</f>
        <v>0.61</v>
      </c>
      <c r="N9" s="9">
        <f>W9</f>
        <v>17.3</v>
      </c>
      <c r="O9" s="9">
        <f>V9</f>
        <v>18.8</v>
      </c>
      <c r="P9" s="12">
        <f t="shared" ref="P9:P14" si="4">+N9*C9</f>
        <v>813.1</v>
      </c>
      <c r="Q9" s="13">
        <f t="shared" ref="Q9:Q14" si="5">+O9*C9</f>
        <v>883.6</v>
      </c>
      <c r="R9" s="65"/>
      <c r="S9" s="72">
        <v>60</v>
      </c>
      <c r="T9" s="72">
        <v>40</v>
      </c>
      <c r="U9" s="72">
        <v>30</v>
      </c>
      <c r="V9" s="82">
        <v>18.8</v>
      </c>
      <c r="W9" s="82">
        <f>V9-1.5</f>
        <v>17.3</v>
      </c>
      <c r="X9" s="77">
        <v>0.61</v>
      </c>
      <c r="Y9" s="77"/>
    </row>
    <row r="10" spans="1:25" ht="21.9" customHeight="1">
      <c r="A10" s="96">
        <f>B9+1</f>
        <v>48</v>
      </c>
      <c r="B10" s="95">
        <f>C10+A10-1</f>
        <v>48</v>
      </c>
      <c r="C10" s="95">
        <v>1</v>
      </c>
      <c r="D10" s="79" t="str">
        <f t="shared" ref="D10:D14" si="6">S10 &amp; " X " &amp; T10 &amp; " X " &amp; U10 &amp; " CM"</f>
        <v>60 X 40 X 10 CM</v>
      </c>
      <c r="E10" s="9">
        <f t="shared" si="1"/>
        <v>2.4E-2</v>
      </c>
      <c r="F10" s="103"/>
      <c r="G10" s="103"/>
      <c r="H10" s="10">
        <v>8</v>
      </c>
      <c r="I10" s="10"/>
      <c r="J10" s="10"/>
      <c r="K10" s="95">
        <f t="shared" si="2"/>
        <v>8</v>
      </c>
      <c r="L10" s="95">
        <f t="shared" si="3"/>
        <v>8</v>
      </c>
      <c r="M10" s="11">
        <f t="shared" ref="M10:M14" si="7">X10</f>
        <v>0.61</v>
      </c>
      <c r="N10" s="9">
        <f t="shared" ref="N10:N14" si="8">W10</f>
        <v>4.88</v>
      </c>
      <c r="O10" s="9">
        <f t="shared" ref="O10:O14" si="9">V10</f>
        <v>5.88</v>
      </c>
      <c r="P10" s="12">
        <f t="shared" si="4"/>
        <v>4.88</v>
      </c>
      <c r="Q10" s="13">
        <f t="shared" si="5"/>
        <v>5.88</v>
      </c>
      <c r="R10" s="65"/>
      <c r="S10" s="72">
        <v>60</v>
      </c>
      <c r="T10" s="72">
        <v>40</v>
      </c>
      <c r="U10" s="72">
        <v>10</v>
      </c>
      <c r="V10" s="1">
        <f>W10+1</f>
        <v>5.88</v>
      </c>
      <c r="W10" s="1">
        <f>X10*L10</f>
        <v>4.88</v>
      </c>
      <c r="X10" s="77">
        <f>X9</f>
        <v>0.61</v>
      </c>
      <c r="Y10" s="77"/>
    </row>
    <row r="11" spans="1:25" ht="21.9" customHeight="1">
      <c r="A11" s="96">
        <f t="shared" ref="A11:A14" si="10">B10+1</f>
        <v>49</v>
      </c>
      <c r="B11" s="95">
        <f t="shared" si="0"/>
        <v>72</v>
      </c>
      <c r="C11" s="95">
        <f>ROUNDDOWN(I31/K11,0)</f>
        <v>24</v>
      </c>
      <c r="D11" s="79" t="str">
        <f t="shared" si="6"/>
        <v>60 X 40 X 30 CM</v>
      </c>
      <c r="E11" s="9">
        <f t="shared" si="1"/>
        <v>1.728</v>
      </c>
      <c r="F11" s="103"/>
      <c r="G11" s="103"/>
      <c r="H11" s="10"/>
      <c r="I11" s="10">
        <v>28</v>
      </c>
      <c r="J11" s="10"/>
      <c r="K11" s="95">
        <f t="shared" si="2"/>
        <v>28</v>
      </c>
      <c r="L11" s="95">
        <f t="shared" si="3"/>
        <v>672</v>
      </c>
      <c r="M11" s="11">
        <f t="shared" si="7"/>
        <v>0.64</v>
      </c>
      <c r="N11" s="9">
        <f t="shared" si="8"/>
        <v>18.100000000000001</v>
      </c>
      <c r="O11" s="9">
        <f t="shared" si="9"/>
        <v>19.600000000000001</v>
      </c>
      <c r="P11" s="12">
        <f t="shared" si="4"/>
        <v>434.40000000000003</v>
      </c>
      <c r="Q11" s="13">
        <f t="shared" si="5"/>
        <v>470.40000000000003</v>
      </c>
      <c r="R11" s="65"/>
      <c r="S11" s="72">
        <v>60</v>
      </c>
      <c r="T11" s="72">
        <v>40</v>
      </c>
      <c r="U11" s="72">
        <v>30</v>
      </c>
      <c r="V11" s="1">
        <v>19.600000000000001</v>
      </c>
      <c r="W11" s="82">
        <f>V11-1.5</f>
        <v>18.100000000000001</v>
      </c>
      <c r="X11" s="77">
        <v>0.64</v>
      </c>
      <c r="Y11" s="77"/>
    </row>
    <row r="12" spans="1:25" ht="21.9" customHeight="1">
      <c r="A12" s="96">
        <f t="shared" si="10"/>
        <v>73</v>
      </c>
      <c r="B12" s="95">
        <f t="shared" si="0"/>
        <v>73</v>
      </c>
      <c r="C12" s="95">
        <v>1</v>
      </c>
      <c r="D12" s="79" t="str">
        <f t="shared" si="6"/>
        <v>60 X 40 X 20 CM</v>
      </c>
      <c r="E12" s="9">
        <f t="shared" si="1"/>
        <v>4.8000000000000001E-2</v>
      </c>
      <c r="F12" s="103"/>
      <c r="G12" s="103"/>
      <c r="H12" s="10"/>
      <c r="I12" s="10">
        <v>11</v>
      </c>
      <c r="J12" s="10"/>
      <c r="K12" s="95">
        <f t="shared" si="2"/>
        <v>11</v>
      </c>
      <c r="L12" s="95">
        <f t="shared" si="3"/>
        <v>11</v>
      </c>
      <c r="M12" s="11">
        <f t="shared" si="7"/>
        <v>0.64</v>
      </c>
      <c r="N12" s="9">
        <f t="shared" si="8"/>
        <v>7.04</v>
      </c>
      <c r="O12" s="9">
        <f t="shared" si="9"/>
        <v>8.0399999999999991</v>
      </c>
      <c r="P12" s="12">
        <f t="shared" si="4"/>
        <v>7.04</v>
      </c>
      <c r="Q12" s="13">
        <f t="shared" si="5"/>
        <v>8.0399999999999991</v>
      </c>
      <c r="R12" s="65"/>
      <c r="S12" s="72">
        <v>60</v>
      </c>
      <c r="T12" s="72">
        <v>40</v>
      </c>
      <c r="U12" s="72">
        <v>20</v>
      </c>
      <c r="V12" s="1">
        <f>W12+1</f>
        <v>8.0399999999999991</v>
      </c>
      <c r="W12" s="1">
        <f>X12*L12</f>
        <v>7.04</v>
      </c>
      <c r="X12" s="77">
        <f>X11</f>
        <v>0.64</v>
      </c>
      <c r="Y12" s="77"/>
    </row>
    <row r="13" spans="1:25" ht="21.9" customHeight="1">
      <c r="A13" s="96">
        <f t="shared" si="10"/>
        <v>74</v>
      </c>
      <c r="B13" s="95">
        <f t="shared" si="0"/>
        <v>90</v>
      </c>
      <c r="C13" s="95">
        <v>17</v>
      </c>
      <c r="D13" s="79" t="str">
        <f t="shared" si="6"/>
        <v>60 X 40 X 30 CM</v>
      </c>
      <c r="E13" s="9">
        <f t="shared" si="1"/>
        <v>1.224</v>
      </c>
      <c r="F13" s="103"/>
      <c r="G13" s="103"/>
      <c r="H13" s="10"/>
      <c r="I13" s="10"/>
      <c r="J13" s="10">
        <v>28</v>
      </c>
      <c r="K13" s="95">
        <f t="shared" si="2"/>
        <v>28</v>
      </c>
      <c r="L13" s="95">
        <f t="shared" si="3"/>
        <v>476</v>
      </c>
      <c r="M13" s="11">
        <f t="shared" si="7"/>
        <v>0.65</v>
      </c>
      <c r="N13" s="9">
        <f t="shared" si="8"/>
        <v>19</v>
      </c>
      <c r="O13" s="9">
        <f t="shared" si="9"/>
        <v>20.5</v>
      </c>
      <c r="P13" s="12">
        <f t="shared" si="4"/>
        <v>323</v>
      </c>
      <c r="Q13" s="13">
        <f t="shared" si="5"/>
        <v>348.5</v>
      </c>
      <c r="R13" s="65"/>
      <c r="S13" s="72">
        <v>60</v>
      </c>
      <c r="T13" s="72">
        <v>40</v>
      </c>
      <c r="U13" s="72">
        <v>30</v>
      </c>
      <c r="V13" s="1">
        <v>20.5</v>
      </c>
      <c r="W13" s="82">
        <f>V13-1.5</f>
        <v>19</v>
      </c>
      <c r="X13" s="77">
        <v>0.65</v>
      </c>
      <c r="Y13" s="77"/>
    </row>
    <row r="14" spans="1:25" ht="21.9" customHeight="1">
      <c r="A14" s="96">
        <f t="shared" si="10"/>
        <v>91</v>
      </c>
      <c r="B14" s="95">
        <f t="shared" si="0"/>
        <v>91</v>
      </c>
      <c r="C14" s="95">
        <v>1</v>
      </c>
      <c r="D14" s="79" t="str">
        <f t="shared" si="6"/>
        <v>60 X 40 X 30 CM</v>
      </c>
      <c r="E14" s="9">
        <f t="shared" si="1"/>
        <v>7.1999999999999995E-2</v>
      </c>
      <c r="F14" s="103"/>
      <c r="G14" s="103"/>
      <c r="H14" s="10"/>
      <c r="I14" s="10"/>
      <c r="J14" s="10">
        <v>18</v>
      </c>
      <c r="K14" s="95">
        <f t="shared" si="2"/>
        <v>18</v>
      </c>
      <c r="L14" s="95">
        <f t="shared" si="3"/>
        <v>18</v>
      </c>
      <c r="M14" s="11">
        <f t="shared" si="7"/>
        <v>0.65</v>
      </c>
      <c r="N14" s="9">
        <f t="shared" si="8"/>
        <v>11.700000000000001</v>
      </c>
      <c r="O14" s="9">
        <f t="shared" si="9"/>
        <v>12.700000000000001</v>
      </c>
      <c r="P14" s="12">
        <f t="shared" si="4"/>
        <v>11.700000000000001</v>
      </c>
      <c r="Q14" s="13">
        <f t="shared" si="5"/>
        <v>12.700000000000001</v>
      </c>
      <c r="R14" s="65"/>
      <c r="S14" s="72">
        <v>60</v>
      </c>
      <c r="T14" s="72">
        <v>40</v>
      </c>
      <c r="U14" s="72">
        <v>30</v>
      </c>
      <c r="V14" s="1">
        <f>W14+1</f>
        <v>12.700000000000001</v>
      </c>
      <c r="W14" s="1">
        <f>X14*L14</f>
        <v>11.700000000000001</v>
      </c>
      <c r="X14" s="77">
        <f>X13</f>
        <v>0.65</v>
      </c>
      <c r="Y14" s="77"/>
    </row>
    <row r="15" spans="1:25" s="6" customFormat="1" ht="21.9" customHeight="1" thickBot="1">
      <c r="A15" s="122" t="s">
        <v>24</v>
      </c>
      <c r="B15" s="123"/>
      <c r="C15" s="100">
        <f>SUM(C9:C14)</f>
        <v>91</v>
      </c>
      <c r="D15" s="100"/>
      <c r="E15" s="101">
        <f>SUM(E9:E14)</f>
        <v>6.48</v>
      </c>
      <c r="F15" s="100"/>
      <c r="G15" s="100"/>
      <c r="H15" s="100">
        <f>SUMPRODUCT($C9:$C14,H9:H14)</f>
        <v>1324</v>
      </c>
      <c r="I15" s="100">
        <f>SUMPRODUCT($C9:$C14,I9:I14)</f>
        <v>683</v>
      </c>
      <c r="J15" s="100">
        <f>SUMPRODUCT($C9:$C14,J9:J14)</f>
        <v>494</v>
      </c>
      <c r="K15" s="100" t="s">
        <v>0</v>
      </c>
      <c r="L15" s="100">
        <f>SUM(L9:L14)</f>
        <v>2501</v>
      </c>
      <c r="M15" s="101"/>
      <c r="N15" s="101"/>
      <c r="O15" s="101"/>
      <c r="P15" s="101">
        <f>SUM(P9:P14)</f>
        <v>1594.1200000000001</v>
      </c>
      <c r="Q15" s="102">
        <f>SUM(Q9:Q14)</f>
        <v>1729.1200000000001</v>
      </c>
      <c r="R15" s="66"/>
      <c r="S15" s="5"/>
      <c r="T15" s="5"/>
      <c r="U15" s="5"/>
      <c r="X15" s="78"/>
    </row>
    <row r="16" spans="1:25" s="6" customFormat="1" ht="30" hidden="1" customHeight="1">
      <c r="A16" s="124" t="s">
        <v>12</v>
      </c>
      <c r="B16" s="125"/>
      <c r="C16" s="98" t="s">
        <v>13</v>
      </c>
      <c r="D16" s="98" t="s">
        <v>14</v>
      </c>
      <c r="E16" s="98" t="s">
        <v>1</v>
      </c>
      <c r="F16" s="98" t="s">
        <v>15</v>
      </c>
      <c r="G16" s="98" t="s">
        <v>16</v>
      </c>
      <c r="H16" s="98" t="str">
        <f>H8</f>
        <v>S</v>
      </c>
      <c r="I16" s="98" t="str">
        <f>I8</f>
        <v>M</v>
      </c>
      <c r="J16" s="98" t="str">
        <f>J8</f>
        <v>L</v>
      </c>
      <c r="K16" s="98" t="s">
        <v>17</v>
      </c>
      <c r="L16" s="98" t="s">
        <v>18</v>
      </c>
      <c r="M16" s="98" t="s">
        <v>19</v>
      </c>
      <c r="N16" s="98" t="s">
        <v>20</v>
      </c>
      <c r="O16" s="98" t="s">
        <v>21</v>
      </c>
      <c r="P16" s="98" t="s">
        <v>22</v>
      </c>
      <c r="Q16" s="99" t="s">
        <v>23</v>
      </c>
      <c r="R16" s="64"/>
      <c r="S16" s="5"/>
      <c r="T16" s="5"/>
      <c r="U16" s="5"/>
      <c r="X16" s="78"/>
    </row>
    <row r="17" spans="1:24" ht="21.9" hidden="1" customHeight="1">
      <c r="A17" s="88" t="e">
        <f>#REF!+1</f>
        <v>#REF!</v>
      </c>
      <c r="B17" s="83" t="e">
        <f t="shared" ref="B17:B25" si="11">C17+A17-1</f>
        <v>#REF!</v>
      </c>
      <c r="C17" s="83"/>
      <c r="D17" s="52" t="str">
        <f>CONCATENATE(S17," * ",T17," * ",U17)</f>
        <v>60 * 40 * 30</v>
      </c>
      <c r="E17" s="9">
        <f t="shared" ref="E17:E25" si="12">S17*T17*U17*C17/1000000</f>
        <v>0</v>
      </c>
      <c r="F17" s="118" t="s">
        <v>39</v>
      </c>
      <c r="G17" s="118" t="s">
        <v>67</v>
      </c>
      <c r="H17" s="10"/>
      <c r="I17" s="10"/>
      <c r="J17" s="10"/>
      <c r="K17" s="83">
        <f t="shared" ref="K17:K25" si="13">SUM(H17:J17)</f>
        <v>0</v>
      </c>
      <c r="L17" s="83">
        <f t="shared" ref="L17:L25" si="14">K17*C17</f>
        <v>0</v>
      </c>
      <c r="M17" s="11">
        <v>0.253</v>
      </c>
      <c r="N17" s="9">
        <f t="shared" ref="N17:N25" si="15">M17*K17</f>
        <v>0</v>
      </c>
      <c r="O17" s="9">
        <f t="shared" ref="O17:O25" si="16">N17+1.6</f>
        <v>1.6</v>
      </c>
      <c r="P17" s="12">
        <f t="shared" ref="P17:P25" si="17">+N17*C17</f>
        <v>0</v>
      </c>
      <c r="Q17" s="13">
        <f t="shared" ref="Q17:Q25" si="18">+O17*C17</f>
        <v>0</v>
      </c>
      <c r="R17" s="65"/>
      <c r="S17" s="72">
        <v>60</v>
      </c>
      <c r="T17" s="72">
        <v>40</v>
      </c>
      <c r="U17" s="72">
        <v>30</v>
      </c>
      <c r="V17" s="1">
        <v>20.6</v>
      </c>
      <c r="W17" s="1">
        <f>V17-1.6</f>
        <v>19</v>
      </c>
      <c r="X17" s="77" t="e">
        <f>W17/K17</f>
        <v>#DIV/0!</v>
      </c>
    </row>
    <row r="18" spans="1:24" ht="21.9" hidden="1" customHeight="1">
      <c r="A18" s="88" t="e">
        <f>B17+1</f>
        <v>#REF!</v>
      </c>
      <c r="B18" s="83" t="e">
        <f t="shared" si="11"/>
        <v>#REF!</v>
      </c>
      <c r="C18" s="83"/>
      <c r="D18" s="52" t="str">
        <f>CONCATENATE(S18," * ",T18," * ",U18)</f>
        <v>60 * 40 * 10</v>
      </c>
      <c r="E18" s="9">
        <f t="shared" si="12"/>
        <v>0</v>
      </c>
      <c r="F18" s="119"/>
      <c r="G18" s="119"/>
      <c r="H18" s="10"/>
      <c r="I18" s="10"/>
      <c r="J18" s="10"/>
      <c r="K18" s="83">
        <f t="shared" si="13"/>
        <v>0</v>
      </c>
      <c r="L18" s="83">
        <f t="shared" si="14"/>
        <v>0</v>
      </c>
      <c r="M18" s="11">
        <v>0.253</v>
      </c>
      <c r="N18" s="9">
        <f t="shared" si="15"/>
        <v>0</v>
      </c>
      <c r="O18" s="9">
        <f t="shared" si="16"/>
        <v>1.6</v>
      </c>
      <c r="P18" s="12">
        <f t="shared" si="17"/>
        <v>0</v>
      </c>
      <c r="Q18" s="13">
        <f t="shared" si="18"/>
        <v>0</v>
      </c>
      <c r="R18" s="65"/>
      <c r="S18" s="72">
        <v>60</v>
      </c>
      <c r="T18" s="72">
        <v>40</v>
      </c>
      <c r="U18" s="72">
        <v>10</v>
      </c>
      <c r="X18" s="77"/>
    </row>
    <row r="19" spans="1:24" ht="21.9" hidden="1" customHeight="1">
      <c r="A19" s="88" t="e">
        <f>B17+1</f>
        <v>#REF!</v>
      </c>
      <c r="B19" s="83" t="e">
        <f t="shared" si="11"/>
        <v>#REF!</v>
      </c>
      <c r="C19" s="83"/>
      <c r="D19" s="52" t="str">
        <f t="shared" ref="D19:D25" si="19">CONCATENATE(S19," * ",T19," * ",U19)</f>
        <v>60 * 40 * 30</v>
      </c>
      <c r="E19" s="9">
        <f t="shared" si="12"/>
        <v>0</v>
      </c>
      <c r="F19" s="119"/>
      <c r="G19" s="119"/>
      <c r="H19" s="10"/>
      <c r="I19" s="10"/>
      <c r="J19" s="10"/>
      <c r="K19" s="83">
        <f t="shared" si="13"/>
        <v>0</v>
      </c>
      <c r="L19" s="83">
        <f t="shared" si="14"/>
        <v>0</v>
      </c>
      <c r="M19" s="11">
        <v>0.26500000000000001</v>
      </c>
      <c r="N19" s="9">
        <f t="shared" si="15"/>
        <v>0</v>
      </c>
      <c r="O19" s="9">
        <f t="shared" si="16"/>
        <v>1.6</v>
      </c>
      <c r="P19" s="12">
        <f t="shared" si="17"/>
        <v>0</v>
      </c>
      <c r="Q19" s="13">
        <f t="shared" si="18"/>
        <v>0</v>
      </c>
      <c r="R19" s="65"/>
      <c r="S19" s="72">
        <v>60</v>
      </c>
      <c r="T19" s="72">
        <v>40</v>
      </c>
      <c r="U19" s="72">
        <v>30</v>
      </c>
      <c r="V19" s="1">
        <v>21.5</v>
      </c>
      <c r="W19" s="1">
        <f>V19-1.6</f>
        <v>19.899999999999999</v>
      </c>
      <c r="X19" s="77" t="e">
        <f>W19/K19</f>
        <v>#DIV/0!</v>
      </c>
    </row>
    <row r="20" spans="1:24" ht="21.9" hidden="1" customHeight="1">
      <c r="A20" s="88" t="e">
        <f>B18+1</f>
        <v>#REF!</v>
      </c>
      <c r="B20" s="83" t="e">
        <f t="shared" si="11"/>
        <v>#REF!</v>
      </c>
      <c r="C20" s="83"/>
      <c r="D20" s="52" t="str">
        <f t="shared" si="19"/>
        <v>60 * 40 * 10</v>
      </c>
      <c r="E20" s="9">
        <f t="shared" si="12"/>
        <v>0</v>
      </c>
      <c r="F20" s="119"/>
      <c r="G20" s="119"/>
      <c r="H20" s="10"/>
      <c r="I20" s="10"/>
      <c r="J20" s="10"/>
      <c r="K20" s="83">
        <f t="shared" si="13"/>
        <v>0</v>
      </c>
      <c r="L20" s="83">
        <f t="shared" si="14"/>
        <v>0</v>
      </c>
      <c r="M20" s="11">
        <v>0.26500000000000001</v>
      </c>
      <c r="N20" s="9">
        <f t="shared" si="15"/>
        <v>0</v>
      </c>
      <c r="O20" s="9">
        <f t="shared" si="16"/>
        <v>1.6</v>
      </c>
      <c r="P20" s="12">
        <f t="shared" si="17"/>
        <v>0</v>
      </c>
      <c r="Q20" s="13">
        <f t="shared" si="18"/>
        <v>0</v>
      </c>
      <c r="R20" s="65"/>
      <c r="S20" s="72">
        <v>60</v>
      </c>
      <c r="T20" s="72">
        <v>40</v>
      </c>
      <c r="U20" s="72">
        <v>10</v>
      </c>
      <c r="V20" s="1">
        <v>21.5</v>
      </c>
      <c r="W20" s="1">
        <f>V20-1.6</f>
        <v>19.899999999999999</v>
      </c>
      <c r="X20" s="77"/>
    </row>
    <row r="21" spans="1:24" ht="21.9" hidden="1" customHeight="1">
      <c r="A21" s="88" t="e">
        <f t="shared" ref="A21:A25" si="20">B20+1</f>
        <v>#REF!</v>
      </c>
      <c r="B21" s="83" t="e">
        <f t="shared" si="11"/>
        <v>#REF!</v>
      </c>
      <c r="C21" s="83"/>
      <c r="D21" s="52" t="str">
        <f t="shared" si="19"/>
        <v>60 * 40 * 30</v>
      </c>
      <c r="E21" s="9">
        <f t="shared" si="12"/>
        <v>0</v>
      </c>
      <c r="F21" s="119"/>
      <c r="G21" s="119"/>
      <c r="H21" s="10"/>
      <c r="I21" s="10"/>
      <c r="J21" s="10"/>
      <c r="K21" s="83">
        <f t="shared" si="13"/>
        <v>0</v>
      </c>
      <c r="L21" s="83">
        <f t="shared" si="14"/>
        <v>0</v>
      </c>
      <c r="M21" s="11">
        <v>0.26500000000000001</v>
      </c>
      <c r="N21" s="9">
        <f t="shared" si="15"/>
        <v>0</v>
      </c>
      <c r="O21" s="9">
        <f t="shared" si="16"/>
        <v>1.6</v>
      </c>
      <c r="P21" s="12">
        <f t="shared" si="17"/>
        <v>0</v>
      </c>
      <c r="Q21" s="13">
        <f t="shared" si="18"/>
        <v>0</v>
      </c>
      <c r="R21" s="65"/>
      <c r="S21" s="72">
        <v>60</v>
      </c>
      <c r="T21" s="72">
        <v>40</v>
      </c>
      <c r="U21" s="72">
        <v>30</v>
      </c>
      <c r="X21" s="77"/>
    </row>
    <row r="22" spans="1:24" ht="21.9" hidden="1" customHeight="1">
      <c r="A22" s="88" t="e">
        <f t="shared" si="20"/>
        <v>#REF!</v>
      </c>
      <c r="B22" s="83" t="e">
        <f t="shared" si="11"/>
        <v>#REF!</v>
      </c>
      <c r="C22" s="83"/>
      <c r="D22" s="52" t="str">
        <f t="shared" si="19"/>
        <v>60 * 40 * 30</v>
      </c>
      <c r="E22" s="9">
        <f t="shared" si="12"/>
        <v>0</v>
      </c>
      <c r="F22" s="119"/>
      <c r="G22" s="119"/>
      <c r="H22" s="10"/>
      <c r="I22" s="10"/>
      <c r="J22" s="10"/>
      <c r="K22" s="83">
        <f t="shared" si="13"/>
        <v>0</v>
      </c>
      <c r="L22" s="83">
        <f t="shared" si="14"/>
        <v>0</v>
      </c>
      <c r="M22" s="11">
        <v>0.27400000000000002</v>
      </c>
      <c r="N22" s="9">
        <f t="shared" si="15"/>
        <v>0</v>
      </c>
      <c r="O22" s="9">
        <f t="shared" si="16"/>
        <v>1.6</v>
      </c>
      <c r="P22" s="12">
        <f t="shared" si="17"/>
        <v>0</v>
      </c>
      <c r="Q22" s="13">
        <f t="shared" si="18"/>
        <v>0</v>
      </c>
      <c r="R22" s="65"/>
      <c r="S22" s="72">
        <v>60</v>
      </c>
      <c r="T22" s="72">
        <v>40</v>
      </c>
      <c r="U22" s="72">
        <v>30</v>
      </c>
      <c r="V22" s="1">
        <v>20.75</v>
      </c>
      <c r="W22" s="1">
        <f>V22-1.6</f>
        <v>19.149999999999999</v>
      </c>
      <c r="X22" s="77" t="e">
        <f>W22/K22</f>
        <v>#DIV/0!</v>
      </c>
    </row>
    <row r="23" spans="1:24" ht="21.9" hidden="1" customHeight="1">
      <c r="A23" s="88" t="e">
        <f t="shared" si="20"/>
        <v>#REF!</v>
      </c>
      <c r="B23" s="83" t="e">
        <f t="shared" si="11"/>
        <v>#REF!</v>
      </c>
      <c r="C23" s="83"/>
      <c r="D23" s="52" t="str">
        <f t="shared" si="19"/>
        <v>60 * 40 * 20</v>
      </c>
      <c r="E23" s="9">
        <f t="shared" si="12"/>
        <v>0</v>
      </c>
      <c r="F23" s="119"/>
      <c r="G23" s="119"/>
      <c r="H23" s="10"/>
      <c r="I23" s="10"/>
      <c r="J23" s="10"/>
      <c r="K23" s="83">
        <f t="shared" si="13"/>
        <v>0</v>
      </c>
      <c r="L23" s="83">
        <f t="shared" si="14"/>
        <v>0</v>
      </c>
      <c r="M23" s="11">
        <v>0.27400000000000002</v>
      </c>
      <c r="N23" s="9">
        <f t="shared" si="15"/>
        <v>0</v>
      </c>
      <c r="O23" s="9">
        <f t="shared" si="16"/>
        <v>1.6</v>
      </c>
      <c r="P23" s="12">
        <f t="shared" si="17"/>
        <v>0</v>
      </c>
      <c r="Q23" s="13">
        <f t="shared" si="18"/>
        <v>0</v>
      </c>
      <c r="R23" s="65"/>
      <c r="S23" s="72">
        <v>60</v>
      </c>
      <c r="T23" s="72">
        <v>40</v>
      </c>
      <c r="U23" s="72">
        <v>20</v>
      </c>
      <c r="X23" s="77"/>
    </row>
    <row r="24" spans="1:24" ht="21.9" hidden="1" customHeight="1">
      <c r="A24" s="88" t="e">
        <f t="shared" si="20"/>
        <v>#REF!</v>
      </c>
      <c r="B24" s="83" t="e">
        <f t="shared" si="11"/>
        <v>#REF!</v>
      </c>
      <c r="C24" s="83"/>
      <c r="D24" s="52" t="str">
        <f t="shared" si="19"/>
        <v>60 * 40 * 30</v>
      </c>
      <c r="E24" s="9">
        <f t="shared" si="12"/>
        <v>0</v>
      </c>
      <c r="F24" s="119"/>
      <c r="G24" s="119"/>
      <c r="H24" s="10"/>
      <c r="I24" s="10"/>
      <c r="J24" s="10"/>
      <c r="K24" s="83">
        <f t="shared" si="13"/>
        <v>0</v>
      </c>
      <c r="L24" s="83">
        <f t="shared" si="14"/>
        <v>0</v>
      </c>
      <c r="M24" s="11">
        <v>0.28599999999999998</v>
      </c>
      <c r="N24" s="9">
        <f t="shared" si="15"/>
        <v>0</v>
      </c>
      <c r="O24" s="9">
        <f t="shared" si="16"/>
        <v>1.6</v>
      </c>
      <c r="P24" s="12">
        <f t="shared" si="17"/>
        <v>0</v>
      </c>
      <c r="Q24" s="13">
        <f t="shared" si="18"/>
        <v>0</v>
      </c>
      <c r="R24" s="65"/>
      <c r="S24" s="72">
        <v>60</v>
      </c>
      <c r="T24" s="72">
        <v>40</v>
      </c>
      <c r="U24" s="72">
        <v>30</v>
      </c>
      <c r="V24" s="1">
        <v>21.6</v>
      </c>
      <c r="W24" s="1">
        <f>V24-1.6</f>
        <v>20</v>
      </c>
      <c r="X24" s="77" t="e">
        <f>W24/K24</f>
        <v>#DIV/0!</v>
      </c>
    </row>
    <row r="25" spans="1:24" ht="21.9" hidden="1" customHeight="1">
      <c r="A25" s="88" t="e">
        <f t="shared" si="20"/>
        <v>#REF!</v>
      </c>
      <c r="B25" s="83" t="e">
        <f t="shared" si="11"/>
        <v>#REF!</v>
      </c>
      <c r="C25" s="83"/>
      <c r="D25" s="52" t="str">
        <f t="shared" si="19"/>
        <v>60 * 40 * 30</v>
      </c>
      <c r="E25" s="9">
        <f t="shared" si="12"/>
        <v>0</v>
      </c>
      <c r="F25" s="119"/>
      <c r="G25" s="119"/>
      <c r="H25" s="10"/>
      <c r="I25" s="10"/>
      <c r="J25" s="10"/>
      <c r="K25" s="83">
        <f t="shared" si="13"/>
        <v>0</v>
      </c>
      <c r="L25" s="83">
        <f t="shared" si="14"/>
        <v>0</v>
      </c>
      <c r="M25" s="11">
        <v>0.28599999999999998</v>
      </c>
      <c r="N25" s="9">
        <f t="shared" si="15"/>
        <v>0</v>
      </c>
      <c r="O25" s="9">
        <f t="shared" si="16"/>
        <v>1.6</v>
      </c>
      <c r="P25" s="12">
        <f t="shared" si="17"/>
        <v>0</v>
      </c>
      <c r="Q25" s="13">
        <f t="shared" si="18"/>
        <v>0</v>
      </c>
      <c r="R25" s="65"/>
      <c r="S25" s="72">
        <v>60</v>
      </c>
      <c r="T25" s="72">
        <v>40</v>
      </c>
      <c r="U25" s="72">
        <v>30</v>
      </c>
      <c r="X25" s="77"/>
    </row>
    <row r="26" spans="1:24" s="6" customFormat="1" ht="21.9" hidden="1" customHeight="1">
      <c r="A26" s="128" t="s">
        <v>24</v>
      </c>
      <c r="B26" s="129"/>
      <c r="C26" s="91">
        <f>SUM(C17:C25)</f>
        <v>0</v>
      </c>
      <c r="D26" s="91"/>
      <c r="E26" s="15">
        <f>SUM(E17:E25)</f>
        <v>0</v>
      </c>
      <c r="F26" s="91"/>
      <c r="G26" s="91"/>
      <c r="H26" s="91">
        <f>SUMPRODUCT(H17:H25,$C$17:$C$25)</f>
        <v>0</v>
      </c>
      <c r="I26" s="91">
        <f>SUMPRODUCT(I17:I25,$C$17:$C$25)</f>
        <v>0</v>
      </c>
      <c r="J26" s="91">
        <f>SUMPRODUCT(J17:J25,$C$17:$C$25)</f>
        <v>0</v>
      </c>
      <c r="K26" s="91" t="s">
        <v>0</v>
      </c>
      <c r="L26" s="91">
        <f>SUM(L17:L25)</f>
        <v>0</v>
      </c>
      <c r="M26" s="15"/>
      <c r="N26" s="15"/>
      <c r="O26" s="15"/>
      <c r="P26" s="15">
        <f>SUM(P17:P25)</f>
        <v>0</v>
      </c>
      <c r="Q26" s="50">
        <f>SUM(Q17:Q25)</f>
        <v>0</v>
      </c>
      <c r="R26" s="66"/>
      <c r="S26" s="5"/>
      <c r="T26" s="5"/>
      <c r="U26" s="5"/>
    </row>
    <row r="27" spans="1:24" s="6" customFormat="1" ht="15.6" customHeight="1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67"/>
      <c r="S27" s="5"/>
      <c r="T27" s="5"/>
      <c r="U27" s="5"/>
    </row>
    <row r="28" spans="1:24" s="19" customFormat="1" ht="20.100000000000001" customHeight="1">
      <c r="A28" s="132" t="s">
        <v>36</v>
      </c>
      <c r="B28" s="133"/>
      <c r="C28" s="17">
        <f>SUM(C26,C15)</f>
        <v>91</v>
      </c>
      <c r="D28" s="17" t="s">
        <v>37</v>
      </c>
      <c r="E28" s="18">
        <f>SUM(E26,E15)</f>
        <v>6.48</v>
      </c>
      <c r="F28" s="17"/>
      <c r="G28" s="17"/>
      <c r="H28" s="17">
        <f>SUM(H26,H15)</f>
        <v>1324</v>
      </c>
      <c r="I28" s="17">
        <f>SUM(I26,I15)</f>
        <v>683</v>
      </c>
      <c r="J28" s="17">
        <f>SUM(J26,J15)</f>
        <v>494</v>
      </c>
      <c r="K28" s="17"/>
      <c r="L28" s="17">
        <f>SUM(L26,L15)</f>
        <v>2501</v>
      </c>
      <c r="M28" s="17"/>
      <c r="N28" s="17"/>
      <c r="O28" s="17"/>
      <c r="P28" s="18">
        <f>SUM(P26,P15)</f>
        <v>1594.1200000000001</v>
      </c>
      <c r="Q28" s="18">
        <f>SUM(Q26,Q15)</f>
        <v>1729.1200000000001</v>
      </c>
      <c r="R28" s="68"/>
      <c r="S28" s="5"/>
      <c r="T28" s="5"/>
      <c r="U28" s="5"/>
    </row>
    <row r="29" spans="1:24" ht="30.75" customHeight="1" thickBot="1">
      <c r="A29" s="20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22"/>
      <c r="Q29" s="23"/>
      <c r="R29" s="22"/>
    </row>
    <row r="30" spans="1:24" ht="24.9" customHeight="1" thickBot="1">
      <c r="A30" s="20"/>
      <c r="B30" s="93"/>
      <c r="C30" s="93"/>
      <c r="D30" s="24" t="s">
        <v>25</v>
      </c>
      <c r="E30" s="92"/>
      <c r="F30" s="92" t="s">
        <v>15</v>
      </c>
      <c r="G30" s="92"/>
      <c r="H30" s="26" t="str">
        <f>+H8</f>
        <v>S</v>
      </c>
      <c r="I30" s="26" t="str">
        <f>+I8</f>
        <v>M</v>
      </c>
      <c r="J30" s="26" t="str">
        <f>+J8</f>
        <v>L</v>
      </c>
      <c r="K30" s="27" t="s">
        <v>26</v>
      </c>
      <c r="L30" s="73"/>
      <c r="M30" s="134"/>
      <c r="N30" s="134"/>
      <c r="O30" s="135"/>
      <c r="P30" s="135"/>
      <c r="Q30" s="136"/>
      <c r="R30" s="94"/>
    </row>
    <row r="31" spans="1:24" ht="29.25" customHeight="1">
      <c r="A31" s="20"/>
      <c r="B31" s="93"/>
      <c r="C31" s="93"/>
      <c r="D31" s="85" t="s">
        <v>27</v>
      </c>
      <c r="E31" s="86"/>
      <c r="F31" s="111" t="str">
        <f>+F9</f>
        <v>Germany</v>
      </c>
      <c r="G31" s="111" t="str">
        <f>+G9</f>
        <v xml:space="preserve">Black Used Wash
</v>
      </c>
      <c r="H31" s="86">
        <v>1295</v>
      </c>
      <c r="I31" s="86">
        <v>675</v>
      </c>
      <c r="J31" s="86">
        <v>504</v>
      </c>
      <c r="K31" s="87">
        <f>SUM(H31:J31)</f>
        <v>2474</v>
      </c>
      <c r="L31" s="74"/>
      <c r="M31" s="31" t="s">
        <v>28</v>
      </c>
      <c r="N31" s="31" t="s">
        <v>29</v>
      </c>
      <c r="O31" s="31" t="s">
        <v>30</v>
      </c>
      <c r="P31" s="11" t="s">
        <v>31</v>
      </c>
      <c r="Q31" s="32" t="s">
        <v>32</v>
      </c>
      <c r="R31" s="69"/>
    </row>
    <row r="32" spans="1:24" ht="24.75" customHeight="1">
      <c r="A32" s="20"/>
      <c r="B32" s="93"/>
      <c r="C32" s="93"/>
      <c r="D32" s="88" t="s">
        <v>33</v>
      </c>
      <c r="E32" s="83"/>
      <c r="F32" s="103"/>
      <c r="G32" s="103"/>
      <c r="H32" s="83">
        <f>+H15</f>
        <v>1324</v>
      </c>
      <c r="I32" s="83">
        <f>+I15</f>
        <v>683</v>
      </c>
      <c r="J32" s="83">
        <f>+J15</f>
        <v>494</v>
      </c>
      <c r="K32" s="84">
        <f>SUM(H32:J32)</f>
        <v>2501</v>
      </c>
      <c r="L32" s="74"/>
      <c r="M32" s="89" t="s">
        <v>47</v>
      </c>
      <c r="N32" s="83">
        <f>K31</f>
        <v>2474</v>
      </c>
      <c r="O32" s="83">
        <f>K32</f>
        <v>2501</v>
      </c>
      <c r="P32" s="90">
        <f>O32-N32</f>
        <v>27</v>
      </c>
      <c r="Q32" s="36">
        <f>P32/N32</f>
        <v>1.0913500404203719E-2</v>
      </c>
      <c r="R32" s="70"/>
      <c r="S32" s="37"/>
    </row>
    <row r="33" spans="1:18" s="5" customFormat="1" ht="24.75" customHeight="1">
      <c r="A33" s="38"/>
      <c r="B33" s="16"/>
      <c r="C33" s="16"/>
      <c r="D33" s="39" t="s">
        <v>34</v>
      </c>
      <c r="E33" s="31"/>
      <c r="F33" s="103"/>
      <c r="G33" s="31" t="s">
        <v>35</v>
      </c>
      <c r="H33" s="40">
        <f>H32-H31</f>
        <v>29</v>
      </c>
      <c r="I33" s="40">
        <f t="shared" ref="I33:J33" si="21">I32-I31</f>
        <v>8</v>
      </c>
      <c r="J33" s="40">
        <f t="shared" si="21"/>
        <v>-10</v>
      </c>
      <c r="K33" s="41">
        <f>K32-K31</f>
        <v>27</v>
      </c>
      <c r="L33" s="42"/>
      <c r="M33" s="43"/>
      <c r="N33" s="10"/>
      <c r="O33" s="10"/>
      <c r="P33" s="90"/>
      <c r="Q33" s="36"/>
      <c r="R33" s="70"/>
    </row>
    <row r="34" spans="1:18" ht="24.75" customHeight="1" thickBot="1">
      <c r="A34" s="20"/>
      <c r="B34" s="16"/>
      <c r="C34" s="16"/>
      <c r="D34" s="55"/>
      <c r="E34" s="56"/>
      <c r="F34" s="56"/>
      <c r="G34" s="56" t="s">
        <v>32</v>
      </c>
      <c r="H34" s="75">
        <f>H33/H31</f>
        <v>2.2393822393822392E-2</v>
      </c>
      <c r="I34" s="75">
        <f t="shared" ref="I34" si="22">I33/I31</f>
        <v>1.1851851851851851E-2</v>
      </c>
      <c r="J34" s="75">
        <f>J33/J31</f>
        <v>-1.984126984126984E-2</v>
      </c>
      <c r="K34" s="76">
        <f>K33/K31</f>
        <v>1.0913500404203719E-2</v>
      </c>
      <c r="L34" s="93"/>
      <c r="M34" s="43"/>
      <c r="N34" s="43"/>
      <c r="O34" s="43"/>
      <c r="P34" s="90"/>
      <c r="Q34" s="36"/>
      <c r="R34" s="70"/>
    </row>
    <row r="35" spans="1:18" ht="24.9" customHeight="1">
      <c r="A35" s="20"/>
      <c r="B35" s="16"/>
      <c r="C35" s="16"/>
      <c r="D35" s="47"/>
      <c r="E35" s="47"/>
      <c r="F35" s="47"/>
      <c r="G35" s="47"/>
      <c r="H35" s="59"/>
      <c r="I35" s="59"/>
      <c r="J35" s="59"/>
      <c r="K35" s="59"/>
      <c r="L35" s="53"/>
      <c r="M35" s="44" t="s">
        <v>45</v>
      </c>
      <c r="N35" s="44">
        <f>SUM(N32:N34)</f>
        <v>2474</v>
      </c>
      <c r="O35" s="44">
        <f>SUM(O32:O34)</f>
        <v>2501</v>
      </c>
      <c r="P35" s="45">
        <f>+O35-N35</f>
        <v>27</v>
      </c>
      <c r="Q35" s="46">
        <f>+P35/N35</f>
        <v>1.0913500404203719E-2</v>
      </c>
      <c r="R35" s="71"/>
    </row>
    <row r="36" spans="1:18" ht="24" hidden="1" customHeight="1" thickBot="1">
      <c r="A36" s="20"/>
      <c r="B36" s="93"/>
      <c r="C36" s="93"/>
      <c r="D36" s="24" t="s">
        <v>25</v>
      </c>
      <c r="E36" s="92"/>
      <c r="F36" s="92" t="s">
        <v>15</v>
      </c>
      <c r="G36" s="92"/>
      <c r="H36" s="26" t="str">
        <f>H16</f>
        <v>S</v>
      </c>
      <c r="I36" s="26" t="str">
        <f>I16</f>
        <v>M</v>
      </c>
      <c r="J36" s="26" t="str">
        <f>J16</f>
        <v>L</v>
      </c>
      <c r="K36" s="27" t="s">
        <v>26</v>
      </c>
      <c r="Q36" s="48"/>
    </row>
    <row r="37" spans="1:18" ht="24" hidden="1" customHeight="1">
      <c r="A37" s="60"/>
      <c r="D37" s="85" t="s">
        <v>27</v>
      </c>
      <c r="E37" s="86"/>
      <c r="F37" s="126" t="str">
        <f>F17</f>
        <v>Germany</v>
      </c>
      <c r="G37" s="126" t="str">
        <f>G17</f>
        <v>Medium Indigo WashUsedEffects3 (EHV)</v>
      </c>
      <c r="H37" s="86"/>
      <c r="I37" s="86"/>
      <c r="J37" s="86"/>
      <c r="K37" s="87">
        <f>SUM(H37:J37)</f>
        <v>0</v>
      </c>
      <c r="Q37" s="48"/>
    </row>
    <row r="38" spans="1:18" ht="24" hidden="1" customHeight="1">
      <c r="A38" s="60"/>
      <c r="D38" s="88" t="s">
        <v>33</v>
      </c>
      <c r="E38" s="83"/>
      <c r="F38" s="119"/>
      <c r="G38" s="127"/>
      <c r="H38" s="83">
        <f t="shared" ref="H38:J38" si="23">+H26</f>
        <v>0</v>
      </c>
      <c r="I38" s="83">
        <f t="shared" si="23"/>
        <v>0</v>
      </c>
      <c r="J38" s="83">
        <f t="shared" si="23"/>
        <v>0</v>
      </c>
      <c r="K38" s="84">
        <f>SUM(H38:J38)</f>
        <v>0</v>
      </c>
      <c r="Q38" s="48"/>
    </row>
    <row r="39" spans="1:18" ht="24" hidden="1" customHeight="1">
      <c r="A39" s="60"/>
      <c r="D39" s="39" t="s">
        <v>34</v>
      </c>
      <c r="E39" s="31"/>
      <c r="F39" s="127"/>
      <c r="G39" s="31" t="s">
        <v>35</v>
      </c>
      <c r="H39" s="40">
        <f>H38-H37</f>
        <v>0</v>
      </c>
      <c r="I39" s="40">
        <f t="shared" ref="I39:J39" si="24">I38-I37</f>
        <v>0</v>
      </c>
      <c r="J39" s="40">
        <f t="shared" si="24"/>
        <v>0</v>
      </c>
      <c r="K39" s="41">
        <f>K38-K37</f>
        <v>0</v>
      </c>
      <c r="Q39" s="48"/>
    </row>
    <row r="40" spans="1:18" ht="16.2" hidden="1" thickBot="1">
      <c r="A40" s="60"/>
      <c r="D40" s="55"/>
      <c r="E40" s="56"/>
      <c r="F40" s="56"/>
      <c r="G40" s="56" t="s">
        <v>32</v>
      </c>
      <c r="H40" s="57" t="e">
        <f>H39/H37</f>
        <v>#DIV/0!</v>
      </c>
      <c r="I40" s="57" t="e">
        <f t="shared" ref="I40:J40" si="25">I39/I37</f>
        <v>#DIV/0!</v>
      </c>
      <c r="J40" s="57" t="e">
        <f t="shared" si="25"/>
        <v>#DIV/0!</v>
      </c>
      <c r="K40" s="58" t="e">
        <f>K39/K37</f>
        <v>#DIV/0!</v>
      </c>
      <c r="Q40" s="48"/>
    </row>
    <row r="41" spans="1:18" ht="15" customHeight="1" thickBot="1">
      <c r="A41" s="61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54"/>
    </row>
    <row r="43" spans="1:18" ht="9" customHeight="1"/>
  </sheetData>
  <mergeCells count="43">
    <mergeCell ref="F37:F39"/>
    <mergeCell ref="G37:G38"/>
    <mergeCell ref="A26:B26"/>
    <mergeCell ref="A27:Q27"/>
    <mergeCell ref="A28:B28"/>
    <mergeCell ref="M30:N30"/>
    <mergeCell ref="O30:Q30"/>
    <mergeCell ref="F31:F33"/>
    <mergeCell ref="G31:G32"/>
    <mergeCell ref="F17:F25"/>
    <mergeCell ref="G17:G25"/>
    <mergeCell ref="A7:C7"/>
    <mergeCell ref="A8:B8"/>
    <mergeCell ref="F9:F14"/>
    <mergeCell ref="G9:G14"/>
    <mergeCell ref="A15:B15"/>
    <mergeCell ref="A16:B16"/>
    <mergeCell ref="D7:E7"/>
    <mergeCell ref="F7:G7"/>
    <mergeCell ref="L7:N7"/>
    <mergeCell ref="O7:P7"/>
    <mergeCell ref="A6:C6"/>
    <mergeCell ref="L6:N6"/>
    <mergeCell ref="O6:P6"/>
    <mergeCell ref="D6:E6"/>
    <mergeCell ref="F6:G6"/>
    <mergeCell ref="H6:K6"/>
    <mergeCell ref="H7:K7"/>
    <mergeCell ref="O5:Q5"/>
    <mergeCell ref="A1:Q1"/>
    <mergeCell ref="A2:Q2"/>
    <mergeCell ref="A3:Q3"/>
    <mergeCell ref="A4:C4"/>
    <mergeCell ref="L4:N4"/>
    <mergeCell ref="O4:Q4"/>
    <mergeCell ref="A5:C5"/>
    <mergeCell ref="L5:N5"/>
    <mergeCell ref="D4:E4"/>
    <mergeCell ref="D5:E5"/>
    <mergeCell ref="F5:G5"/>
    <mergeCell ref="F4:G4"/>
    <mergeCell ref="H4:K4"/>
    <mergeCell ref="H5:K5"/>
  </mergeCells>
  <printOptions horizontalCentered="1" verticalCentered="1"/>
  <pageMargins left="0" right="0" top="0" bottom="0" header="0" footer="0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B49"/>
  <sheetViews>
    <sheetView topLeftCell="D1" zoomScale="85" zoomScaleNormal="85" zoomScaleSheetLayoutView="100" workbookViewId="0">
      <selection activeCell="G9" sqref="G9:G20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>
      <c r="A1" s="105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62"/>
    </row>
    <row r="2" spans="1:28" s="80" customFormat="1" ht="13.2">
      <c r="A2" s="108" t="s">
        <v>77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</row>
    <row r="3" spans="1:28" s="80" customFormat="1" ht="13.8" thickBot="1">
      <c r="A3" s="143" t="s">
        <v>78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</row>
    <row r="4" spans="1:28" ht="39.9" customHeight="1">
      <c r="A4" s="110" t="s">
        <v>3</v>
      </c>
      <c r="B4" s="111"/>
      <c r="C4" s="111"/>
      <c r="D4" s="114">
        <f ca="1">TODAY()</f>
        <v>46274</v>
      </c>
      <c r="E4" s="114"/>
      <c r="F4" s="114"/>
      <c r="G4" s="114"/>
      <c r="H4" s="114"/>
      <c r="I4" s="144" t="s">
        <v>2</v>
      </c>
      <c r="J4" s="144"/>
      <c r="K4" s="144"/>
      <c r="L4" s="145" t="str">
        <f>G9</f>
        <v xml:space="preserve">HH, Black
</v>
      </c>
      <c r="M4" s="146"/>
      <c r="N4" s="147"/>
      <c r="O4" s="111" t="s">
        <v>27</v>
      </c>
      <c r="P4" s="111"/>
      <c r="Q4" s="111"/>
      <c r="R4" s="111">
        <f>+Q41</f>
        <v>7716</v>
      </c>
      <c r="S4" s="111"/>
      <c r="T4" s="112"/>
      <c r="U4" s="47"/>
    </row>
    <row r="5" spans="1:28" ht="30" customHeight="1">
      <c r="A5" s="113" t="s">
        <v>4</v>
      </c>
      <c r="B5" s="103"/>
      <c r="C5" s="103"/>
      <c r="D5" s="103"/>
      <c r="E5" s="103"/>
      <c r="F5" s="103"/>
      <c r="G5" s="103"/>
      <c r="H5" s="103"/>
      <c r="I5" s="103" t="s">
        <v>5</v>
      </c>
      <c r="J5" s="103"/>
      <c r="K5" s="103"/>
      <c r="L5" s="140" t="s">
        <v>86</v>
      </c>
      <c r="M5" s="141"/>
      <c r="N5" s="142"/>
      <c r="O5" s="103" t="s">
        <v>33</v>
      </c>
      <c r="P5" s="103"/>
      <c r="Q5" s="103"/>
      <c r="R5" s="103">
        <f>+R41</f>
        <v>7716</v>
      </c>
      <c r="S5" s="103"/>
      <c r="T5" s="104"/>
      <c r="U5" s="47"/>
    </row>
    <row r="6" spans="1:28" ht="18" customHeight="1">
      <c r="A6" s="113" t="s">
        <v>6</v>
      </c>
      <c r="B6" s="103"/>
      <c r="C6" s="103"/>
      <c r="D6" s="140">
        <v>500084191</v>
      </c>
      <c r="E6" s="141"/>
      <c r="F6" s="141"/>
      <c r="G6" s="141"/>
      <c r="H6" s="142"/>
      <c r="I6" s="103" t="s">
        <v>7</v>
      </c>
      <c r="J6" s="103"/>
      <c r="K6" s="103"/>
      <c r="L6" s="140" t="s">
        <v>75</v>
      </c>
      <c r="M6" s="141"/>
      <c r="N6" s="142"/>
      <c r="O6" s="103" t="s">
        <v>8</v>
      </c>
      <c r="P6" s="103"/>
      <c r="Q6" s="103"/>
      <c r="R6" s="117">
        <f>+S41</f>
        <v>0</v>
      </c>
      <c r="S6" s="103"/>
      <c r="T6" s="2">
        <f>(R6/R4)</f>
        <v>0</v>
      </c>
      <c r="U6" s="63"/>
    </row>
    <row r="7" spans="1:28" ht="18" customHeight="1">
      <c r="A7" s="113" t="s">
        <v>9</v>
      </c>
      <c r="B7" s="103"/>
      <c r="C7" s="103"/>
      <c r="D7" s="103" t="s">
        <v>79</v>
      </c>
      <c r="E7" s="103"/>
      <c r="F7" s="103"/>
      <c r="G7" s="103"/>
      <c r="H7" s="103"/>
      <c r="I7" s="103" t="s">
        <v>10</v>
      </c>
      <c r="J7" s="103"/>
      <c r="K7" s="103"/>
      <c r="L7" s="137">
        <f>S34</f>
        <v>1723.52</v>
      </c>
      <c r="M7" s="138"/>
      <c r="N7" s="139"/>
      <c r="O7" s="103" t="s">
        <v>11</v>
      </c>
      <c r="P7" s="103"/>
      <c r="Q7" s="103"/>
      <c r="R7" s="116">
        <f>+T34</f>
        <v>1861.52</v>
      </c>
      <c r="S7" s="103"/>
      <c r="T7" s="2"/>
      <c r="U7" s="63"/>
    </row>
    <row r="8" spans="1:28" s="6" customFormat="1" ht="30" customHeight="1">
      <c r="A8" s="120" t="s">
        <v>12</v>
      </c>
      <c r="B8" s="121"/>
      <c r="C8" s="3" t="s">
        <v>13</v>
      </c>
      <c r="D8" s="3" t="s">
        <v>14</v>
      </c>
      <c r="E8" s="3" t="s">
        <v>1</v>
      </c>
      <c r="F8" s="3" t="s">
        <v>15</v>
      </c>
      <c r="G8" s="3" t="s">
        <v>16</v>
      </c>
      <c r="H8" s="3" t="s">
        <v>80</v>
      </c>
      <c r="I8" s="3" t="s">
        <v>81</v>
      </c>
      <c r="J8" s="3" t="s">
        <v>82</v>
      </c>
      <c r="K8" s="3" t="s">
        <v>83</v>
      </c>
      <c r="L8" s="3" t="s">
        <v>84</v>
      </c>
      <c r="M8" s="3" t="s">
        <v>85</v>
      </c>
      <c r="N8" s="3" t="s">
        <v>17</v>
      </c>
      <c r="O8" s="3" t="s">
        <v>18</v>
      </c>
      <c r="P8" s="3" t="s">
        <v>19</v>
      </c>
      <c r="Q8" s="3" t="s">
        <v>20</v>
      </c>
      <c r="R8" s="3" t="s">
        <v>21</v>
      </c>
      <c r="S8" s="3" t="s">
        <v>22</v>
      </c>
      <c r="T8" s="4" t="s">
        <v>23</v>
      </c>
      <c r="U8" s="64"/>
      <c r="V8" s="5"/>
      <c r="W8" s="5"/>
      <c r="X8" s="5"/>
      <c r="Y8" s="6" t="s">
        <v>56</v>
      </c>
      <c r="Z8" s="6" t="s">
        <v>57</v>
      </c>
      <c r="AA8" s="6" t="s">
        <v>58</v>
      </c>
    </row>
    <row r="9" spans="1:28" ht="21.9" customHeight="1">
      <c r="A9" s="7">
        <v>1</v>
      </c>
      <c r="B9" s="8">
        <f t="shared" ref="B9:B11" si="0">C9+A9-1</f>
        <v>12</v>
      </c>
      <c r="C9" s="8">
        <f>ROUNDDOWN(H37/N9,0)</f>
        <v>12</v>
      </c>
      <c r="D9" s="79" t="str">
        <f>V9 &amp; " X " &amp; W9 &amp; " X " &amp; X9 &amp; " CM"</f>
        <v>60 X 40 X 30 CM</v>
      </c>
      <c r="E9" s="9">
        <f t="shared" ref="E9:E20" si="1">V9*W9*X9*C9/1000000</f>
        <v>0.86399999999999999</v>
      </c>
      <c r="F9" s="118" t="s">
        <v>39</v>
      </c>
      <c r="G9" s="118" t="s">
        <v>87</v>
      </c>
      <c r="H9" s="10">
        <v>90</v>
      </c>
      <c r="I9" s="10"/>
      <c r="J9" s="10"/>
      <c r="K9" s="10"/>
      <c r="L9" s="10"/>
      <c r="M9" s="10"/>
      <c r="N9" s="8">
        <f t="shared" ref="N9:N20" si="2">SUM(H9:M9)</f>
        <v>90</v>
      </c>
      <c r="O9" s="8">
        <f>N9*C9</f>
        <v>1080</v>
      </c>
      <c r="P9" s="11">
        <f>AA9</f>
        <v>0.2</v>
      </c>
      <c r="Q9" s="9">
        <f>Z9</f>
        <v>18.3</v>
      </c>
      <c r="R9" s="9">
        <f>Y9</f>
        <v>19.8</v>
      </c>
      <c r="S9" s="12">
        <f>+Q9*C9</f>
        <v>219.60000000000002</v>
      </c>
      <c r="T9" s="13">
        <f>+R9*C9</f>
        <v>237.60000000000002</v>
      </c>
      <c r="U9" s="65"/>
      <c r="V9" s="72">
        <v>60</v>
      </c>
      <c r="W9" s="72">
        <v>40</v>
      </c>
      <c r="X9" s="72">
        <v>30</v>
      </c>
      <c r="Y9" s="82">
        <v>19.8</v>
      </c>
      <c r="Z9" s="82">
        <f>Y9-1.5</f>
        <v>18.3</v>
      </c>
      <c r="AA9" s="77">
        <v>0.2</v>
      </c>
      <c r="AB9" s="77"/>
    </row>
    <row r="10" spans="1:28" ht="21.9" customHeight="1">
      <c r="A10" s="7">
        <f>B9+1</f>
        <v>13</v>
      </c>
      <c r="B10" s="8">
        <f>C10+A10-1</f>
        <v>13</v>
      </c>
      <c r="C10" s="8">
        <v>1</v>
      </c>
      <c r="D10" s="79" t="str">
        <f t="shared" ref="D10:D20" si="3">V10 &amp; " X " &amp; W10 &amp; " X " &amp; X10 &amp; " CM"</f>
        <v>60 X 40 X 20 CM</v>
      </c>
      <c r="E10" s="9">
        <f t="shared" si="1"/>
        <v>4.8000000000000001E-2</v>
      </c>
      <c r="F10" s="119"/>
      <c r="G10" s="119"/>
      <c r="H10" s="10">
        <v>41</v>
      </c>
      <c r="I10" s="10"/>
      <c r="J10" s="10"/>
      <c r="K10" s="10"/>
      <c r="L10" s="10"/>
      <c r="M10" s="10"/>
      <c r="N10" s="8">
        <f t="shared" si="2"/>
        <v>41</v>
      </c>
      <c r="O10" s="8">
        <f t="shared" ref="O10:O20" si="4">N10*C10</f>
        <v>41</v>
      </c>
      <c r="P10" s="11">
        <f t="shared" ref="P10:P20" si="5">AA10</f>
        <v>0.2</v>
      </c>
      <c r="Q10" s="9">
        <f t="shared" ref="Q10:Q20" si="6">Z10</f>
        <v>8.2000000000000011</v>
      </c>
      <c r="R10" s="9">
        <f t="shared" ref="R10:R20" si="7">Y10</f>
        <v>9.2000000000000011</v>
      </c>
      <c r="S10" s="12">
        <f t="shared" ref="S10:S20" si="8">+Q10*C10</f>
        <v>8.2000000000000011</v>
      </c>
      <c r="T10" s="13">
        <f t="shared" ref="T10:T20" si="9">+R10*C10</f>
        <v>9.2000000000000011</v>
      </c>
      <c r="U10" s="65"/>
      <c r="V10" s="72">
        <v>60</v>
      </c>
      <c r="W10" s="72">
        <v>40</v>
      </c>
      <c r="X10" s="72">
        <v>20</v>
      </c>
      <c r="Y10" s="1">
        <f>Z10+1</f>
        <v>9.2000000000000011</v>
      </c>
      <c r="Z10" s="1">
        <f>AA10*O10</f>
        <v>8.2000000000000011</v>
      </c>
      <c r="AA10" s="77">
        <v>0.2</v>
      </c>
      <c r="AB10" s="77"/>
    </row>
    <row r="11" spans="1:28" ht="21.9" customHeight="1">
      <c r="A11" s="7">
        <f t="shared" ref="A11" si="10">B10+1</f>
        <v>14</v>
      </c>
      <c r="B11" s="8">
        <f t="shared" si="0"/>
        <v>29</v>
      </c>
      <c r="C11" s="8">
        <f>ROUNDDOWN(I37/N11,0)</f>
        <v>16</v>
      </c>
      <c r="D11" s="79" t="str">
        <f t="shared" si="3"/>
        <v>60 X 40 X 30 CM</v>
      </c>
      <c r="E11" s="9">
        <f t="shared" si="1"/>
        <v>1.1519999999999999</v>
      </c>
      <c r="F11" s="119"/>
      <c r="G11" s="119"/>
      <c r="H11" s="10"/>
      <c r="I11" s="10">
        <v>90</v>
      </c>
      <c r="J11" s="10"/>
      <c r="K11" s="10"/>
      <c r="L11" s="10"/>
      <c r="M11" s="10"/>
      <c r="N11" s="8">
        <f t="shared" si="2"/>
        <v>90</v>
      </c>
      <c r="O11" s="8">
        <f t="shared" si="4"/>
        <v>1440</v>
      </c>
      <c r="P11" s="11">
        <f t="shared" si="5"/>
        <v>0.2</v>
      </c>
      <c r="Q11" s="9">
        <f t="shared" si="6"/>
        <v>18.8</v>
      </c>
      <c r="R11" s="9">
        <f t="shared" si="7"/>
        <v>20.3</v>
      </c>
      <c r="S11" s="12">
        <f t="shared" si="8"/>
        <v>300.8</v>
      </c>
      <c r="T11" s="13">
        <f t="shared" si="9"/>
        <v>324.8</v>
      </c>
      <c r="U11" s="65"/>
      <c r="V11" s="72">
        <v>60</v>
      </c>
      <c r="W11" s="72">
        <v>40</v>
      </c>
      <c r="X11" s="72">
        <v>30</v>
      </c>
      <c r="Y11" s="1">
        <v>20.3</v>
      </c>
      <c r="Z11" s="82">
        <f>Y11-1.5</f>
        <v>18.8</v>
      </c>
      <c r="AA11" s="77">
        <v>0.2</v>
      </c>
      <c r="AB11" s="77"/>
    </row>
    <row r="12" spans="1:28" ht="21.9" customHeight="1">
      <c r="A12" s="7">
        <f t="shared" ref="A12:A20" si="11">B11+1</f>
        <v>30</v>
      </c>
      <c r="B12" s="8">
        <f t="shared" ref="B12:B20" si="12">C12+A12-1</f>
        <v>30</v>
      </c>
      <c r="C12" s="8">
        <v>1</v>
      </c>
      <c r="D12" s="79" t="str">
        <f t="shared" si="3"/>
        <v>60 X 40 X 10 CM</v>
      </c>
      <c r="E12" s="9">
        <f t="shared" si="1"/>
        <v>2.4E-2</v>
      </c>
      <c r="F12" s="119"/>
      <c r="G12" s="119"/>
      <c r="H12" s="10"/>
      <c r="I12" s="10">
        <f>72+11</f>
        <v>83</v>
      </c>
      <c r="J12" s="10"/>
      <c r="K12" s="10"/>
      <c r="L12" s="10"/>
      <c r="M12" s="10"/>
      <c r="N12" s="8">
        <f t="shared" si="2"/>
        <v>83</v>
      </c>
      <c r="O12" s="8">
        <f t="shared" si="4"/>
        <v>83</v>
      </c>
      <c r="P12" s="11">
        <f t="shared" si="5"/>
        <v>0.2</v>
      </c>
      <c r="Q12" s="9">
        <f t="shared" si="6"/>
        <v>16.600000000000001</v>
      </c>
      <c r="R12" s="9">
        <f t="shared" si="7"/>
        <v>17.600000000000001</v>
      </c>
      <c r="S12" s="12">
        <f t="shared" si="8"/>
        <v>16.600000000000001</v>
      </c>
      <c r="T12" s="13">
        <f t="shared" si="9"/>
        <v>17.600000000000001</v>
      </c>
      <c r="U12" s="65"/>
      <c r="V12" s="72">
        <v>60</v>
      </c>
      <c r="W12" s="72">
        <v>40</v>
      </c>
      <c r="X12" s="72">
        <v>10</v>
      </c>
      <c r="Y12" s="1">
        <f>Z12+1</f>
        <v>17.600000000000001</v>
      </c>
      <c r="Z12" s="1">
        <f>AA12*O12</f>
        <v>16.600000000000001</v>
      </c>
      <c r="AA12" s="77">
        <v>0.2</v>
      </c>
      <c r="AB12" s="77"/>
    </row>
    <row r="13" spans="1:28" ht="21.9" customHeight="1">
      <c r="A13" s="7">
        <f t="shared" si="11"/>
        <v>31</v>
      </c>
      <c r="B13" s="8">
        <f t="shared" si="12"/>
        <v>53</v>
      </c>
      <c r="C13" s="8">
        <f>ROUNDDOWN(J37/N13,0)</f>
        <v>23</v>
      </c>
      <c r="D13" s="79" t="str">
        <f t="shared" si="3"/>
        <v>60 X 40 X 30 CM</v>
      </c>
      <c r="E13" s="9">
        <f t="shared" si="1"/>
        <v>1.6559999999999999</v>
      </c>
      <c r="F13" s="119"/>
      <c r="G13" s="119"/>
      <c r="H13" s="10"/>
      <c r="I13" s="10"/>
      <c r="J13" s="10">
        <v>84</v>
      </c>
      <c r="K13" s="10"/>
      <c r="L13" s="10"/>
      <c r="M13" s="10"/>
      <c r="N13" s="8">
        <f t="shared" si="2"/>
        <v>84</v>
      </c>
      <c r="O13" s="8">
        <f t="shared" si="4"/>
        <v>1932</v>
      </c>
      <c r="P13" s="11">
        <f t="shared" si="5"/>
        <v>0.21</v>
      </c>
      <c r="Q13" s="9">
        <f t="shared" si="6"/>
        <v>18.399999999999999</v>
      </c>
      <c r="R13" s="9">
        <f t="shared" si="7"/>
        <v>19.899999999999999</v>
      </c>
      <c r="S13" s="12">
        <f t="shared" si="8"/>
        <v>423.2</v>
      </c>
      <c r="T13" s="13">
        <f t="shared" si="9"/>
        <v>457.7</v>
      </c>
      <c r="U13" s="65"/>
      <c r="V13" s="72">
        <v>60</v>
      </c>
      <c r="W13" s="72">
        <v>40</v>
      </c>
      <c r="X13" s="72">
        <v>30</v>
      </c>
      <c r="Y13" s="1">
        <v>19.899999999999999</v>
      </c>
      <c r="Z13" s="82">
        <f>Y13-1.5</f>
        <v>18.399999999999999</v>
      </c>
      <c r="AA13" s="77">
        <v>0.21</v>
      </c>
      <c r="AB13" s="77"/>
    </row>
    <row r="14" spans="1:28" ht="21.9" customHeight="1">
      <c r="A14" s="7">
        <f t="shared" si="11"/>
        <v>54</v>
      </c>
      <c r="B14" s="8">
        <f t="shared" si="12"/>
        <v>54</v>
      </c>
      <c r="C14" s="8">
        <v>1</v>
      </c>
      <c r="D14" s="79" t="str">
        <f t="shared" si="3"/>
        <v>60 X 40 X 20 CM</v>
      </c>
      <c r="E14" s="9">
        <f t="shared" si="1"/>
        <v>4.8000000000000001E-2</v>
      </c>
      <c r="F14" s="119"/>
      <c r="G14" s="119"/>
      <c r="H14" s="10"/>
      <c r="I14" s="10"/>
      <c r="J14" s="10">
        <v>22</v>
      </c>
      <c r="K14" s="10"/>
      <c r="L14" s="10"/>
      <c r="M14" s="10"/>
      <c r="N14" s="8">
        <f t="shared" si="2"/>
        <v>22</v>
      </c>
      <c r="O14" s="8">
        <f t="shared" si="4"/>
        <v>22</v>
      </c>
      <c r="P14" s="11">
        <f t="shared" si="5"/>
        <v>0.21</v>
      </c>
      <c r="Q14" s="9">
        <f t="shared" si="6"/>
        <v>4.62</v>
      </c>
      <c r="R14" s="9">
        <f t="shared" si="7"/>
        <v>5.62</v>
      </c>
      <c r="S14" s="12">
        <f t="shared" si="8"/>
        <v>4.62</v>
      </c>
      <c r="T14" s="13">
        <f t="shared" si="9"/>
        <v>5.62</v>
      </c>
      <c r="U14" s="65"/>
      <c r="V14" s="72">
        <v>60</v>
      </c>
      <c r="W14" s="72">
        <v>40</v>
      </c>
      <c r="X14" s="72">
        <v>20</v>
      </c>
      <c r="Y14" s="1">
        <f>Z14+1</f>
        <v>5.62</v>
      </c>
      <c r="Z14" s="1">
        <f>AA14*O14</f>
        <v>4.62</v>
      </c>
      <c r="AA14" s="77">
        <v>0.21</v>
      </c>
      <c r="AB14" s="77"/>
    </row>
    <row r="15" spans="1:28" ht="21.9" customHeight="1">
      <c r="A15" s="7">
        <f t="shared" si="11"/>
        <v>55</v>
      </c>
      <c r="B15" s="8">
        <f t="shared" si="12"/>
        <v>73</v>
      </c>
      <c r="C15" s="8">
        <f>ROUNDDOWN(K37/N15,0)</f>
        <v>19</v>
      </c>
      <c r="D15" s="79" t="str">
        <f t="shared" si="3"/>
        <v>60 X 40 X 30 CM</v>
      </c>
      <c r="E15" s="9">
        <f t="shared" si="1"/>
        <v>1.3680000000000001</v>
      </c>
      <c r="F15" s="119"/>
      <c r="G15" s="119"/>
      <c r="H15" s="10"/>
      <c r="I15" s="10"/>
      <c r="J15" s="10"/>
      <c r="K15" s="10">
        <v>84</v>
      </c>
      <c r="L15" s="10"/>
      <c r="M15" s="10"/>
      <c r="N15" s="8">
        <f t="shared" si="2"/>
        <v>84</v>
      </c>
      <c r="O15" s="8">
        <f t="shared" si="4"/>
        <v>1596</v>
      </c>
      <c r="P15" s="11">
        <f t="shared" si="5"/>
        <v>0.22</v>
      </c>
      <c r="Q15" s="9">
        <f t="shared" si="6"/>
        <v>19.5</v>
      </c>
      <c r="R15" s="9">
        <f t="shared" si="7"/>
        <v>21</v>
      </c>
      <c r="S15" s="12">
        <f t="shared" si="8"/>
        <v>370.5</v>
      </c>
      <c r="T15" s="13">
        <f t="shared" si="9"/>
        <v>399</v>
      </c>
      <c r="U15" s="65"/>
      <c r="V15" s="72">
        <v>60</v>
      </c>
      <c r="W15" s="72">
        <v>40</v>
      </c>
      <c r="X15" s="72">
        <v>30</v>
      </c>
      <c r="Y15" s="1">
        <v>21</v>
      </c>
      <c r="Z15" s="82">
        <f>Y15-1.5</f>
        <v>19.5</v>
      </c>
      <c r="AA15" s="77">
        <v>0.22</v>
      </c>
      <c r="AB15" s="77"/>
    </row>
    <row r="16" spans="1:28" ht="21.9" customHeight="1">
      <c r="A16" s="7">
        <f t="shared" si="11"/>
        <v>74</v>
      </c>
      <c r="B16" s="8">
        <f t="shared" si="12"/>
        <v>74</v>
      </c>
      <c r="C16" s="8">
        <v>1</v>
      </c>
      <c r="D16" s="79" t="str">
        <f t="shared" si="3"/>
        <v>60 X 40 X 20 CM</v>
      </c>
      <c r="E16" s="9">
        <f t="shared" si="1"/>
        <v>4.8000000000000001E-2</v>
      </c>
      <c r="F16" s="119"/>
      <c r="G16" s="119"/>
      <c r="H16" s="10"/>
      <c r="I16" s="10"/>
      <c r="J16" s="10"/>
      <c r="K16" s="10">
        <v>26</v>
      </c>
      <c r="L16" s="10"/>
      <c r="M16" s="10"/>
      <c r="N16" s="8">
        <f t="shared" si="2"/>
        <v>26</v>
      </c>
      <c r="O16" s="8">
        <f t="shared" si="4"/>
        <v>26</v>
      </c>
      <c r="P16" s="11">
        <f t="shared" si="5"/>
        <v>0.22</v>
      </c>
      <c r="Q16" s="9">
        <f t="shared" si="6"/>
        <v>5.72</v>
      </c>
      <c r="R16" s="9">
        <f t="shared" si="7"/>
        <v>6.72</v>
      </c>
      <c r="S16" s="12">
        <f t="shared" si="8"/>
        <v>5.72</v>
      </c>
      <c r="T16" s="13">
        <f t="shared" si="9"/>
        <v>6.72</v>
      </c>
      <c r="U16" s="65"/>
      <c r="V16" s="72">
        <v>60</v>
      </c>
      <c r="W16" s="72">
        <v>40</v>
      </c>
      <c r="X16" s="72">
        <v>20</v>
      </c>
      <c r="Y16" s="1">
        <f>Z16+1</f>
        <v>6.72</v>
      </c>
      <c r="Z16" s="1">
        <f>AA16*O16</f>
        <v>5.72</v>
      </c>
      <c r="AA16" s="77">
        <v>0.22</v>
      </c>
      <c r="AB16" s="77"/>
    </row>
    <row r="17" spans="1:28" ht="21.9" customHeight="1">
      <c r="A17" s="7">
        <f t="shared" si="11"/>
        <v>75</v>
      </c>
      <c r="B17" s="8">
        <f t="shared" si="12"/>
        <v>84</v>
      </c>
      <c r="C17" s="8">
        <f>ROUNDDOWN(L37/N17,0)</f>
        <v>10</v>
      </c>
      <c r="D17" s="79" t="str">
        <f t="shared" si="3"/>
        <v>60 X 40 X 30 CM</v>
      </c>
      <c r="E17" s="9">
        <f t="shared" si="1"/>
        <v>0.72</v>
      </c>
      <c r="F17" s="119"/>
      <c r="G17" s="119"/>
      <c r="H17" s="10"/>
      <c r="I17" s="10"/>
      <c r="J17" s="10"/>
      <c r="K17" s="10"/>
      <c r="L17" s="10">
        <v>78</v>
      </c>
      <c r="M17" s="10"/>
      <c r="N17" s="8">
        <f t="shared" si="2"/>
        <v>78</v>
      </c>
      <c r="O17" s="8">
        <f t="shared" si="4"/>
        <v>780</v>
      </c>
      <c r="P17" s="11">
        <f t="shared" si="5"/>
        <v>0.23</v>
      </c>
      <c r="Q17" s="9">
        <f t="shared" si="6"/>
        <v>19.2</v>
      </c>
      <c r="R17" s="9">
        <f t="shared" si="7"/>
        <v>20.7</v>
      </c>
      <c r="S17" s="12">
        <f t="shared" si="8"/>
        <v>192</v>
      </c>
      <c r="T17" s="13">
        <f t="shared" si="9"/>
        <v>207</v>
      </c>
      <c r="U17" s="65"/>
      <c r="V17" s="72">
        <v>60</v>
      </c>
      <c r="W17" s="72">
        <v>40</v>
      </c>
      <c r="X17" s="72">
        <v>30</v>
      </c>
      <c r="Y17" s="1">
        <v>20.7</v>
      </c>
      <c r="Z17" s="82">
        <f>Y17-1.5</f>
        <v>19.2</v>
      </c>
      <c r="AA17" s="77">
        <v>0.23</v>
      </c>
      <c r="AB17" s="77"/>
    </row>
    <row r="18" spans="1:28" ht="21.9" customHeight="1">
      <c r="A18" s="7">
        <f t="shared" si="11"/>
        <v>85</v>
      </c>
      <c r="B18" s="8">
        <f t="shared" si="12"/>
        <v>85</v>
      </c>
      <c r="C18" s="8">
        <v>1</v>
      </c>
      <c r="D18" s="79" t="str">
        <f t="shared" si="3"/>
        <v>60 X 40 X 10 CM</v>
      </c>
      <c r="E18" s="9">
        <f t="shared" si="1"/>
        <v>2.4E-2</v>
      </c>
      <c r="F18" s="119"/>
      <c r="G18" s="119"/>
      <c r="H18" s="10"/>
      <c r="I18" s="10"/>
      <c r="J18" s="10"/>
      <c r="K18" s="10"/>
      <c r="L18" s="10">
        <v>76</v>
      </c>
      <c r="M18" s="10"/>
      <c r="N18" s="8">
        <f t="shared" si="2"/>
        <v>76</v>
      </c>
      <c r="O18" s="8">
        <f t="shared" si="4"/>
        <v>76</v>
      </c>
      <c r="P18" s="11">
        <f t="shared" si="5"/>
        <v>0.23</v>
      </c>
      <c r="Q18" s="9">
        <f t="shared" si="6"/>
        <v>17.48</v>
      </c>
      <c r="R18" s="9">
        <f t="shared" si="7"/>
        <v>18.48</v>
      </c>
      <c r="S18" s="12">
        <f t="shared" si="8"/>
        <v>17.48</v>
      </c>
      <c r="T18" s="13">
        <f t="shared" si="9"/>
        <v>18.48</v>
      </c>
      <c r="U18" s="65"/>
      <c r="V18" s="72">
        <v>60</v>
      </c>
      <c r="W18" s="72">
        <v>40</v>
      </c>
      <c r="X18" s="72">
        <v>10</v>
      </c>
      <c r="Y18" s="1">
        <f>Z18+1</f>
        <v>18.48</v>
      </c>
      <c r="Z18" s="1">
        <f>AA18*O18</f>
        <v>17.48</v>
      </c>
      <c r="AA18" s="77">
        <v>0.23</v>
      </c>
      <c r="AB18" s="77"/>
    </row>
    <row r="19" spans="1:28" ht="21.9" customHeight="1">
      <c r="A19" s="7">
        <f t="shared" si="11"/>
        <v>86</v>
      </c>
      <c r="B19" s="8">
        <f t="shared" si="12"/>
        <v>93</v>
      </c>
      <c r="C19" s="8">
        <f>ROUNDDOWN(M37/N19,0)</f>
        <v>8</v>
      </c>
      <c r="D19" s="79" t="str">
        <f t="shared" si="3"/>
        <v>60 X 40 X 30 CM</v>
      </c>
      <c r="E19" s="9">
        <f t="shared" si="1"/>
        <v>0.57599999999999996</v>
      </c>
      <c r="F19" s="119"/>
      <c r="G19" s="119"/>
      <c r="H19" s="10"/>
      <c r="I19" s="10"/>
      <c r="J19" s="10"/>
      <c r="K19" s="10"/>
      <c r="L19" s="10"/>
      <c r="M19" s="10">
        <v>78</v>
      </c>
      <c r="N19" s="8">
        <f t="shared" si="2"/>
        <v>78</v>
      </c>
      <c r="O19" s="8">
        <f t="shared" si="4"/>
        <v>624</v>
      </c>
      <c r="P19" s="11">
        <f t="shared" si="5"/>
        <v>0.25</v>
      </c>
      <c r="Q19" s="9">
        <f t="shared" si="6"/>
        <v>20.100000000000001</v>
      </c>
      <c r="R19" s="9">
        <f t="shared" si="7"/>
        <v>21.6</v>
      </c>
      <c r="S19" s="12">
        <f t="shared" si="8"/>
        <v>160.80000000000001</v>
      </c>
      <c r="T19" s="13">
        <f t="shared" si="9"/>
        <v>172.8</v>
      </c>
      <c r="U19" s="65"/>
      <c r="V19" s="72">
        <v>60</v>
      </c>
      <c r="W19" s="72">
        <v>40</v>
      </c>
      <c r="X19" s="72">
        <v>30</v>
      </c>
      <c r="Y19" s="1">
        <v>21.6</v>
      </c>
      <c r="Z19" s="82">
        <f>Y19-1.5</f>
        <v>20.100000000000001</v>
      </c>
      <c r="AA19" s="77">
        <v>0.25</v>
      </c>
      <c r="AB19" s="77"/>
    </row>
    <row r="20" spans="1:28" ht="21.9" customHeight="1">
      <c r="A20" s="7">
        <f t="shared" si="11"/>
        <v>94</v>
      </c>
      <c r="B20" s="8">
        <f t="shared" si="12"/>
        <v>94</v>
      </c>
      <c r="C20" s="8">
        <v>1</v>
      </c>
      <c r="D20" s="79" t="str">
        <f t="shared" si="3"/>
        <v>60 X 40 X 20 CM</v>
      </c>
      <c r="E20" s="9">
        <f t="shared" si="1"/>
        <v>4.8000000000000001E-2</v>
      </c>
      <c r="F20" s="119"/>
      <c r="G20" s="119"/>
      <c r="H20" s="10"/>
      <c r="I20" s="10"/>
      <c r="J20" s="10"/>
      <c r="K20" s="10"/>
      <c r="L20" s="10"/>
      <c r="M20" s="10">
        <v>16</v>
      </c>
      <c r="N20" s="8">
        <f t="shared" si="2"/>
        <v>16</v>
      </c>
      <c r="O20" s="8">
        <f t="shared" si="4"/>
        <v>16</v>
      </c>
      <c r="P20" s="11">
        <f t="shared" si="5"/>
        <v>0.25</v>
      </c>
      <c r="Q20" s="9">
        <f t="shared" si="6"/>
        <v>4</v>
      </c>
      <c r="R20" s="9">
        <f t="shared" si="7"/>
        <v>5</v>
      </c>
      <c r="S20" s="12">
        <f t="shared" si="8"/>
        <v>4</v>
      </c>
      <c r="T20" s="13">
        <f t="shared" si="9"/>
        <v>5</v>
      </c>
      <c r="U20" s="65"/>
      <c r="V20" s="72">
        <v>60</v>
      </c>
      <c r="W20" s="72">
        <v>40</v>
      </c>
      <c r="X20" s="72">
        <v>20</v>
      </c>
      <c r="Y20" s="1">
        <f>Z20+1</f>
        <v>5</v>
      </c>
      <c r="Z20" s="1">
        <f>AA20*O20</f>
        <v>4</v>
      </c>
      <c r="AA20" s="77">
        <v>0.25</v>
      </c>
    </row>
    <row r="21" spans="1:28" s="6" customFormat="1" ht="21.9" customHeight="1">
      <c r="A21" s="128" t="s">
        <v>24</v>
      </c>
      <c r="B21" s="129"/>
      <c r="C21" s="14">
        <f>SUM(C9:C20)</f>
        <v>94</v>
      </c>
      <c r="D21" s="14"/>
      <c r="E21" s="15">
        <f>SUM(E9:E20)</f>
        <v>6.5759999999999996</v>
      </c>
      <c r="F21" s="14"/>
      <c r="G21" s="14"/>
      <c r="H21" s="14">
        <f>SUMPRODUCT($C9:$C20,H9:H20)</f>
        <v>1121</v>
      </c>
      <c r="I21" s="81">
        <f>SUMPRODUCT($C9:$C20,I9:I20)</f>
        <v>1523</v>
      </c>
      <c r="J21" s="81">
        <f>SUMPRODUCT($C9:$C20,J9:J20)</f>
        <v>1954</v>
      </c>
      <c r="K21" s="81">
        <f t="shared" ref="K21:M21" si="13">SUMPRODUCT($C9:$C20,K9:K20)</f>
        <v>1622</v>
      </c>
      <c r="L21" s="81">
        <f t="shared" si="13"/>
        <v>856</v>
      </c>
      <c r="M21" s="81">
        <f t="shared" si="13"/>
        <v>640</v>
      </c>
      <c r="N21" s="14" t="s">
        <v>0</v>
      </c>
      <c r="O21" s="14">
        <f>SUM(O9:O20)</f>
        <v>7716</v>
      </c>
      <c r="P21" s="15"/>
      <c r="Q21" s="15"/>
      <c r="R21" s="15"/>
      <c r="S21" s="15">
        <f>SUM(S9:S20)</f>
        <v>1723.52</v>
      </c>
      <c r="T21" s="50">
        <f>SUM(T9:T20)</f>
        <v>1861.52</v>
      </c>
      <c r="U21" s="66"/>
      <c r="V21" s="5"/>
      <c r="W21" s="5"/>
      <c r="X21" s="5"/>
      <c r="AA21" s="78"/>
    </row>
    <row r="22" spans="1:28" s="6" customFormat="1" ht="30" hidden="1" customHeight="1">
      <c r="A22" s="120" t="s">
        <v>12</v>
      </c>
      <c r="B22" s="121"/>
      <c r="C22" s="3" t="s">
        <v>13</v>
      </c>
      <c r="D22" s="3" t="s">
        <v>14</v>
      </c>
      <c r="E22" s="3" t="s">
        <v>1</v>
      </c>
      <c r="F22" s="3" t="s">
        <v>15</v>
      </c>
      <c r="G22" s="3" t="s">
        <v>16</v>
      </c>
      <c r="H22" s="3" t="str">
        <f>H8</f>
        <v>XS/32</v>
      </c>
      <c r="I22" s="3" t="str">
        <f>I8</f>
        <v>S/34</v>
      </c>
      <c r="J22" s="3" t="str">
        <f>J8</f>
        <v>M/36</v>
      </c>
      <c r="K22" s="3" t="str">
        <f>K8</f>
        <v>L/38</v>
      </c>
      <c r="L22" s="3"/>
      <c r="M22" s="3"/>
      <c r="N22" s="3" t="s">
        <v>17</v>
      </c>
      <c r="O22" s="3" t="s">
        <v>18</v>
      </c>
      <c r="P22" s="3" t="s">
        <v>19</v>
      </c>
      <c r="Q22" s="3" t="s">
        <v>20</v>
      </c>
      <c r="R22" s="3" t="s">
        <v>21</v>
      </c>
      <c r="S22" s="3" t="s">
        <v>22</v>
      </c>
      <c r="T22" s="4" t="s">
        <v>23</v>
      </c>
      <c r="U22" s="64"/>
      <c r="V22" s="5"/>
      <c r="W22" s="5"/>
      <c r="X22" s="5"/>
      <c r="AA22" s="78"/>
    </row>
    <row r="23" spans="1:28" ht="21.9" hidden="1" customHeight="1">
      <c r="A23" s="7">
        <f>B20+1</f>
        <v>95</v>
      </c>
      <c r="B23" s="8">
        <f t="shared" ref="B23:B31" si="14">C23+A23-1</f>
        <v>94</v>
      </c>
      <c r="C23" s="8"/>
      <c r="D23" s="52" t="str">
        <f>CONCATENATE(V23," * ",W23," * ",X23)</f>
        <v>60 * 40 * 30</v>
      </c>
      <c r="E23" s="9">
        <f t="shared" ref="E23:E31" si="15">V23*W23*X23*C23/1000000</f>
        <v>0</v>
      </c>
      <c r="F23" s="118" t="s">
        <v>39</v>
      </c>
      <c r="G23" s="118" t="s">
        <v>67</v>
      </c>
      <c r="H23" s="10"/>
      <c r="I23" s="10"/>
      <c r="J23" s="10"/>
      <c r="K23" s="10"/>
      <c r="L23" s="10"/>
      <c r="M23" s="10"/>
      <c r="N23" s="8">
        <f t="shared" ref="N23:N31" si="16">SUM(H23:M23)</f>
        <v>0</v>
      </c>
      <c r="O23" s="8">
        <f t="shared" ref="O23:O31" si="17">N23*C23</f>
        <v>0</v>
      </c>
      <c r="P23" s="11">
        <v>0.253</v>
      </c>
      <c r="Q23" s="9">
        <f t="shared" ref="Q23:Q31" si="18">P23*N23</f>
        <v>0</v>
      </c>
      <c r="R23" s="9">
        <f t="shared" ref="R23:R31" si="19">Q23+1.6</f>
        <v>1.6</v>
      </c>
      <c r="S23" s="12">
        <f t="shared" ref="S23:S31" si="20">+Q23*C23</f>
        <v>0</v>
      </c>
      <c r="T23" s="13">
        <f t="shared" ref="T23:T31" si="21">+R23*C23</f>
        <v>0</v>
      </c>
      <c r="U23" s="65"/>
      <c r="V23" s="72">
        <v>60</v>
      </c>
      <c r="W23" s="72">
        <v>40</v>
      </c>
      <c r="X23" s="72">
        <v>30</v>
      </c>
      <c r="Y23" s="1">
        <v>20.6</v>
      </c>
      <c r="Z23" s="1">
        <f>Y23-1.6</f>
        <v>19</v>
      </c>
      <c r="AA23" s="77" t="e">
        <f>Z23/N23</f>
        <v>#DIV/0!</v>
      </c>
    </row>
    <row r="24" spans="1:28" ht="21.9" hidden="1" customHeight="1">
      <c r="A24" s="7">
        <f>B23+1</f>
        <v>95</v>
      </c>
      <c r="B24" s="8">
        <f t="shared" si="14"/>
        <v>94</v>
      </c>
      <c r="C24" s="8"/>
      <c r="D24" s="52" t="str">
        <f>CONCATENATE(V24," * ",W24," * ",X24)</f>
        <v>60 * 40 * 10</v>
      </c>
      <c r="E24" s="9">
        <f t="shared" si="15"/>
        <v>0</v>
      </c>
      <c r="F24" s="119"/>
      <c r="G24" s="119"/>
      <c r="H24" s="10"/>
      <c r="I24" s="10"/>
      <c r="J24" s="10"/>
      <c r="K24" s="10"/>
      <c r="L24" s="10"/>
      <c r="M24" s="10"/>
      <c r="N24" s="8">
        <f t="shared" si="16"/>
        <v>0</v>
      </c>
      <c r="O24" s="8">
        <f t="shared" si="17"/>
        <v>0</v>
      </c>
      <c r="P24" s="11">
        <v>0.253</v>
      </c>
      <c r="Q24" s="9">
        <f t="shared" si="18"/>
        <v>0</v>
      </c>
      <c r="R24" s="9">
        <f t="shared" si="19"/>
        <v>1.6</v>
      </c>
      <c r="S24" s="12">
        <f t="shared" si="20"/>
        <v>0</v>
      </c>
      <c r="T24" s="13">
        <f t="shared" si="21"/>
        <v>0</v>
      </c>
      <c r="U24" s="65"/>
      <c r="V24" s="72">
        <v>60</v>
      </c>
      <c r="W24" s="72">
        <v>40</v>
      </c>
      <c r="X24" s="72">
        <v>10</v>
      </c>
      <c r="AA24" s="77"/>
    </row>
    <row r="25" spans="1:28" ht="21.9" hidden="1" customHeight="1">
      <c r="A25" s="7">
        <f>B23+1</f>
        <v>95</v>
      </c>
      <c r="B25" s="8">
        <f t="shared" ref="B25" si="22">C25+A25-1</f>
        <v>94</v>
      </c>
      <c r="C25" s="8"/>
      <c r="D25" s="52" t="str">
        <f t="shared" ref="D25" si="23">CONCATENATE(V25," * ",W25," * ",X25)</f>
        <v>60 * 40 * 30</v>
      </c>
      <c r="E25" s="9">
        <f t="shared" si="15"/>
        <v>0</v>
      </c>
      <c r="F25" s="119"/>
      <c r="G25" s="119"/>
      <c r="H25" s="10"/>
      <c r="I25" s="10"/>
      <c r="J25" s="10"/>
      <c r="K25" s="10"/>
      <c r="L25" s="10"/>
      <c r="M25" s="10"/>
      <c r="N25" s="8">
        <f t="shared" si="16"/>
        <v>0</v>
      </c>
      <c r="O25" s="8">
        <f t="shared" si="17"/>
        <v>0</v>
      </c>
      <c r="P25" s="11">
        <v>0.26500000000000001</v>
      </c>
      <c r="Q25" s="9">
        <f t="shared" ref="Q25" si="24">P25*N25</f>
        <v>0</v>
      </c>
      <c r="R25" s="9">
        <f t="shared" ref="R25" si="25">Q25+1.6</f>
        <v>1.6</v>
      </c>
      <c r="S25" s="12">
        <f t="shared" si="20"/>
        <v>0</v>
      </c>
      <c r="T25" s="13">
        <f t="shared" si="21"/>
        <v>0</v>
      </c>
      <c r="U25" s="65"/>
      <c r="V25" s="72">
        <v>60</v>
      </c>
      <c r="W25" s="72">
        <v>40</v>
      </c>
      <c r="X25" s="72">
        <v>30</v>
      </c>
      <c r="Y25" s="1">
        <v>21.5</v>
      </c>
      <c r="Z25" s="1">
        <f>Y25-1.6</f>
        <v>19.899999999999999</v>
      </c>
      <c r="AA25" s="77" t="e">
        <f>Z25/N25</f>
        <v>#DIV/0!</v>
      </c>
    </row>
    <row r="26" spans="1:28" ht="21.9" hidden="1" customHeight="1">
      <c r="A26" s="7">
        <f>B24+1</f>
        <v>95</v>
      </c>
      <c r="B26" s="8">
        <f t="shared" si="14"/>
        <v>94</v>
      </c>
      <c r="C26" s="8"/>
      <c r="D26" s="52" t="str">
        <f t="shared" ref="D26:D31" si="26">CONCATENATE(V26," * ",W26," * ",X26)</f>
        <v>60 * 40 * 10</v>
      </c>
      <c r="E26" s="9">
        <f t="shared" si="15"/>
        <v>0</v>
      </c>
      <c r="F26" s="119"/>
      <c r="G26" s="119"/>
      <c r="H26" s="10"/>
      <c r="I26" s="10"/>
      <c r="J26" s="10"/>
      <c r="K26" s="10"/>
      <c r="L26" s="10"/>
      <c r="M26" s="10"/>
      <c r="N26" s="8">
        <f t="shared" si="16"/>
        <v>0</v>
      </c>
      <c r="O26" s="8">
        <f t="shared" si="17"/>
        <v>0</v>
      </c>
      <c r="P26" s="11">
        <v>0.26500000000000001</v>
      </c>
      <c r="Q26" s="9">
        <f t="shared" si="18"/>
        <v>0</v>
      </c>
      <c r="R26" s="9">
        <f t="shared" si="19"/>
        <v>1.6</v>
      </c>
      <c r="S26" s="12">
        <f t="shared" si="20"/>
        <v>0</v>
      </c>
      <c r="T26" s="13">
        <f t="shared" si="21"/>
        <v>0</v>
      </c>
      <c r="U26" s="65"/>
      <c r="V26" s="72">
        <v>60</v>
      </c>
      <c r="W26" s="72">
        <v>40</v>
      </c>
      <c r="X26" s="72">
        <v>10</v>
      </c>
      <c r="Y26" s="1">
        <v>21.5</v>
      </c>
      <c r="Z26" s="1">
        <f>Y26-1.6</f>
        <v>19.899999999999999</v>
      </c>
      <c r="AA26" s="77"/>
    </row>
    <row r="27" spans="1:28" ht="21.9" hidden="1" customHeight="1">
      <c r="A27" s="7">
        <f t="shared" ref="A27:A31" si="27">B26+1</f>
        <v>95</v>
      </c>
      <c r="B27" s="8">
        <f t="shared" si="14"/>
        <v>94</v>
      </c>
      <c r="C27" s="8"/>
      <c r="D27" s="52" t="str">
        <f t="shared" si="26"/>
        <v>60 * 40 * 30</v>
      </c>
      <c r="E27" s="9">
        <f t="shared" si="15"/>
        <v>0</v>
      </c>
      <c r="F27" s="119"/>
      <c r="G27" s="119"/>
      <c r="H27" s="10"/>
      <c r="I27" s="10"/>
      <c r="J27" s="10"/>
      <c r="K27" s="10"/>
      <c r="L27" s="10"/>
      <c r="M27" s="10"/>
      <c r="N27" s="8">
        <f t="shared" si="16"/>
        <v>0</v>
      </c>
      <c r="O27" s="8">
        <f t="shared" si="17"/>
        <v>0</v>
      </c>
      <c r="P27" s="11">
        <v>0.26500000000000001</v>
      </c>
      <c r="Q27" s="9">
        <f t="shared" si="18"/>
        <v>0</v>
      </c>
      <c r="R27" s="9">
        <f t="shared" si="19"/>
        <v>1.6</v>
      </c>
      <c r="S27" s="12">
        <f t="shared" si="20"/>
        <v>0</v>
      </c>
      <c r="T27" s="13">
        <f t="shared" si="21"/>
        <v>0</v>
      </c>
      <c r="U27" s="65"/>
      <c r="V27" s="72">
        <v>60</v>
      </c>
      <c r="W27" s="72">
        <v>40</v>
      </c>
      <c r="X27" s="72">
        <v>30</v>
      </c>
      <c r="AA27" s="77"/>
    </row>
    <row r="28" spans="1:28" ht="21.9" hidden="1" customHeight="1">
      <c r="A28" s="7">
        <f t="shared" si="27"/>
        <v>95</v>
      </c>
      <c r="B28" s="8">
        <f t="shared" si="14"/>
        <v>94</v>
      </c>
      <c r="C28" s="8"/>
      <c r="D28" s="52" t="str">
        <f t="shared" si="26"/>
        <v>60 * 40 * 30</v>
      </c>
      <c r="E28" s="9">
        <f t="shared" si="15"/>
        <v>0</v>
      </c>
      <c r="F28" s="119"/>
      <c r="G28" s="119"/>
      <c r="H28" s="10"/>
      <c r="I28" s="10"/>
      <c r="J28" s="10"/>
      <c r="K28" s="10"/>
      <c r="L28" s="10"/>
      <c r="M28" s="10"/>
      <c r="N28" s="8">
        <f t="shared" si="16"/>
        <v>0</v>
      </c>
      <c r="O28" s="8">
        <f t="shared" si="17"/>
        <v>0</v>
      </c>
      <c r="P28" s="11">
        <v>0.27400000000000002</v>
      </c>
      <c r="Q28" s="9">
        <f t="shared" si="18"/>
        <v>0</v>
      </c>
      <c r="R28" s="9">
        <f t="shared" si="19"/>
        <v>1.6</v>
      </c>
      <c r="S28" s="12">
        <f t="shared" si="20"/>
        <v>0</v>
      </c>
      <c r="T28" s="13">
        <f t="shared" si="21"/>
        <v>0</v>
      </c>
      <c r="U28" s="65"/>
      <c r="V28" s="72">
        <v>60</v>
      </c>
      <c r="W28" s="72">
        <v>40</v>
      </c>
      <c r="X28" s="72">
        <v>30</v>
      </c>
      <c r="Y28" s="1">
        <v>20.75</v>
      </c>
      <c r="Z28" s="1">
        <f>Y28-1.6</f>
        <v>19.149999999999999</v>
      </c>
      <c r="AA28" s="77" t="e">
        <f>Z28/N28</f>
        <v>#DIV/0!</v>
      </c>
    </row>
    <row r="29" spans="1:28" ht="21.9" hidden="1" customHeight="1">
      <c r="A29" s="7">
        <f t="shared" si="27"/>
        <v>95</v>
      </c>
      <c r="B29" s="8">
        <f t="shared" si="14"/>
        <v>94</v>
      </c>
      <c r="C29" s="8"/>
      <c r="D29" s="52" t="str">
        <f t="shared" si="26"/>
        <v>60 * 40 * 20</v>
      </c>
      <c r="E29" s="9">
        <f t="shared" si="15"/>
        <v>0</v>
      </c>
      <c r="F29" s="119"/>
      <c r="G29" s="119"/>
      <c r="H29" s="10"/>
      <c r="I29" s="10"/>
      <c r="J29" s="10"/>
      <c r="K29" s="10"/>
      <c r="L29" s="10"/>
      <c r="M29" s="10"/>
      <c r="N29" s="8">
        <f t="shared" si="16"/>
        <v>0</v>
      </c>
      <c r="O29" s="8">
        <f t="shared" si="17"/>
        <v>0</v>
      </c>
      <c r="P29" s="11">
        <v>0.27400000000000002</v>
      </c>
      <c r="Q29" s="9">
        <f t="shared" si="18"/>
        <v>0</v>
      </c>
      <c r="R29" s="9">
        <f t="shared" si="19"/>
        <v>1.6</v>
      </c>
      <c r="S29" s="12">
        <f t="shared" si="20"/>
        <v>0</v>
      </c>
      <c r="T29" s="13">
        <f t="shared" si="21"/>
        <v>0</v>
      </c>
      <c r="U29" s="65"/>
      <c r="V29" s="72">
        <v>60</v>
      </c>
      <c r="W29" s="72">
        <v>40</v>
      </c>
      <c r="X29" s="72">
        <v>20</v>
      </c>
      <c r="AA29" s="77"/>
    </row>
    <row r="30" spans="1:28" ht="21.9" hidden="1" customHeight="1">
      <c r="A30" s="7">
        <f t="shared" si="27"/>
        <v>95</v>
      </c>
      <c r="B30" s="8">
        <f t="shared" si="14"/>
        <v>94</v>
      </c>
      <c r="C30" s="8"/>
      <c r="D30" s="52" t="str">
        <f t="shared" si="26"/>
        <v>60 * 40 * 30</v>
      </c>
      <c r="E30" s="9">
        <f t="shared" si="15"/>
        <v>0</v>
      </c>
      <c r="F30" s="119"/>
      <c r="G30" s="119"/>
      <c r="H30" s="10"/>
      <c r="I30" s="10"/>
      <c r="J30" s="10"/>
      <c r="K30" s="10"/>
      <c r="L30" s="10"/>
      <c r="M30" s="10"/>
      <c r="N30" s="8">
        <f t="shared" si="16"/>
        <v>0</v>
      </c>
      <c r="O30" s="8">
        <f t="shared" si="17"/>
        <v>0</v>
      </c>
      <c r="P30" s="11">
        <v>0.28599999999999998</v>
      </c>
      <c r="Q30" s="9">
        <f t="shared" si="18"/>
        <v>0</v>
      </c>
      <c r="R30" s="9">
        <f t="shared" si="19"/>
        <v>1.6</v>
      </c>
      <c r="S30" s="12">
        <f t="shared" si="20"/>
        <v>0</v>
      </c>
      <c r="T30" s="13">
        <f t="shared" si="21"/>
        <v>0</v>
      </c>
      <c r="U30" s="65"/>
      <c r="V30" s="72">
        <v>60</v>
      </c>
      <c r="W30" s="72">
        <v>40</v>
      </c>
      <c r="X30" s="72">
        <v>30</v>
      </c>
      <c r="Y30" s="1">
        <v>21.6</v>
      </c>
      <c r="Z30" s="1">
        <f>Y30-1.6</f>
        <v>20</v>
      </c>
      <c r="AA30" s="77" t="e">
        <f>Z30/N30</f>
        <v>#DIV/0!</v>
      </c>
    </row>
    <row r="31" spans="1:28" ht="21.9" hidden="1" customHeight="1">
      <c r="A31" s="7">
        <f t="shared" si="27"/>
        <v>95</v>
      </c>
      <c r="B31" s="8">
        <f t="shared" si="14"/>
        <v>94</v>
      </c>
      <c r="C31" s="8"/>
      <c r="D31" s="52" t="str">
        <f t="shared" si="26"/>
        <v>60 * 40 * 30</v>
      </c>
      <c r="E31" s="9">
        <f t="shared" si="15"/>
        <v>0</v>
      </c>
      <c r="F31" s="119"/>
      <c r="G31" s="119"/>
      <c r="H31" s="10"/>
      <c r="I31" s="10"/>
      <c r="J31" s="10"/>
      <c r="K31" s="10"/>
      <c r="L31" s="10"/>
      <c r="M31" s="10"/>
      <c r="N31" s="8">
        <f t="shared" si="16"/>
        <v>0</v>
      </c>
      <c r="O31" s="8">
        <f t="shared" si="17"/>
        <v>0</v>
      </c>
      <c r="P31" s="11">
        <v>0.28599999999999998</v>
      </c>
      <c r="Q31" s="9">
        <f t="shared" si="18"/>
        <v>0</v>
      </c>
      <c r="R31" s="9">
        <f t="shared" si="19"/>
        <v>1.6</v>
      </c>
      <c r="S31" s="12">
        <f t="shared" si="20"/>
        <v>0</v>
      </c>
      <c r="T31" s="13">
        <f t="shared" si="21"/>
        <v>0</v>
      </c>
      <c r="U31" s="65"/>
      <c r="V31" s="72">
        <v>60</v>
      </c>
      <c r="W31" s="72">
        <v>40</v>
      </c>
      <c r="X31" s="72">
        <v>30</v>
      </c>
      <c r="AA31" s="77"/>
    </row>
    <row r="32" spans="1:28" s="6" customFormat="1" ht="21.9" hidden="1" customHeight="1">
      <c r="A32" s="128" t="s">
        <v>24</v>
      </c>
      <c r="B32" s="129"/>
      <c r="C32" s="14">
        <f>SUM(C23:C31)</f>
        <v>0</v>
      </c>
      <c r="D32" s="14"/>
      <c r="E32" s="15">
        <f>SUM(E23:E31)</f>
        <v>0</v>
      </c>
      <c r="F32" s="14"/>
      <c r="G32" s="14"/>
      <c r="H32" s="14">
        <f>SUMPRODUCT(H23:H31,$C$23:$C$31)</f>
        <v>0</v>
      </c>
      <c r="I32" s="14">
        <f>SUMPRODUCT(I23:I31,$C$23:$C$31)</f>
        <v>0</v>
      </c>
      <c r="J32" s="14">
        <f>SUMPRODUCT(J23:J31,$C$23:$C$31)</f>
        <v>0</v>
      </c>
      <c r="K32" s="14">
        <f>SUMPRODUCT(K23:K31,$C$23:$C$31)</f>
        <v>0</v>
      </c>
      <c r="L32" s="14"/>
      <c r="M32" s="14"/>
      <c r="N32" s="14" t="s">
        <v>0</v>
      </c>
      <c r="O32" s="14">
        <f>SUM(O23:O31)</f>
        <v>0</v>
      </c>
      <c r="P32" s="15"/>
      <c r="Q32" s="15"/>
      <c r="R32" s="15"/>
      <c r="S32" s="15">
        <f>SUM(S23:S31)</f>
        <v>0</v>
      </c>
      <c r="T32" s="50">
        <f>SUM(T23:T31)</f>
        <v>0</v>
      </c>
      <c r="U32" s="66"/>
      <c r="V32" s="5"/>
      <c r="W32" s="5"/>
      <c r="X32" s="5"/>
    </row>
    <row r="33" spans="1:24" s="6" customFormat="1" ht="15.6" customHeight="1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67"/>
      <c r="V33" s="5"/>
      <c r="W33" s="5"/>
      <c r="X33" s="5"/>
    </row>
    <row r="34" spans="1:24" s="19" customFormat="1" ht="20.100000000000001" customHeight="1">
      <c r="A34" s="132" t="s">
        <v>36</v>
      </c>
      <c r="B34" s="133"/>
      <c r="C34" s="17">
        <f>SUM(C32,C21)</f>
        <v>94</v>
      </c>
      <c r="D34" s="17" t="s">
        <v>37</v>
      </c>
      <c r="E34" s="18">
        <f>SUM(E32,E21)</f>
        <v>6.5759999999999996</v>
      </c>
      <c r="F34" s="17"/>
      <c r="G34" s="17"/>
      <c r="H34" s="17">
        <f>SUM(H32,H21)</f>
        <v>1121</v>
      </c>
      <c r="I34" s="17">
        <f>SUM(I32,I21)</f>
        <v>1523</v>
      </c>
      <c r="J34" s="17">
        <f>SUM(J32,J21)</f>
        <v>1954</v>
      </c>
      <c r="K34" s="17">
        <f>SUM(K32,K21)</f>
        <v>1622</v>
      </c>
      <c r="L34" s="17">
        <f t="shared" ref="L34:M34" si="28">SUM(L32,L21)</f>
        <v>856</v>
      </c>
      <c r="M34" s="17">
        <f t="shared" si="28"/>
        <v>640</v>
      </c>
      <c r="N34" s="17"/>
      <c r="O34" s="17">
        <f>SUM(O32,O21)</f>
        <v>7716</v>
      </c>
      <c r="P34" s="17"/>
      <c r="Q34" s="17"/>
      <c r="R34" s="17"/>
      <c r="S34" s="18">
        <f>SUM(S32,S21)</f>
        <v>1723.52</v>
      </c>
      <c r="T34" s="18">
        <f>SUM(T32,T21)</f>
        <v>1861.52</v>
      </c>
      <c r="U34" s="68"/>
      <c r="V34" s="5"/>
      <c r="W34" s="5"/>
      <c r="X34" s="5"/>
    </row>
    <row r="35" spans="1:24" ht="30.75" customHeight="1" thickBot="1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2"/>
      <c r="T35" s="23"/>
      <c r="U35" s="22"/>
    </row>
    <row r="36" spans="1:24" ht="24.9" customHeight="1" thickBot="1">
      <c r="A36" s="20"/>
      <c r="B36" s="21"/>
      <c r="C36" s="21"/>
      <c r="D36" s="24" t="s">
        <v>25</v>
      </c>
      <c r="E36" s="25"/>
      <c r="F36" s="25" t="s">
        <v>15</v>
      </c>
      <c r="G36" s="25"/>
      <c r="H36" s="26" t="str">
        <f t="shared" ref="H36:M36" si="29">+H8</f>
        <v>XS/32</v>
      </c>
      <c r="I36" s="26" t="str">
        <f t="shared" si="29"/>
        <v>S/34</v>
      </c>
      <c r="J36" s="26" t="str">
        <f t="shared" si="29"/>
        <v>M/36</v>
      </c>
      <c r="K36" s="26" t="str">
        <f t="shared" si="29"/>
        <v>L/38</v>
      </c>
      <c r="L36" s="26" t="str">
        <f t="shared" si="29"/>
        <v>XL/40</v>
      </c>
      <c r="M36" s="26" t="str">
        <f t="shared" si="29"/>
        <v>2XL/42</v>
      </c>
      <c r="N36" s="27" t="s">
        <v>26</v>
      </c>
      <c r="O36" s="73"/>
      <c r="P36" s="134"/>
      <c r="Q36" s="134"/>
      <c r="R36" s="135"/>
      <c r="S36" s="135"/>
      <c r="T36" s="136"/>
      <c r="U36" s="51"/>
    </row>
    <row r="37" spans="1:24" ht="29.25" customHeight="1">
      <c r="A37" s="20"/>
      <c r="B37" s="21"/>
      <c r="C37" s="21"/>
      <c r="D37" s="28" t="s">
        <v>27</v>
      </c>
      <c r="E37" s="29"/>
      <c r="F37" s="111" t="str">
        <f>+F9</f>
        <v>Germany</v>
      </c>
      <c r="G37" s="111" t="str">
        <f>+G9</f>
        <v xml:space="preserve">HH, Black
</v>
      </c>
      <c r="H37" s="29">
        <v>1121</v>
      </c>
      <c r="I37" s="29">
        <v>1523</v>
      </c>
      <c r="J37" s="29">
        <v>1954</v>
      </c>
      <c r="K37" s="29">
        <v>1622</v>
      </c>
      <c r="L37" s="29">
        <v>856</v>
      </c>
      <c r="M37" s="29">
        <v>640</v>
      </c>
      <c r="N37" s="30">
        <f>SUM(H37:M37)</f>
        <v>7716</v>
      </c>
      <c r="O37" s="74"/>
      <c r="P37" s="31" t="s">
        <v>28</v>
      </c>
      <c r="Q37" s="31" t="s">
        <v>29</v>
      </c>
      <c r="R37" s="31" t="s">
        <v>30</v>
      </c>
      <c r="S37" s="11" t="s">
        <v>31</v>
      </c>
      <c r="T37" s="32" t="s">
        <v>32</v>
      </c>
      <c r="U37" s="69"/>
    </row>
    <row r="38" spans="1:24" ht="24.75" customHeight="1">
      <c r="A38" s="20"/>
      <c r="B38" s="21"/>
      <c r="C38" s="21"/>
      <c r="D38" s="7" t="s">
        <v>33</v>
      </c>
      <c r="E38" s="8"/>
      <c r="F38" s="103"/>
      <c r="G38" s="103"/>
      <c r="H38" s="8">
        <f>+H21</f>
        <v>1121</v>
      </c>
      <c r="I38" s="8">
        <f>+I21</f>
        <v>1523</v>
      </c>
      <c r="J38" s="8">
        <f>+J21</f>
        <v>1954</v>
      </c>
      <c r="K38" s="8">
        <f>+K21</f>
        <v>1622</v>
      </c>
      <c r="L38" s="8">
        <f t="shared" ref="L38:M38" si="30">+L21</f>
        <v>856</v>
      </c>
      <c r="M38" s="8">
        <f t="shared" si="30"/>
        <v>640</v>
      </c>
      <c r="N38" s="33">
        <f>SUM(H38:M38)</f>
        <v>7716</v>
      </c>
      <c r="O38" s="74"/>
      <c r="P38" s="34" t="s">
        <v>63</v>
      </c>
      <c r="Q38" s="8">
        <f>N37</f>
        <v>7716</v>
      </c>
      <c r="R38" s="8">
        <f>N38</f>
        <v>7716</v>
      </c>
      <c r="S38" s="35">
        <f>R38-Q38</f>
        <v>0</v>
      </c>
      <c r="T38" s="36">
        <f>S38/Q38</f>
        <v>0</v>
      </c>
      <c r="U38" s="70"/>
      <c r="V38" s="37"/>
    </row>
    <row r="39" spans="1:24" s="5" customFormat="1" ht="24.75" customHeight="1">
      <c r="A39" s="38"/>
      <c r="B39" s="16"/>
      <c r="C39" s="16"/>
      <c r="D39" s="39" t="s">
        <v>34</v>
      </c>
      <c r="E39" s="31"/>
      <c r="F39" s="103"/>
      <c r="G39" s="31" t="s">
        <v>35</v>
      </c>
      <c r="H39" s="40">
        <f>H38-H37</f>
        <v>0</v>
      </c>
      <c r="I39" s="40">
        <f t="shared" ref="I39:K39" si="31">I38-I37</f>
        <v>0</v>
      </c>
      <c r="J39" s="40">
        <f t="shared" si="31"/>
        <v>0</v>
      </c>
      <c r="K39" s="40">
        <f t="shared" si="31"/>
        <v>0</v>
      </c>
      <c r="L39" s="40">
        <f t="shared" ref="L39:M39" si="32">L38-L37</f>
        <v>0</v>
      </c>
      <c r="M39" s="40">
        <f t="shared" si="32"/>
        <v>0</v>
      </c>
      <c r="N39" s="41">
        <f>N38-N37</f>
        <v>0</v>
      </c>
      <c r="O39" s="42"/>
      <c r="P39" s="43"/>
      <c r="Q39" s="10"/>
      <c r="R39" s="10"/>
      <c r="S39" s="35"/>
      <c r="T39" s="36"/>
      <c r="U39" s="70"/>
    </row>
    <row r="40" spans="1:24" ht="24.75" customHeight="1" thickBot="1">
      <c r="A40" s="20"/>
      <c r="B40" s="16"/>
      <c r="C40" s="16"/>
      <c r="D40" s="55"/>
      <c r="E40" s="56"/>
      <c r="F40" s="56"/>
      <c r="G40" s="56" t="s">
        <v>32</v>
      </c>
      <c r="H40" s="75">
        <f>H39/H37</f>
        <v>0</v>
      </c>
      <c r="I40" s="75">
        <f t="shared" ref="I40:M40" si="33">I39/I37</f>
        <v>0</v>
      </c>
      <c r="J40" s="75">
        <f>J39/J37</f>
        <v>0</v>
      </c>
      <c r="K40" s="75">
        <f t="shared" si="33"/>
        <v>0</v>
      </c>
      <c r="L40" s="75">
        <f t="shared" si="33"/>
        <v>0</v>
      </c>
      <c r="M40" s="75">
        <f t="shared" si="33"/>
        <v>0</v>
      </c>
      <c r="N40" s="76">
        <f>N39/N37</f>
        <v>0</v>
      </c>
      <c r="O40" s="21"/>
      <c r="P40" s="43"/>
      <c r="Q40" s="43"/>
      <c r="R40" s="43"/>
      <c r="S40" s="35"/>
      <c r="T40" s="36"/>
      <c r="U40" s="70"/>
    </row>
    <row r="41" spans="1:24" ht="24.9" customHeight="1">
      <c r="A41" s="20"/>
      <c r="B41" s="16"/>
      <c r="C41" s="16"/>
      <c r="D41" s="47"/>
      <c r="E41" s="47"/>
      <c r="F41" s="47"/>
      <c r="G41" s="47"/>
      <c r="H41" s="59"/>
      <c r="I41" s="59"/>
      <c r="J41" s="59"/>
      <c r="K41" s="59"/>
      <c r="L41" s="59"/>
      <c r="M41" s="59"/>
      <c r="N41" s="59"/>
      <c r="O41" s="53"/>
      <c r="P41" s="44" t="s">
        <v>45</v>
      </c>
      <c r="Q41" s="44">
        <f>SUM(Q38:Q40)</f>
        <v>7716</v>
      </c>
      <c r="R41" s="44">
        <f>SUM(R38:R40)</f>
        <v>7716</v>
      </c>
      <c r="S41" s="45">
        <f>+R41-Q41</f>
        <v>0</v>
      </c>
      <c r="T41" s="46">
        <f>+S41/Q41</f>
        <v>0</v>
      </c>
      <c r="U41" s="71"/>
    </row>
    <row r="42" spans="1:24" ht="24" hidden="1" customHeight="1" thickBot="1">
      <c r="A42" s="20"/>
      <c r="B42" s="21"/>
      <c r="C42" s="21"/>
      <c r="D42" s="24" t="s">
        <v>25</v>
      </c>
      <c r="E42" s="25"/>
      <c r="F42" s="25" t="s">
        <v>15</v>
      </c>
      <c r="G42" s="25"/>
      <c r="H42" s="26" t="str">
        <f>H22</f>
        <v>XS/32</v>
      </c>
      <c r="I42" s="26" t="str">
        <f>I22</f>
        <v>S/34</v>
      </c>
      <c r="J42" s="26" t="str">
        <f>J22</f>
        <v>M/36</v>
      </c>
      <c r="K42" s="26" t="str">
        <f>K22</f>
        <v>L/38</v>
      </c>
      <c r="L42" s="26"/>
      <c r="M42" s="26"/>
      <c r="N42" s="27" t="s">
        <v>26</v>
      </c>
      <c r="T42" s="48"/>
    </row>
    <row r="43" spans="1:24" ht="24" hidden="1" customHeight="1">
      <c r="A43" s="60"/>
      <c r="D43" s="28" t="s">
        <v>27</v>
      </c>
      <c r="E43" s="29"/>
      <c r="F43" s="126" t="str">
        <f>F23</f>
        <v>Germany</v>
      </c>
      <c r="G43" s="126" t="str">
        <f>G23</f>
        <v>Medium Indigo WashUsedEffects3 (EHV)</v>
      </c>
      <c r="H43" s="29"/>
      <c r="I43" s="29"/>
      <c r="J43" s="29"/>
      <c r="K43" s="29"/>
      <c r="L43" s="29"/>
      <c r="M43" s="29"/>
      <c r="N43" s="30">
        <f>SUM(H43:M43)</f>
        <v>0</v>
      </c>
      <c r="T43" s="48"/>
    </row>
    <row r="44" spans="1:24" ht="24" hidden="1" customHeight="1">
      <c r="A44" s="60"/>
      <c r="D44" s="7" t="s">
        <v>33</v>
      </c>
      <c r="E44" s="8"/>
      <c r="F44" s="119"/>
      <c r="G44" s="127"/>
      <c r="H44" s="8">
        <f t="shared" ref="H44:K44" si="34">+H32</f>
        <v>0</v>
      </c>
      <c r="I44" s="8">
        <f t="shared" si="34"/>
        <v>0</v>
      </c>
      <c r="J44" s="8">
        <f t="shared" si="34"/>
        <v>0</v>
      </c>
      <c r="K44" s="8">
        <f t="shared" si="34"/>
        <v>0</v>
      </c>
      <c r="L44" s="8"/>
      <c r="M44" s="8"/>
      <c r="N44" s="33">
        <f>SUM(H44:M44)</f>
        <v>0</v>
      </c>
      <c r="T44" s="48"/>
    </row>
    <row r="45" spans="1:24" ht="24" hidden="1" customHeight="1">
      <c r="A45" s="60"/>
      <c r="D45" s="39" t="s">
        <v>34</v>
      </c>
      <c r="E45" s="31"/>
      <c r="F45" s="127"/>
      <c r="G45" s="31" t="s">
        <v>35</v>
      </c>
      <c r="H45" s="40">
        <f>H44-H43</f>
        <v>0</v>
      </c>
      <c r="I45" s="40">
        <f t="shared" ref="I45:K45" si="35">I44-I43</f>
        <v>0</v>
      </c>
      <c r="J45" s="40">
        <f t="shared" si="35"/>
        <v>0</v>
      </c>
      <c r="K45" s="40">
        <f t="shared" si="35"/>
        <v>0</v>
      </c>
      <c r="L45" s="40"/>
      <c r="M45" s="40"/>
      <c r="N45" s="41">
        <f>N44-N43</f>
        <v>0</v>
      </c>
      <c r="T45" s="48"/>
    </row>
    <row r="46" spans="1:24" ht="16.2" hidden="1" thickBot="1">
      <c r="A46" s="60"/>
      <c r="D46" s="55"/>
      <c r="E46" s="56"/>
      <c r="F46" s="56"/>
      <c r="G46" s="56" t="s">
        <v>32</v>
      </c>
      <c r="H46" s="57" t="e">
        <f>H45/H43</f>
        <v>#DIV/0!</v>
      </c>
      <c r="I46" s="57" t="e">
        <f t="shared" ref="I46:K46" si="36">I45/I43</f>
        <v>#DIV/0!</v>
      </c>
      <c r="J46" s="57" t="e">
        <f t="shared" si="36"/>
        <v>#DIV/0!</v>
      </c>
      <c r="K46" s="57" t="e">
        <f t="shared" si="36"/>
        <v>#DIV/0!</v>
      </c>
      <c r="L46" s="75"/>
      <c r="M46" s="75"/>
      <c r="N46" s="58" t="e">
        <f>N45/N43</f>
        <v>#DIV/0!</v>
      </c>
      <c r="T46" s="48"/>
    </row>
    <row r="47" spans="1:24" ht="15" customHeight="1" thickBot="1">
      <c r="A47" s="61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54"/>
    </row>
    <row r="49" ht="9" customHeight="1"/>
  </sheetData>
  <mergeCells count="43">
    <mergeCell ref="A3:T3"/>
    <mergeCell ref="R5:T5"/>
    <mergeCell ref="A1:T1"/>
    <mergeCell ref="A4:C4"/>
    <mergeCell ref="D4:H4"/>
    <mergeCell ref="I4:K4"/>
    <mergeCell ref="L4:N4"/>
    <mergeCell ref="O4:Q4"/>
    <mergeCell ref="R4:T4"/>
    <mergeCell ref="A5:C5"/>
    <mergeCell ref="D5:H5"/>
    <mergeCell ref="I5:K5"/>
    <mergeCell ref="L5:N5"/>
    <mergeCell ref="O5:Q5"/>
    <mergeCell ref="A2:T2"/>
    <mergeCell ref="L7:N7"/>
    <mergeCell ref="O7:Q7"/>
    <mergeCell ref="R7:S7"/>
    <mergeCell ref="A6:C6"/>
    <mergeCell ref="D6:H6"/>
    <mergeCell ref="I6:K6"/>
    <mergeCell ref="L6:N6"/>
    <mergeCell ref="O6:Q6"/>
    <mergeCell ref="R6:S6"/>
    <mergeCell ref="F23:F31"/>
    <mergeCell ref="G23:G31"/>
    <mergeCell ref="A7:C7"/>
    <mergeCell ref="D7:H7"/>
    <mergeCell ref="I7:K7"/>
    <mergeCell ref="A8:B8"/>
    <mergeCell ref="F9:F20"/>
    <mergeCell ref="G9:G20"/>
    <mergeCell ref="A21:B21"/>
    <mergeCell ref="A22:B22"/>
    <mergeCell ref="F43:F45"/>
    <mergeCell ref="G43:G44"/>
    <mergeCell ref="A32:B32"/>
    <mergeCell ref="A33:T33"/>
    <mergeCell ref="A34:B34"/>
    <mergeCell ref="P36:Q36"/>
    <mergeCell ref="R36:T36"/>
    <mergeCell ref="F37:F39"/>
    <mergeCell ref="G37:G38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B47"/>
  <sheetViews>
    <sheetView view="pageBreakPreview" topLeftCell="A2" zoomScaleNormal="100" zoomScaleSheetLayoutView="100" workbookViewId="0">
      <selection activeCell="H9" sqref="H9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05" t="s">
        <v>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62"/>
    </row>
    <row r="2" spans="1:28" ht="39.9" customHeight="1">
      <c r="A2" s="110" t="s">
        <v>3</v>
      </c>
      <c r="B2" s="111"/>
      <c r="C2" s="111"/>
      <c r="D2" s="114">
        <f ca="1">TODAY()</f>
        <v>46274</v>
      </c>
      <c r="E2" s="114"/>
      <c r="F2" s="114"/>
      <c r="G2" s="114"/>
      <c r="H2" s="114"/>
      <c r="I2" s="144" t="s">
        <v>2</v>
      </c>
      <c r="J2" s="144"/>
      <c r="K2" s="144"/>
      <c r="L2" s="145" t="str">
        <f>G7</f>
        <v xml:space="preserve">Bleach Indigo Wash (EHBL)
</v>
      </c>
      <c r="M2" s="146"/>
      <c r="N2" s="147"/>
      <c r="O2" s="111" t="s">
        <v>27</v>
      </c>
      <c r="P2" s="111"/>
      <c r="Q2" s="111"/>
      <c r="R2" s="111">
        <f>+Q39</f>
        <v>3640</v>
      </c>
      <c r="S2" s="111"/>
      <c r="T2" s="112"/>
      <c r="U2" s="47"/>
    </row>
    <row r="3" spans="1:28" ht="30" customHeight="1">
      <c r="A3" s="113" t="s">
        <v>4</v>
      </c>
      <c r="B3" s="103"/>
      <c r="C3" s="103"/>
      <c r="D3" s="103" t="s">
        <v>73</v>
      </c>
      <c r="E3" s="103"/>
      <c r="F3" s="103"/>
      <c r="G3" s="103"/>
      <c r="H3" s="103"/>
      <c r="I3" s="103" t="s">
        <v>5</v>
      </c>
      <c r="J3" s="103"/>
      <c r="K3" s="103"/>
      <c r="L3" s="140" t="s">
        <v>70</v>
      </c>
      <c r="M3" s="141"/>
      <c r="N3" s="142"/>
      <c r="O3" s="103" t="s">
        <v>33</v>
      </c>
      <c r="P3" s="103"/>
      <c r="Q3" s="103"/>
      <c r="R3" s="103">
        <f>+R39</f>
        <v>2895</v>
      </c>
      <c r="S3" s="103"/>
      <c r="T3" s="104"/>
      <c r="U3" s="47"/>
    </row>
    <row r="4" spans="1:28" ht="18" customHeight="1">
      <c r="A4" s="113" t="s">
        <v>6</v>
      </c>
      <c r="B4" s="103"/>
      <c r="C4" s="103"/>
      <c r="D4" s="140">
        <v>500083854</v>
      </c>
      <c r="E4" s="141"/>
      <c r="F4" s="141"/>
      <c r="G4" s="141"/>
      <c r="H4" s="142"/>
      <c r="I4" s="103" t="s">
        <v>7</v>
      </c>
      <c r="J4" s="103"/>
      <c r="K4" s="103"/>
      <c r="L4" s="140" t="s">
        <v>65</v>
      </c>
      <c r="M4" s="141"/>
      <c r="N4" s="142"/>
      <c r="O4" s="103" t="s">
        <v>8</v>
      </c>
      <c r="P4" s="103"/>
      <c r="Q4" s="103"/>
      <c r="R4" s="117">
        <f>+S39</f>
        <v>-745</v>
      </c>
      <c r="S4" s="103"/>
      <c r="T4" s="2">
        <f>(R4/R2)</f>
        <v>-0.20467032967032966</v>
      </c>
      <c r="U4" s="63"/>
    </row>
    <row r="5" spans="1:28" ht="18" customHeight="1">
      <c r="A5" s="113" t="s">
        <v>9</v>
      </c>
      <c r="B5" s="103"/>
      <c r="C5" s="103"/>
      <c r="D5" s="103" t="s">
        <v>68</v>
      </c>
      <c r="E5" s="103"/>
      <c r="F5" s="103"/>
      <c r="G5" s="103"/>
      <c r="H5" s="103"/>
      <c r="I5" s="103" t="s">
        <v>10</v>
      </c>
      <c r="J5" s="103"/>
      <c r="K5" s="103"/>
      <c r="L5" s="137">
        <f>S32</f>
        <v>1657.5549999999998</v>
      </c>
      <c r="M5" s="138"/>
      <c r="N5" s="139"/>
      <c r="O5" s="103" t="s">
        <v>11</v>
      </c>
      <c r="P5" s="103"/>
      <c r="Q5" s="103"/>
      <c r="R5" s="116">
        <f>+T32</f>
        <v>1798.3550000000002</v>
      </c>
      <c r="S5" s="103"/>
      <c r="T5" s="2"/>
      <c r="U5" s="63"/>
    </row>
    <row r="6" spans="1:28" s="6" customFormat="1" ht="30" customHeight="1">
      <c r="A6" s="120" t="s">
        <v>12</v>
      </c>
      <c r="B6" s="121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  <c r="Y6" s="6" t="s">
        <v>56</v>
      </c>
      <c r="Z6" s="6" t="s">
        <v>57</v>
      </c>
      <c r="AA6" s="6" t="s">
        <v>58</v>
      </c>
    </row>
    <row r="7" spans="1:28" ht="21.9" customHeight="1">
      <c r="A7" s="7">
        <v>1</v>
      </c>
      <c r="B7" s="8">
        <f t="shared" ref="B7:B18" si="0">C7+A7-1</f>
        <v>13</v>
      </c>
      <c r="C7" s="8">
        <v>13</v>
      </c>
      <c r="D7" s="52" t="str">
        <f>CONCATENATE(V7," * ",W7," * ",X7)</f>
        <v>60 * 40 * 30</v>
      </c>
      <c r="E7" s="9">
        <f>V7*W7*X7*C7/1000000</f>
        <v>0.93600000000000005</v>
      </c>
      <c r="F7" s="118" t="s">
        <v>39</v>
      </c>
      <c r="G7" s="118" t="s">
        <v>74</v>
      </c>
      <c r="H7" s="10">
        <v>35</v>
      </c>
      <c r="I7" s="10"/>
      <c r="J7" s="10"/>
      <c r="K7" s="10"/>
      <c r="L7" s="10"/>
      <c r="M7" s="10"/>
      <c r="N7" s="8">
        <f>SUM(H7:M7)</f>
        <v>35</v>
      </c>
      <c r="O7" s="8">
        <f>N7*C7</f>
        <v>455</v>
      </c>
      <c r="P7" s="11">
        <v>0.52100000000000002</v>
      </c>
      <c r="Q7" s="9">
        <f>P7*N7</f>
        <v>18.234999999999999</v>
      </c>
      <c r="R7" s="9">
        <f>Q7+1.6</f>
        <v>19.835000000000001</v>
      </c>
      <c r="S7" s="12">
        <f>+Q7*C7</f>
        <v>237.05500000000001</v>
      </c>
      <c r="T7" s="13">
        <f>+R7*C7</f>
        <v>257.85500000000002</v>
      </c>
      <c r="U7" s="65"/>
      <c r="V7" s="72">
        <v>60</v>
      </c>
      <c r="W7" s="72">
        <v>40</v>
      </c>
      <c r="X7" s="72">
        <v>30</v>
      </c>
      <c r="Y7" s="1">
        <v>21.95</v>
      </c>
      <c r="Z7" s="1">
        <f>Y7-1.6</f>
        <v>20.349999999999998</v>
      </c>
      <c r="AA7" s="77">
        <f>Z7/N7</f>
        <v>0.58142857142857141</v>
      </c>
      <c r="AB7" s="77"/>
    </row>
    <row r="8" spans="1:28" ht="21.9" hidden="1" customHeight="1">
      <c r="A8" s="7">
        <f>B7+1</f>
        <v>14</v>
      </c>
      <c r="B8" s="8">
        <f t="shared" si="0"/>
        <v>13</v>
      </c>
      <c r="C8" s="8"/>
      <c r="D8" s="52" t="str">
        <f>CONCATENATE(V8," * ",W8," * ",X8)</f>
        <v>60 * 40 * 10</v>
      </c>
      <c r="E8" s="9">
        <f>V8*W8*X8*C8/1000000</f>
        <v>0</v>
      </c>
      <c r="F8" s="119"/>
      <c r="G8" s="119"/>
      <c r="H8" s="10">
        <v>26</v>
      </c>
      <c r="I8" s="10"/>
      <c r="J8" s="10"/>
      <c r="K8" s="10"/>
      <c r="L8" s="10"/>
      <c r="M8" s="10"/>
      <c r="N8" s="8">
        <f t="shared" ref="N8:N18" si="1">SUM(H8:M8)</f>
        <v>26</v>
      </c>
      <c r="O8" s="8">
        <f t="shared" ref="O8:O18" si="2">N8*C8</f>
        <v>0</v>
      </c>
      <c r="P8" s="11">
        <v>0.52100000000000002</v>
      </c>
      <c r="Q8" s="9">
        <f t="shared" ref="Q8:Q18" si="3">P8*N8</f>
        <v>13.546000000000001</v>
      </c>
      <c r="R8" s="9">
        <f t="shared" ref="R8:R18" si="4">Q8+1.6</f>
        <v>15.146000000000001</v>
      </c>
      <c r="S8" s="12">
        <f>+Q8*C8</f>
        <v>0</v>
      </c>
      <c r="T8" s="13">
        <f>+R8*C8</f>
        <v>0</v>
      </c>
      <c r="U8" s="65"/>
      <c r="V8" s="72">
        <v>60</v>
      </c>
      <c r="W8" s="72">
        <v>40</v>
      </c>
      <c r="X8" s="72">
        <v>10</v>
      </c>
      <c r="AA8" s="77"/>
      <c r="AB8" s="77"/>
    </row>
    <row r="9" spans="1:28" ht="21.9" customHeight="1">
      <c r="A9" s="7">
        <f t="shared" ref="A9:A18" si="5">B8+1</f>
        <v>14</v>
      </c>
      <c r="B9" s="8">
        <f t="shared" si="0"/>
        <v>31</v>
      </c>
      <c r="C9" s="8">
        <v>18</v>
      </c>
      <c r="D9" s="52" t="str">
        <f t="shared" ref="D9:D18" si="6">CONCATENATE(V9," * ",W9," * ",X9)</f>
        <v>60 * 40 * 30</v>
      </c>
      <c r="E9" s="9">
        <f t="shared" ref="E9:E18" si="7">V9*W9*X9*C9/1000000</f>
        <v>1.296</v>
      </c>
      <c r="F9" s="119"/>
      <c r="G9" s="119"/>
      <c r="H9" s="10"/>
      <c r="I9" s="10">
        <v>35</v>
      </c>
      <c r="J9" s="10"/>
      <c r="K9" s="10"/>
      <c r="L9" s="10"/>
      <c r="M9" s="10"/>
      <c r="N9" s="8">
        <f t="shared" si="1"/>
        <v>35</v>
      </c>
      <c r="O9" s="8">
        <f t="shared" si="2"/>
        <v>630</v>
      </c>
      <c r="P9" s="11">
        <v>0.53900000000000003</v>
      </c>
      <c r="Q9" s="9">
        <f t="shared" si="3"/>
        <v>18.865000000000002</v>
      </c>
      <c r="R9" s="9">
        <f t="shared" si="4"/>
        <v>20.465000000000003</v>
      </c>
      <c r="S9" s="12">
        <f t="shared" ref="S9:S18" si="8">+Q9*C9</f>
        <v>339.57000000000005</v>
      </c>
      <c r="T9" s="13">
        <f t="shared" ref="T9:T18" si="9">+R9*C9</f>
        <v>368.37000000000006</v>
      </c>
      <c r="U9" s="65"/>
      <c r="V9" s="72">
        <v>60</v>
      </c>
      <c r="W9" s="72">
        <v>40</v>
      </c>
      <c r="X9" s="72">
        <v>30</v>
      </c>
      <c r="Y9" s="1">
        <v>22</v>
      </c>
      <c r="Z9" s="1">
        <f>Y9-1.6</f>
        <v>20.399999999999999</v>
      </c>
      <c r="AA9" s="77">
        <f>Z9/N9</f>
        <v>0.58285714285714285</v>
      </c>
      <c r="AB9" s="77"/>
    </row>
    <row r="10" spans="1:28" ht="21.9" hidden="1" customHeight="1">
      <c r="A10" s="7">
        <f t="shared" si="5"/>
        <v>32</v>
      </c>
      <c r="B10" s="8">
        <f t="shared" si="0"/>
        <v>31</v>
      </c>
      <c r="C10" s="8"/>
      <c r="D10" s="52" t="str">
        <f t="shared" si="6"/>
        <v>60 * 40 * 30</v>
      </c>
      <c r="E10" s="9">
        <f t="shared" si="7"/>
        <v>0</v>
      </c>
      <c r="F10" s="119"/>
      <c r="G10" s="119"/>
      <c r="H10" s="10"/>
      <c r="I10" s="10">
        <v>2</v>
      </c>
      <c r="J10" s="10"/>
      <c r="K10" s="10"/>
      <c r="L10" s="10"/>
      <c r="M10" s="10"/>
      <c r="N10" s="8">
        <f t="shared" si="1"/>
        <v>2</v>
      </c>
      <c r="O10" s="8">
        <f t="shared" si="2"/>
        <v>0</v>
      </c>
      <c r="P10" s="11">
        <v>0.53900000000000003</v>
      </c>
      <c r="Q10" s="9">
        <f t="shared" si="3"/>
        <v>1.0780000000000001</v>
      </c>
      <c r="R10" s="9">
        <f t="shared" si="4"/>
        <v>2.6779999999999999</v>
      </c>
      <c r="S10" s="12">
        <f t="shared" si="8"/>
        <v>0</v>
      </c>
      <c r="T10" s="13">
        <f t="shared" si="9"/>
        <v>0</v>
      </c>
      <c r="U10" s="65"/>
      <c r="V10" s="72">
        <v>60</v>
      </c>
      <c r="W10" s="72">
        <v>40</v>
      </c>
      <c r="X10" s="72">
        <v>30</v>
      </c>
      <c r="AA10" s="77"/>
      <c r="AB10" s="77"/>
    </row>
    <row r="11" spans="1:28" ht="21.9" customHeight="1">
      <c r="A11" s="7">
        <f t="shared" si="5"/>
        <v>32</v>
      </c>
      <c r="B11" s="8">
        <f t="shared" si="0"/>
        <v>51</v>
      </c>
      <c r="C11" s="8">
        <v>20</v>
      </c>
      <c r="D11" s="52" t="str">
        <f t="shared" si="6"/>
        <v>60 * 40 * 30</v>
      </c>
      <c r="E11" s="9">
        <f t="shared" si="7"/>
        <v>1.44</v>
      </c>
      <c r="F11" s="119"/>
      <c r="G11" s="119"/>
      <c r="H11" s="10"/>
      <c r="I11" s="10"/>
      <c r="J11" s="10">
        <v>35</v>
      </c>
      <c r="K11" s="10"/>
      <c r="L11" s="10"/>
      <c r="M11" s="10"/>
      <c r="N11" s="8">
        <f t="shared" si="1"/>
        <v>35</v>
      </c>
      <c r="O11" s="8">
        <f t="shared" si="2"/>
        <v>700</v>
      </c>
      <c r="P11" s="11">
        <v>0.56399999999999995</v>
      </c>
      <c r="Q11" s="9">
        <f t="shared" si="3"/>
        <v>19.739999999999998</v>
      </c>
      <c r="R11" s="9">
        <f t="shared" si="4"/>
        <v>21.34</v>
      </c>
      <c r="S11" s="12">
        <f t="shared" si="8"/>
        <v>394.79999999999995</v>
      </c>
      <c r="T11" s="13">
        <f t="shared" si="9"/>
        <v>426.8</v>
      </c>
      <c r="U11" s="65"/>
      <c r="V11" s="72">
        <v>60</v>
      </c>
      <c r="W11" s="72">
        <v>40</v>
      </c>
      <c r="X11" s="72">
        <v>30</v>
      </c>
      <c r="Y11" s="1">
        <v>22.2</v>
      </c>
      <c r="Z11" s="1">
        <f>Y11-1.6</f>
        <v>20.599999999999998</v>
      </c>
      <c r="AA11" s="77">
        <f>Z11/N11</f>
        <v>0.58857142857142852</v>
      </c>
      <c r="AB11" s="77"/>
    </row>
    <row r="12" spans="1:28" ht="21.9" hidden="1" customHeight="1">
      <c r="A12" s="7">
        <f t="shared" si="5"/>
        <v>52</v>
      </c>
      <c r="B12" s="8">
        <f t="shared" si="0"/>
        <v>51</v>
      </c>
      <c r="C12" s="8"/>
      <c r="D12" s="52" t="str">
        <f t="shared" si="6"/>
        <v>60 * 40 * 20</v>
      </c>
      <c r="E12" s="9">
        <f t="shared" si="7"/>
        <v>0</v>
      </c>
      <c r="F12" s="119"/>
      <c r="G12" s="119"/>
      <c r="H12" s="10"/>
      <c r="I12" s="10"/>
      <c r="J12" s="10">
        <v>23</v>
      </c>
      <c r="K12" s="10"/>
      <c r="L12" s="10"/>
      <c r="M12" s="10"/>
      <c r="N12" s="8">
        <f t="shared" si="1"/>
        <v>23</v>
      </c>
      <c r="O12" s="8">
        <f t="shared" si="2"/>
        <v>0</v>
      </c>
      <c r="P12" s="11">
        <v>0.56399999999999995</v>
      </c>
      <c r="Q12" s="9">
        <f t="shared" si="3"/>
        <v>12.972</v>
      </c>
      <c r="R12" s="9">
        <f t="shared" si="4"/>
        <v>14.571999999999999</v>
      </c>
      <c r="S12" s="12">
        <f t="shared" si="8"/>
        <v>0</v>
      </c>
      <c r="T12" s="13">
        <f t="shared" si="9"/>
        <v>0</v>
      </c>
      <c r="U12" s="65"/>
      <c r="V12" s="72">
        <v>60</v>
      </c>
      <c r="W12" s="72">
        <v>40</v>
      </c>
      <c r="X12" s="72">
        <v>20</v>
      </c>
      <c r="AA12" s="77"/>
      <c r="AB12" s="77"/>
    </row>
    <row r="13" spans="1:28" ht="21.9" customHeight="1">
      <c r="A13" s="7">
        <f t="shared" si="5"/>
        <v>52</v>
      </c>
      <c r="B13" s="8">
        <f t="shared" si="0"/>
        <v>70</v>
      </c>
      <c r="C13" s="8">
        <v>19</v>
      </c>
      <c r="D13" s="52" t="str">
        <f t="shared" si="6"/>
        <v>60 * 40 * 30</v>
      </c>
      <c r="E13" s="9">
        <f t="shared" si="7"/>
        <v>1.3680000000000001</v>
      </c>
      <c r="F13" s="119"/>
      <c r="G13" s="119"/>
      <c r="H13" s="10"/>
      <c r="I13" s="10"/>
      <c r="J13" s="10"/>
      <c r="K13" s="10">
        <v>30</v>
      </c>
      <c r="L13" s="10"/>
      <c r="M13" s="10"/>
      <c r="N13" s="8">
        <f t="shared" si="1"/>
        <v>30</v>
      </c>
      <c r="O13" s="8">
        <f t="shared" si="2"/>
        <v>570</v>
      </c>
      <c r="P13" s="11">
        <v>0.59299999999999997</v>
      </c>
      <c r="Q13" s="9">
        <f t="shared" si="3"/>
        <v>17.79</v>
      </c>
      <c r="R13" s="9">
        <f t="shared" si="4"/>
        <v>19.39</v>
      </c>
      <c r="S13" s="12">
        <f t="shared" si="8"/>
        <v>338.01</v>
      </c>
      <c r="T13" s="13">
        <f t="shared" si="9"/>
        <v>368.41</v>
      </c>
      <c r="U13" s="65"/>
      <c r="V13" s="72">
        <v>60</v>
      </c>
      <c r="W13" s="72">
        <v>40</v>
      </c>
      <c r="X13" s="72">
        <v>30</v>
      </c>
      <c r="Y13" s="1">
        <v>22.25</v>
      </c>
      <c r="Z13" s="1">
        <f>Y13-1.6</f>
        <v>20.65</v>
      </c>
      <c r="AA13" s="77">
        <f>Z13/N13</f>
        <v>0.68833333333333324</v>
      </c>
      <c r="AB13" s="77"/>
    </row>
    <row r="14" spans="1:28" ht="21.9" hidden="1" customHeight="1">
      <c r="A14" s="7">
        <f t="shared" si="5"/>
        <v>71</v>
      </c>
      <c r="B14" s="8">
        <f t="shared" si="0"/>
        <v>70</v>
      </c>
      <c r="C14" s="8"/>
      <c r="D14" s="52" t="str">
        <f t="shared" si="6"/>
        <v>60 * 40 * 10</v>
      </c>
      <c r="E14" s="9">
        <f t="shared" si="7"/>
        <v>0</v>
      </c>
      <c r="F14" s="119"/>
      <c r="G14" s="119"/>
      <c r="H14" s="10"/>
      <c r="I14" s="10"/>
      <c r="J14" s="10"/>
      <c r="K14" s="10">
        <v>17</v>
      </c>
      <c r="L14" s="10"/>
      <c r="M14" s="10"/>
      <c r="N14" s="8">
        <f t="shared" si="1"/>
        <v>17</v>
      </c>
      <c r="O14" s="8">
        <f t="shared" si="2"/>
        <v>0</v>
      </c>
      <c r="P14" s="11">
        <v>0.59299999999999997</v>
      </c>
      <c r="Q14" s="9">
        <f t="shared" si="3"/>
        <v>10.081</v>
      </c>
      <c r="R14" s="9">
        <f t="shared" si="4"/>
        <v>11.680999999999999</v>
      </c>
      <c r="S14" s="12">
        <f t="shared" si="8"/>
        <v>0</v>
      </c>
      <c r="T14" s="13">
        <f t="shared" si="9"/>
        <v>0</v>
      </c>
      <c r="U14" s="65"/>
      <c r="V14" s="72">
        <v>60</v>
      </c>
      <c r="W14" s="72">
        <v>40</v>
      </c>
      <c r="X14" s="72">
        <v>10</v>
      </c>
      <c r="AA14" s="77"/>
      <c r="AB14" s="77"/>
    </row>
    <row r="15" spans="1:28" ht="21.9" customHeight="1">
      <c r="A15" s="7">
        <f t="shared" si="5"/>
        <v>71</v>
      </c>
      <c r="B15" s="8">
        <f t="shared" si="0"/>
        <v>80</v>
      </c>
      <c r="C15" s="8">
        <v>10</v>
      </c>
      <c r="D15" s="52" t="str">
        <f t="shared" si="6"/>
        <v>60 * 40 * 30</v>
      </c>
      <c r="E15" s="9">
        <f t="shared" si="7"/>
        <v>0.72</v>
      </c>
      <c r="F15" s="119"/>
      <c r="G15" s="119"/>
      <c r="H15" s="10"/>
      <c r="I15" s="10"/>
      <c r="J15" s="10"/>
      <c r="K15" s="10"/>
      <c r="L15" s="10">
        <v>30</v>
      </c>
      <c r="M15" s="10"/>
      <c r="N15" s="8">
        <f t="shared" si="1"/>
        <v>30</v>
      </c>
      <c r="O15" s="8">
        <f t="shared" si="2"/>
        <v>300</v>
      </c>
      <c r="P15" s="11">
        <v>0.63</v>
      </c>
      <c r="Q15" s="9">
        <f t="shared" si="3"/>
        <v>18.899999999999999</v>
      </c>
      <c r="R15" s="9">
        <f t="shared" si="4"/>
        <v>20.5</v>
      </c>
      <c r="S15" s="12">
        <f t="shared" si="8"/>
        <v>189</v>
      </c>
      <c r="T15" s="13">
        <f t="shared" si="9"/>
        <v>205</v>
      </c>
      <c r="U15" s="65"/>
      <c r="V15" s="72">
        <v>60</v>
      </c>
      <c r="W15" s="72">
        <v>40</v>
      </c>
      <c r="X15" s="72">
        <v>30</v>
      </c>
      <c r="Y15" s="1">
        <v>20</v>
      </c>
      <c r="Z15" s="1">
        <f>Y15-1.6</f>
        <v>18.399999999999999</v>
      </c>
      <c r="AA15" s="77">
        <f>Z15/N15</f>
        <v>0.61333333333333329</v>
      </c>
      <c r="AB15" s="77"/>
    </row>
    <row r="16" spans="1:28" ht="21.9" hidden="1" customHeight="1">
      <c r="A16" s="7">
        <f t="shared" si="5"/>
        <v>81</v>
      </c>
      <c r="B16" s="8">
        <f t="shared" si="0"/>
        <v>80</v>
      </c>
      <c r="C16" s="8"/>
      <c r="D16" s="52" t="str">
        <f t="shared" si="6"/>
        <v>60 * 40 * 10</v>
      </c>
      <c r="E16" s="9">
        <f t="shared" si="7"/>
        <v>0</v>
      </c>
      <c r="F16" s="119"/>
      <c r="G16" s="119"/>
      <c r="H16" s="10"/>
      <c r="I16" s="10"/>
      <c r="J16" s="10"/>
      <c r="K16" s="10"/>
      <c r="L16" s="10">
        <v>12</v>
      </c>
      <c r="M16" s="10"/>
      <c r="N16" s="8">
        <f t="shared" si="1"/>
        <v>12</v>
      </c>
      <c r="O16" s="8">
        <f t="shared" si="2"/>
        <v>0</v>
      </c>
      <c r="P16" s="11">
        <v>0.63</v>
      </c>
      <c r="Q16" s="9">
        <f t="shared" si="3"/>
        <v>7.5600000000000005</v>
      </c>
      <c r="R16" s="9">
        <f t="shared" si="4"/>
        <v>9.16</v>
      </c>
      <c r="S16" s="12">
        <f t="shared" si="8"/>
        <v>0</v>
      </c>
      <c r="T16" s="13">
        <f t="shared" si="9"/>
        <v>0</v>
      </c>
      <c r="U16" s="65"/>
      <c r="V16" s="72">
        <v>60</v>
      </c>
      <c r="W16" s="72">
        <v>40</v>
      </c>
      <c r="X16" s="72">
        <v>10</v>
      </c>
      <c r="AA16" s="77"/>
      <c r="AB16" s="77"/>
    </row>
    <row r="17" spans="1:28" ht="21.9" customHeight="1">
      <c r="A17" s="7">
        <f t="shared" si="5"/>
        <v>81</v>
      </c>
      <c r="B17" s="8">
        <f t="shared" si="0"/>
        <v>88</v>
      </c>
      <c r="C17" s="8">
        <v>8</v>
      </c>
      <c r="D17" s="52" t="str">
        <f t="shared" si="6"/>
        <v>60 * 40 * 30</v>
      </c>
      <c r="E17" s="9">
        <f t="shared" si="7"/>
        <v>0.57599999999999996</v>
      </c>
      <c r="F17" s="119"/>
      <c r="G17" s="119"/>
      <c r="H17" s="10"/>
      <c r="I17" s="10"/>
      <c r="J17" s="10"/>
      <c r="K17" s="10"/>
      <c r="L17" s="10"/>
      <c r="M17" s="10">
        <v>30</v>
      </c>
      <c r="N17" s="8">
        <f t="shared" si="1"/>
        <v>30</v>
      </c>
      <c r="O17" s="8">
        <f t="shared" si="2"/>
        <v>240</v>
      </c>
      <c r="P17" s="11">
        <v>0.66300000000000003</v>
      </c>
      <c r="Q17" s="9">
        <f t="shared" si="3"/>
        <v>19.89</v>
      </c>
      <c r="R17" s="9">
        <f t="shared" si="4"/>
        <v>21.490000000000002</v>
      </c>
      <c r="S17" s="12">
        <f t="shared" si="8"/>
        <v>159.12</v>
      </c>
      <c r="T17" s="13">
        <f t="shared" si="9"/>
        <v>171.92000000000002</v>
      </c>
      <c r="U17" s="65"/>
      <c r="V17" s="72">
        <v>60</v>
      </c>
      <c r="W17" s="72">
        <v>40</v>
      </c>
      <c r="X17" s="72">
        <v>30</v>
      </c>
      <c r="Y17" s="1">
        <v>21</v>
      </c>
      <c r="Z17" s="1">
        <f>Y17-1.6</f>
        <v>19.399999999999999</v>
      </c>
      <c r="AA17" s="77">
        <f>Z17/N17</f>
        <v>0.64666666666666661</v>
      </c>
      <c r="AB17" s="77"/>
    </row>
    <row r="18" spans="1:28" ht="21.9" hidden="1" customHeight="1">
      <c r="A18" s="7">
        <f t="shared" si="5"/>
        <v>89</v>
      </c>
      <c r="B18" s="8">
        <f t="shared" si="0"/>
        <v>88</v>
      </c>
      <c r="C18" s="8"/>
      <c r="D18" s="52" t="str">
        <f t="shared" si="6"/>
        <v>60 * 40 * 30</v>
      </c>
      <c r="E18" s="9">
        <f t="shared" si="7"/>
        <v>0</v>
      </c>
      <c r="F18" s="119"/>
      <c r="G18" s="119"/>
      <c r="H18" s="10"/>
      <c r="I18" s="10"/>
      <c r="J18" s="10"/>
      <c r="K18" s="10"/>
      <c r="L18" s="10"/>
      <c r="M18" s="10">
        <v>5</v>
      </c>
      <c r="N18" s="8">
        <f t="shared" si="1"/>
        <v>5</v>
      </c>
      <c r="O18" s="8">
        <f t="shared" si="2"/>
        <v>0</v>
      </c>
      <c r="P18" s="11">
        <v>0.66300000000000003</v>
      </c>
      <c r="Q18" s="9">
        <f t="shared" si="3"/>
        <v>3.3150000000000004</v>
      </c>
      <c r="R18" s="9">
        <f t="shared" si="4"/>
        <v>4.9150000000000009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  <c r="AA18" s="77"/>
    </row>
    <row r="19" spans="1:28" s="6" customFormat="1" ht="21.9" customHeight="1">
      <c r="A19" s="128" t="s">
        <v>24</v>
      </c>
      <c r="B19" s="129"/>
      <c r="C19" s="14">
        <f>SUM(C7:C18)</f>
        <v>88</v>
      </c>
      <c r="D19" s="14"/>
      <c r="E19" s="15">
        <f>SUM(E7:E18)</f>
        <v>6.3359999999999994</v>
      </c>
      <c r="F19" s="14"/>
      <c r="G19" s="14"/>
      <c r="H19" s="14">
        <f t="shared" ref="H19:M19" si="10">SUMPRODUCT(H7:H18,$C$7:$C$18)</f>
        <v>455</v>
      </c>
      <c r="I19" s="14">
        <f t="shared" si="10"/>
        <v>630</v>
      </c>
      <c r="J19" s="14">
        <f t="shared" si="10"/>
        <v>700</v>
      </c>
      <c r="K19" s="14">
        <f t="shared" si="10"/>
        <v>570</v>
      </c>
      <c r="L19" s="14">
        <f t="shared" si="10"/>
        <v>300</v>
      </c>
      <c r="M19" s="14">
        <f t="shared" si="10"/>
        <v>240</v>
      </c>
      <c r="N19" s="14" t="s">
        <v>0</v>
      </c>
      <c r="O19" s="14">
        <f>SUM(O7:O18)</f>
        <v>2895</v>
      </c>
      <c r="P19" s="15"/>
      <c r="Q19" s="15"/>
      <c r="R19" s="15"/>
      <c r="S19" s="15">
        <f>SUM(S7:S18)</f>
        <v>1657.5549999999998</v>
      </c>
      <c r="T19" s="50">
        <f>SUM(T7:T18)</f>
        <v>1798.3550000000002</v>
      </c>
      <c r="U19" s="66"/>
      <c r="V19" s="5"/>
      <c r="W19" s="5"/>
      <c r="X19" s="5"/>
      <c r="AA19" s="78"/>
    </row>
    <row r="20" spans="1:28" s="6" customFormat="1" ht="30" hidden="1" customHeight="1">
      <c r="A20" s="120" t="s">
        <v>12</v>
      </c>
      <c r="B20" s="121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>I6</f>
        <v>34</v>
      </c>
      <c r="J20" s="3">
        <f>J6</f>
        <v>36</v>
      </c>
      <c r="K20" s="3">
        <f>K6</f>
        <v>38</v>
      </c>
      <c r="L20" s="3"/>
      <c r="M20" s="3"/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8" ht="21.9" hidden="1" customHeight="1">
      <c r="A21" s="7">
        <f>B18+1</f>
        <v>89</v>
      </c>
      <c r="B21" s="8">
        <f t="shared" ref="B21:B29" si="11">C21+A21-1</f>
        <v>88</v>
      </c>
      <c r="C21" s="8"/>
      <c r="D21" s="52" t="str">
        <f>CONCATENATE(V21," * ",W21," * ",X21)</f>
        <v>60 * 40 * 30</v>
      </c>
      <c r="E21" s="9">
        <f>V21*W21*X21*C21/1000000</f>
        <v>0</v>
      </c>
      <c r="F21" s="118" t="s">
        <v>39</v>
      </c>
      <c r="G21" s="118" t="s">
        <v>67</v>
      </c>
      <c r="H21" s="10"/>
      <c r="I21" s="10"/>
      <c r="J21" s="10"/>
      <c r="K21" s="10"/>
      <c r="L21" s="10"/>
      <c r="M21" s="10"/>
      <c r="N21" s="8">
        <f>SUM(H21:M21)</f>
        <v>0</v>
      </c>
      <c r="O21" s="8">
        <f>N21*C21</f>
        <v>0</v>
      </c>
      <c r="P21" s="11">
        <v>0.253</v>
      </c>
      <c r="Q21" s="9">
        <f t="shared" ref="Q21:Q29" si="12">P21*N21</f>
        <v>0</v>
      </c>
      <c r="R21" s="9">
        <f t="shared" ref="R21:R29" si="13">Q21+1.6</f>
        <v>1.6</v>
      </c>
      <c r="S21" s="12">
        <f>+Q21*C21</f>
        <v>0</v>
      </c>
      <c r="T21" s="13">
        <f>+R21*C21</f>
        <v>0</v>
      </c>
      <c r="U21" s="65"/>
      <c r="V21" s="72">
        <v>60</v>
      </c>
      <c r="W21" s="72">
        <v>40</v>
      </c>
      <c r="X21" s="72">
        <v>30</v>
      </c>
      <c r="Y21" s="1">
        <v>20.6</v>
      </c>
      <c r="Z21" s="1">
        <f>Y21-1.6</f>
        <v>19</v>
      </c>
      <c r="AA21" s="77" t="e">
        <f>Z21/N21</f>
        <v>#DIV/0!</v>
      </c>
    </row>
    <row r="22" spans="1:28" ht="21.9" hidden="1" customHeight="1">
      <c r="A22" s="7">
        <f>B21+1</f>
        <v>89</v>
      </c>
      <c r="B22" s="8">
        <f t="shared" si="11"/>
        <v>88</v>
      </c>
      <c r="C22" s="8"/>
      <c r="D22" s="52" t="str">
        <f>CONCATENATE(V22," * ",W22," * ",X22)</f>
        <v>60 * 40 * 10</v>
      </c>
      <c r="E22" s="9">
        <f>V22*W22*X22*C22/1000000</f>
        <v>0</v>
      </c>
      <c r="F22" s="119"/>
      <c r="G22" s="119"/>
      <c r="H22" s="10"/>
      <c r="I22" s="10"/>
      <c r="J22" s="10"/>
      <c r="K22" s="10"/>
      <c r="L22" s="10"/>
      <c r="M22" s="10"/>
      <c r="N22" s="8">
        <f t="shared" ref="N22:N29" si="14">SUM(H22:M22)</f>
        <v>0</v>
      </c>
      <c r="O22" s="8">
        <f t="shared" ref="O22:O29" si="15">N22*C22</f>
        <v>0</v>
      </c>
      <c r="P22" s="11">
        <v>0.253</v>
      </c>
      <c r="Q22" s="9">
        <f t="shared" si="12"/>
        <v>0</v>
      </c>
      <c r="R22" s="9">
        <f t="shared" si="13"/>
        <v>1.6</v>
      </c>
      <c r="S22" s="12">
        <f>+Q22*C22</f>
        <v>0</v>
      </c>
      <c r="T22" s="13">
        <f>+R22*C22</f>
        <v>0</v>
      </c>
      <c r="U22" s="65"/>
      <c r="V22" s="72">
        <v>60</v>
      </c>
      <c r="W22" s="72">
        <v>40</v>
      </c>
      <c r="X22" s="72">
        <v>10</v>
      </c>
      <c r="AA22" s="77"/>
    </row>
    <row r="23" spans="1:28" ht="21.9" hidden="1" customHeight="1">
      <c r="A23" s="7">
        <f>B21+1</f>
        <v>89</v>
      </c>
      <c r="B23" s="8">
        <f t="shared" si="11"/>
        <v>88</v>
      </c>
      <c r="C23" s="8"/>
      <c r="D23" s="52" t="str">
        <f t="shared" ref="D23:D29" si="16">CONCATENATE(V23," * ",W23," * ",X23)</f>
        <v>60 * 40 * 30</v>
      </c>
      <c r="E23" s="9">
        <f t="shared" ref="E23:E29" si="17">V23*W23*X23*C23/1000000</f>
        <v>0</v>
      </c>
      <c r="F23" s="119"/>
      <c r="G23" s="119"/>
      <c r="H23" s="10"/>
      <c r="I23" s="10"/>
      <c r="J23" s="10"/>
      <c r="K23" s="10"/>
      <c r="L23" s="10"/>
      <c r="M23" s="10"/>
      <c r="N23" s="8">
        <f t="shared" ref="N23" si="18">SUM(H23:M23)</f>
        <v>0</v>
      </c>
      <c r="O23" s="8">
        <f t="shared" si="15"/>
        <v>0</v>
      </c>
      <c r="P23" s="11">
        <v>0.26500000000000001</v>
      </c>
      <c r="Q23" s="9">
        <f t="shared" si="12"/>
        <v>0</v>
      </c>
      <c r="R23" s="9">
        <f t="shared" si="13"/>
        <v>1.6</v>
      </c>
      <c r="S23" s="12">
        <f t="shared" ref="S23:S29" si="19">+Q23*C23</f>
        <v>0</v>
      </c>
      <c r="T23" s="13">
        <f t="shared" ref="T23:T29" si="20">+R23*C23</f>
        <v>0</v>
      </c>
      <c r="U23" s="65"/>
      <c r="V23" s="72">
        <v>60</v>
      </c>
      <c r="W23" s="72">
        <v>40</v>
      </c>
      <c r="X23" s="72">
        <v>30</v>
      </c>
      <c r="Y23" s="1">
        <v>21.5</v>
      </c>
      <c r="Z23" s="1">
        <f>Y23-1.6</f>
        <v>19.899999999999999</v>
      </c>
      <c r="AA23" s="77" t="e">
        <f>Z23/N23</f>
        <v>#DIV/0!</v>
      </c>
    </row>
    <row r="24" spans="1:28" ht="21.9" hidden="1" customHeight="1">
      <c r="A24" s="7">
        <f>B22+1</f>
        <v>89</v>
      </c>
      <c r="B24" s="8">
        <f t="shared" si="11"/>
        <v>88</v>
      </c>
      <c r="C24" s="8"/>
      <c r="D24" s="52" t="str">
        <f t="shared" si="16"/>
        <v>60 * 40 * 10</v>
      </c>
      <c r="E24" s="9">
        <f t="shared" si="17"/>
        <v>0</v>
      </c>
      <c r="F24" s="119"/>
      <c r="G24" s="119"/>
      <c r="H24" s="10"/>
      <c r="I24" s="10"/>
      <c r="J24" s="10"/>
      <c r="K24" s="10"/>
      <c r="L24" s="10"/>
      <c r="M24" s="10"/>
      <c r="N24" s="8">
        <f t="shared" si="14"/>
        <v>0</v>
      </c>
      <c r="O24" s="8">
        <f t="shared" si="15"/>
        <v>0</v>
      </c>
      <c r="P24" s="11">
        <v>0.26500000000000001</v>
      </c>
      <c r="Q24" s="9">
        <f t="shared" si="12"/>
        <v>0</v>
      </c>
      <c r="R24" s="9">
        <f t="shared" si="13"/>
        <v>1.6</v>
      </c>
      <c r="S24" s="12">
        <f t="shared" si="19"/>
        <v>0</v>
      </c>
      <c r="T24" s="13">
        <f t="shared" si="20"/>
        <v>0</v>
      </c>
      <c r="U24" s="65"/>
      <c r="V24" s="72">
        <v>60</v>
      </c>
      <c r="W24" s="72">
        <v>40</v>
      </c>
      <c r="X24" s="72">
        <v>10</v>
      </c>
      <c r="Y24" s="1">
        <v>21.5</v>
      </c>
      <c r="Z24" s="1">
        <f>Y24-1.6</f>
        <v>19.899999999999999</v>
      </c>
      <c r="AA24" s="77"/>
    </row>
    <row r="25" spans="1:28" ht="21.9" hidden="1" customHeight="1">
      <c r="A25" s="7">
        <f t="shared" ref="A25:A29" si="21">B24+1</f>
        <v>89</v>
      </c>
      <c r="B25" s="8">
        <f t="shared" si="11"/>
        <v>88</v>
      </c>
      <c r="C25" s="8"/>
      <c r="D25" s="52" t="str">
        <f t="shared" si="16"/>
        <v>60 * 40 * 30</v>
      </c>
      <c r="E25" s="9">
        <f t="shared" si="17"/>
        <v>0</v>
      </c>
      <c r="F25" s="119"/>
      <c r="G25" s="119"/>
      <c r="H25" s="10"/>
      <c r="I25" s="10"/>
      <c r="J25" s="10"/>
      <c r="K25" s="10"/>
      <c r="L25" s="10"/>
      <c r="M25" s="10"/>
      <c r="N25" s="8">
        <f t="shared" si="14"/>
        <v>0</v>
      </c>
      <c r="O25" s="8">
        <f t="shared" si="15"/>
        <v>0</v>
      </c>
      <c r="P25" s="11">
        <v>0.26500000000000001</v>
      </c>
      <c r="Q25" s="9">
        <f t="shared" si="12"/>
        <v>0</v>
      </c>
      <c r="R25" s="9">
        <f t="shared" si="13"/>
        <v>1.6</v>
      </c>
      <c r="S25" s="12">
        <f t="shared" si="19"/>
        <v>0</v>
      </c>
      <c r="T25" s="13">
        <f t="shared" si="20"/>
        <v>0</v>
      </c>
      <c r="U25" s="65"/>
      <c r="V25" s="72">
        <v>60</v>
      </c>
      <c r="W25" s="72">
        <v>40</v>
      </c>
      <c r="X25" s="72">
        <v>30</v>
      </c>
      <c r="AA25" s="77"/>
    </row>
    <row r="26" spans="1:28" ht="21.9" hidden="1" customHeight="1">
      <c r="A26" s="7">
        <f t="shared" si="21"/>
        <v>89</v>
      </c>
      <c r="B26" s="8">
        <f t="shared" si="11"/>
        <v>88</v>
      </c>
      <c r="C26" s="8"/>
      <c r="D26" s="52" t="str">
        <f t="shared" si="16"/>
        <v>60 * 40 * 30</v>
      </c>
      <c r="E26" s="9">
        <f t="shared" si="17"/>
        <v>0</v>
      </c>
      <c r="F26" s="119"/>
      <c r="G26" s="119"/>
      <c r="H26" s="10"/>
      <c r="I26" s="10"/>
      <c r="J26" s="10"/>
      <c r="K26" s="10"/>
      <c r="L26" s="10"/>
      <c r="M26" s="10"/>
      <c r="N26" s="8">
        <f t="shared" si="14"/>
        <v>0</v>
      </c>
      <c r="O26" s="8">
        <f t="shared" si="15"/>
        <v>0</v>
      </c>
      <c r="P26" s="11">
        <v>0.27400000000000002</v>
      </c>
      <c r="Q26" s="9">
        <f t="shared" si="12"/>
        <v>0</v>
      </c>
      <c r="R26" s="9">
        <f t="shared" si="13"/>
        <v>1.6</v>
      </c>
      <c r="S26" s="12">
        <f t="shared" si="19"/>
        <v>0</v>
      </c>
      <c r="T26" s="13">
        <f t="shared" si="20"/>
        <v>0</v>
      </c>
      <c r="U26" s="65"/>
      <c r="V26" s="72">
        <v>60</v>
      </c>
      <c r="W26" s="72">
        <v>40</v>
      </c>
      <c r="X26" s="72">
        <v>30</v>
      </c>
      <c r="Y26" s="1">
        <v>20.75</v>
      </c>
      <c r="Z26" s="1">
        <f>Y26-1.6</f>
        <v>19.149999999999999</v>
      </c>
      <c r="AA26" s="77" t="e">
        <f>Z26/N26</f>
        <v>#DIV/0!</v>
      </c>
    </row>
    <row r="27" spans="1:28" ht="21.9" hidden="1" customHeight="1">
      <c r="A27" s="7">
        <f t="shared" si="21"/>
        <v>89</v>
      </c>
      <c r="B27" s="8">
        <f t="shared" si="11"/>
        <v>88</v>
      </c>
      <c r="C27" s="8"/>
      <c r="D27" s="52" t="str">
        <f t="shared" si="16"/>
        <v>60 * 40 * 20</v>
      </c>
      <c r="E27" s="9">
        <f t="shared" si="17"/>
        <v>0</v>
      </c>
      <c r="F27" s="119"/>
      <c r="G27" s="119"/>
      <c r="H27" s="10"/>
      <c r="I27" s="10"/>
      <c r="J27" s="10"/>
      <c r="K27" s="10"/>
      <c r="L27" s="10"/>
      <c r="M27" s="10"/>
      <c r="N27" s="8">
        <f t="shared" si="14"/>
        <v>0</v>
      </c>
      <c r="O27" s="8">
        <f t="shared" si="15"/>
        <v>0</v>
      </c>
      <c r="P27" s="11">
        <v>0.27400000000000002</v>
      </c>
      <c r="Q27" s="9">
        <f t="shared" si="12"/>
        <v>0</v>
      </c>
      <c r="R27" s="9">
        <f t="shared" si="13"/>
        <v>1.6</v>
      </c>
      <c r="S27" s="12">
        <f t="shared" si="19"/>
        <v>0</v>
      </c>
      <c r="T27" s="13">
        <f t="shared" si="20"/>
        <v>0</v>
      </c>
      <c r="U27" s="65"/>
      <c r="V27" s="72">
        <v>60</v>
      </c>
      <c r="W27" s="72">
        <v>40</v>
      </c>
      <c r="X27" s="72">
        <v>20</v>
      </c>
      <c r="AA27" s="77"/>
    </row>
    <row r="28" spans="1:28" ht="21.9" hidden="1" customHeight="1">
      <c r="A28" s="7">
        <f t="shared" si="21"/>
        <v>89</v>
      </c>
      <c r="B28" s="8">
        <f t="shared" si="11"/>
        <v>88</v>
      </c>
      <c r="C28" s="8"/>
      <c r="D28" s="52" t="str">
        <f t="shared" si="16"/>
        <v>60 * 40 * 30</v>
      </c>
      <c r="E28" s="9">
        <f t="shared" si="17"/>
        <v>0</v>
      </c>
      <c r="F28" s="119"/>
      <c r="G28" s="119"/>
      <c r="H28" s="10"/>
      <c r="I28" s="10"/>
      <c r="J28" s="10"/>
      <c r="K28" s="10"/>
      <c r="L28" s="10"/>
      <c r="M28" s="10"/>
      <c r="N28" s="8">
        <f t="shared" si="14"/>
        <v>0</v>
      </c>
      <c r="O28" s="8">
        <f t="shared" si="15"/>
        <v>0</v>
      </c>
      <c r="P28" s="11">
        <v>0.28599999999999998</v>
      </c>
      <c r="Q28" s="9">
        <f t="shared" si="12"/>
        <v>0</v>
      </c>
      <c r="R28" s="9">
        <f t="shared" si="13"/>
        <v>1.6</v>
      </c>
      <c r="S28" s="12">
        <f t="shared" si="19"/>
        <v>0</v>
      </c>
      <c r="T28" s="13">
        <f t="shared" si="20"/>
        <v>0</v>
      </c>
      <c r="U28" s="65"/>
      <c r="V28" s="72">
        <v>60</v>
      </c>
      <c r="W28" s="72">
        <v>40</v>
      </c>
      <c r="X28" s="72">
        <v>30</v>
      </c>
      <c r="Y28" s="1">
        <v>21.6</v>
      </c>
      <c r="Z28" s="1">
        <f>Y28-1.6</f>
        <v>20</v>
      </c>
      <c r="AA28" s="77" t="e">
        <f>Z28/N28</f>
        <v>#DIV/0!</v>
      </c>
    </row>
    <row r="29" spans="1:28" ht="21.9" hidden="1" customHeight="1">
      <c r="A29" s="7">
        <f t="shared" si="21"/>
        <v>89</v>
      </c>
      <c r="B29" s="8">
        <f t="shared" si="11"/>
        <v>88</v>
      </c>
      <c r="C29" s="8"/>
      <c r="D29" s="52" t="str">
        <f t="shared" si="16"/>
        <v>60 * 40 * 30</v>
      </c>
      <c r="E29" s="9">
        <f t="shared" si="17"/>
        <v>0</v>
      </c>
      <c r="F29" s="119"/>
      <c r="G29" s="119"/>
      <c r="H29" s="10"/>
      <c r="I29" s="10"/>
      <c r="J29" s="10"/>
      <c r="K29" s="10"/>
      <c r="L29" s="10"/>
      <c r="M29" s="10"/>
      <c r="N29" s="8">
        <f t="shared" si="14"/>
        <v>0</v>
      </c>
      <c r="O29" s="8">
        <f t="shared" si="15"/>
        <v>0</v>
      </c>
      <c r="P29" s="11">
        <v>0.28599999999999998</v>
      </c>
      <c r="Q29" s="9">
        <f t="shared" si="12"/>
        <v>0</v>
      </c>
      <c r="R29" s="9">
        <f t="shared" si="13"/>
        <v>1.6</v>
      </c>
      <c r="S29" s="12">
        <f t="shared" si="19"/>
        <v>0</v>
      </c>
      <c r="T29" s="13">
        <f t="shared" si="20"/>
        <v>0</v>
      </c>
      <c r="U29" s="65"/>
      <c r="V29" s="72">
        <v>60</v>
      </c>
      <c r="W29" s="72">
        <v>40</v>
      </c>
      <c r="X29" s="72">
        <v>30</v>
      </c>
      <c r="AA29" s="77"/>
    </row>
    <row r="30" spans="1:28" s="6" customFormat="1" ht="21.9" hidden="1" customHeight="1">
      <c r="A30" s="128" t="s">
        <v>24</v>
      </c>
      <c r="B30" s="129"/>
      <c r="C30" s="14">
        <f>SUM(C21:C29)</f>
        <v>0</v>
      </c>
      <c r="D30" s="14"/>
      <c r="E30" s="15">
        <f>SUM(E21:E29)</f>
        <v>0</v>
      </c>
      <c r="F30" s="14"/>
      <c r="G30" s="14"/>
      <c r="H30" s="14">
        <f>SUMPRODUCT(H21:H29,$C$21:$C$29)</f>
        <v>0</v>
      </c>
      <c r="I30" s="14">
        <f>SUMPRODUCT(I21:I29,$C$21:$C$29)</f>
        <v>0</v>
      </c>
      <c r="J30" s="14">
        <f>SUMPRODUCT(J21:J29,$C$21:$C$29)</f>
        <v>0</v>
      </c>
      <c r="K30" s="14">
        <f>SUMPRODUCT(K21:K29,$C$21:$C$29)</f>
        <v>0</v>
      </c>
      <c r="L30" s="14"/>
      <c r="M30" s="14"/>
      <c r="N30" s="14" t="s">
        <v>0</v>
      </c>
      <c r="O30" s="14">
        <f>SUM(O21:O29)</f>
        <v>0</v>
      </c>
      <c r="P30" s="15"/>
      <c r="Q30" s="15"/>
      <c r="R30" s="15"/>
      <c r="S30" s="15">
        <f>SUM(S21:S29)</f>
        <v>0</v>
      </c>
      <c r="T30" s="50">
        <f>SUM(T21:T29)</f>
        <v>0</v>
      </c>
      <c r="U30" s="66"/>
      <c r="V30" s="5"/>
      <c r="W30" s="5"/>
      <c r="X30" s="5"/>
    </row>
    <row r="31" spans="1:28" s="6" customFormat="1" ht="15.6" customHeight="1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67"/>
      <c r="V31" s="5"/>
      <c r="W31" s="5"/>
      <c r="X31" s="5"/>
    </row>
    <row r="32" spans="1:28" s="19" customFormat="1" ht="20.100000000000001" customHeight="1">
      <c r="A32" s="132" t="s">
        <v>36</v>
      </c>
      <c r="B32" s="133"/>
      <c r="C32" s="17">
        <f>SUM(C30,C19)</f>
        <v>88</v>
      </c>
      <c r="D32" s="17" t="s">
        <v>37</v>
      </c>
      <c r="E32" s="18">
        <f>SUM(E30,E19)</f>
        <v>6.3359999999999994</v>
      </c>
      <c r="F32" s="17"/>
      <c r="G32" s="17"/>
      <c r="H32" s="17">
        <f>SUM(H30,H19)</f>
        <v>455</v>
      </c>
      <c r="I32" s="17">
        <f>SUM(I30,I19)</f>
        <v>630</v>
      </c>
      <c r="J32" s="17">
        <f>SUM(J30,J19)</f>
        <v>700</v>
      </c>
      <c r="K32" s="17">
        <f>SUM(K30,K19)</f>
        <v>570</v>
      </c>
      <c r="L32" s="17">
        <f t="shared" ref="L32:M32" si="22">SUM(L30,L19)</f>
        <v>300</v>
      </c>
      <c r="M32" s="17">
        <f t="shared" si="22"/>
        <v>240</v>
      </c>
      <c r="N32" s="17"/>
      <c r="O32" s="17">
        <f>SUM(O30,O19)</f>
        <v>2895</v>
      </c>
      <c r="P32" s="17"/>
      <c r="Q32" s="17"/>
      <c r="R32" s="17"/>
      <c r="S32" s="18">
        <f>SUM(S30,S19)</f>
        <v>1657.5549999999998</v>
      </c>
      <c r="T32" s="18">
        <f>SUM(T30,T19)</f>
        <v>1798.3550000000002</v>
      </c>
      <c r="U32" s="68"/>
      <c r="V32" s="5"/>
      <c r="W32" s="5"/>
      <c r="X32" s="5"/>
    </row>
    <row r="33" spans="1:22" ht="30.75" customHeight="1" thickBot="1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3"/>
      <c r="U33" s="22"/>
    </row>
    <row r="34" spans="1:22" ht="24.9" customHeight="1" thickBot="1">
      <c r="A34" s="20"/>
      <c r="B34" s="21"/>
      <c r="C34" s="21"/>
      <c r="D34" s="24" t="s">
        <v>25</v>
      </c>
      <c r="E34" s="25"/>
      <c r="F34" s="25" t="s">
        <v>15</v>
      </c>
      <c r="G34" s="25"/>
      <c r="H34" s="26">
        <f t="shared" ref="H34:M34" si="23">+H6</f>
        <v>32</v>
      </c>
      <c r="I34" s="26">
        <f t="shared" si="23"/>
        <v>34</v>
      </c>
      <c r="J34" s="26">
        <f t="shared" si="23"/>
        <v>36</v>
      </c>
      <c r="K34" s="26">
        <f t="shared" si="23"/>
        <v>38</v>
      </c>
      <c r="L34" s="26">
        <f t="shared" si="23"/>
        <v>40</v>
      </c>
      <c r="M34" s="26">
        <f t="shared" si="23"/>
        <v>42</v>
      </c>
      <c r="N34" s="27" t="s">
        <v>26</v>
      </c>
      <c r="O34" s="73"/>
      <c r="P34" s="134"/>
      <c r="Q34" s="134"/>
      <c r="R34" s="135"/>
      <c r="S34" s="135"/>
      <c r="T34" s="136"/>
      <c r="U34" s="51"/>
    </row>
    <row r="35" spans="1:22" ht="29.25" customHeight="1">
      <c r="A35" s="20"/>
      <c r="B35" s="21"/>
      <c r="C35" s="21"/>
      <c r="D35" s="28" t="s">
        <v>27</v>
      </c>
      <c r="E35" s="29"/>
      <c r="F35" s="111" t="str">
        <f>+F7</f>
        <v>Germany</v>
      </c>
      <c r="G35" s="111" t="str">
        <f>+G7</f>
        <v xml:space="preserve">Bleach Indigo Wash (EHBL)
</v>
      </c>
      <c r="H35" s="29">
        <v>586</v>
      </c>
      <c r="I35" s="29">
        <v>772</v>
      </c>
      <c r="J35" s="29">
        <v>898</v>
      </c>
      <c r="K35" s="29">
        <v>707</v>
      </c>
      <c r="L35" s="29">
        <v>372</v>
      </c>
      <c r="M35" s="29">
        <v>305</v>
      </c>
      <c r="N35" s="30">
        <f>SUM(H35:M35)</f>
        <v>3640</v>
      </c>
      <c r="O35" s="74"/>
      <c r="P35" s="31" t="s">
        <v>28</v>
      </c>
      <c r="Q35" s="31" t="s">
        <v>29</v>
      </c>
      <c r="R35" s="31" t="s">
        <v>30</v>
      </c>
      <c r="S35" s="11" t="s">
        <v>31</v>
      </c>
      <c r="T35" s="32" t="s">
        <v>32</v>
      </c>
      <c r="U35" s="69"/>
    </row>
    <row r="36" spans="1:22" ht="24.75" customHeight="1">
      <c r="A36" s="20"/>
      <c r="B36" s="21"/>
      <c r="C36" s="21"/>
      <c r="D36" s="7" t="s">
        <v>33</v>
      </c>
      <c r="E36" s="8"/>
      <c r="F36" s="103"/>
      <c r="G36" s="103"/>
      <c r="H36" s="8">
        <f>+H19</f>
        <v>455</v>
      </c>
      <c r="I36" s="8">
        <f>+I19</f>
        <v>630</v>
      </c>
      <c r="J36" s="8">
        <f>+J19</f>
        <v>700</v>
      </c>
      <c r="K36" s="8">
        <f>+K19</f>
        <v>570</v>
      </c>
      <c r="L36" s="8">
        <f t="shared" ref="L36:M36" si="24">+L19</f>
        <v>300</v>
      </c>
      <c r="M36" s="8">
        <f t="shared" si="24"/>
        <v>240</v>
      </c>
      <c r="N36" s="33">
        <f>SUM(H36:M36)</f>
        <v>2895</v>
      </c>
      <c r="O36" s="74"/>
      <c r="P36" s="34" t="s">
        <v>51</v>
      </c>
      <c r="Q36" s="8">
        <f>N35</f>
        <v>3640</v>
      </c>
      <c r="R36" s="8">
        <f>N36</f>
        <v>2895</v>
      </c>
      <c r="S36" s="35">
        <f>R36-Q36</f>
        <v>-745</v>
      </c>
      <c r="T36" s="36">
        <f>S36/Q36</f>
        <v>-0.20467032967032966</v>
      </c>
      <c r="U36" s="70"/>
      <c r="V36" s="37"/>
    </row>
    <row r="37" spans="1:22" s="5" customFormat="1" ht="24.75" customHeight="1">
      <c r="A37" s="38"/>
      <c r="B37" s="16"/>
      <c r="C37" s="16"/>
      <c r="D37" s="39" t="s">
        <v>34</v>
      </c>
      <c r="E37" s="31"/>
      <c r="F37" s="103"/>
      <c r="G37" s="31" t="s">
        <v>35</v>
      </c>
      <c r="H37" s="40">
        <f>H36-H35</f>
        <v>-131</v>
      </c>
      <c r="I37" s="40">
        <f t="shared" ref="I37:M37" si="25">I36-I35</f>
        <v>-142</v>
      </c>
      <c r="J37" s="40">
        <f t="shared" si="25"/>
        <v>-198</v>
      </c>
      <c r="K37" s="40">
        <f t="shared" si="25"/>
        <v>-137</v>
      </c>
      <c r="L37" s="40">
        <f t="shared" si="25"/>
        <v>-72</v>
      </c>
      <c r="M37" s="40">
        <f t="shared" si="25"/>
        <v>-65</v>
      </c>
      <c r="N37" s="41">
        <f>N36-N35</f>
        <v>-745</v>
      </c>
      <c r="O37" s="42"/>
      <c r="P37" s="43"/>
      <c r="Q37" s="10"/>
      <c r="R37" s="10"/>
      <c r="S37" s="35"/>
      <c r="T37" s="36"/>
      <c r="U37" s="70"/>
    </row>
    <row r="38" spans="1:22" ht="24.75" customHeight="1" thickBot="1">
      <c r="A38" s="20"/>
      <c r="B38" s="16"/>
      <c r="C38" s="16"/>
      <c r="D38" s="55"/>
      <c r="E38" s="56"/>
      <c r="F38" s="56"/>
      <c r="G38" s="56" t="s">
        <v>32</v>
      </c>
      <c r="H38" s="75">
        <f>H37/H35</f>
        <v>-0.2235494880546075</v>
      </c>
      <c r="I38" s="75">
        <f t="shared" ref="I38:M38" si="26">I37/I35</f>
        <v>-0.18393782383419688</v>
      </c>
      <c r="J38" s="75">
        <f>J37/J35</f>
        <v>-0.22048997772828507</v>
      </c>
      <c r="K38" s="75">
        <f t="shared" si="26"/>
        <v>-0.19377652050919378</v>
      </c>
      <c r="L38" s="75">
        <f t="shared" si="26"/>
        <v>-0.19354838709677419</v>
      </c>
      <c r="M38" s="75">
        <f t="shared" si="26"/>
        <v>-0.21311475409836064</v>
      </c>
      <c r="N38" s="76">
        <f>N37/N35</f>
        <v>-0.20467032967032966</v>
      </c>
      <c r="O38" s="21"/>
      <c r="P38" s="43"/>
      <c r="Q38" s="43"/>
      <c r="R38" s="43"/>
      <c r="S38" s="35"/>
      <c r="T38" s="36"/>
      <c r="U38" s="70"/>
    </row>
    <row r="39" spans="1:22" ht="24.9" customHeight="1">
      <c r="A39" s="20"/>
      <c r="B39" s="16"/>
      <c r="C39" s="16"/>
      <c r="D39" s="47"/>
      <c r="E39" s="47"/>
      <c r="F39" s="47"/>
      <c r="G39" s="47"/>
      <c r="H39" s="59"/>
      <c r="I39" s="59"/>
      <c r="J39" s="59"/>
      <c r="K39" s="59"/>
      <c r="L39" s="59"/>
      <c r="M39" s="59"/>
      <c r="N39" s="59"/>
      <c r="O39" s="53"/>
      <c r="P39" s="44" t="s">
        <v>45</v>
      </c>
      <c r="Q39" s="44">
        <f>SUM(Q36:Q38)</f>
        <v>3640</v>
      </c>
      <c r="R39" s="44">
        <f>SUM(R36:R38)</f>
        <v>2895</v>
      </c>
      <c r="S39" s="45">
        <f>+R39-Q39</f>
        <v>-745</v>
      </c>
      <c r="T39" s="46">
        <f>+S39/Q39</f>
        <v>-0.20467032967032966</v>
      </c>
      <c r="U39" s="71"/>
    </row>
    <row r="40" spans="1:22" ht="24" hidden="1" customHeight="1" thickBot="1">
      <c r="A40" s="20"/>
      <c r="B40" s="21"/>
      <c r="C40" s="21"/>
      <c r="D40" s="24" t="s">
        <v>25</v>
      </c>
      <c r="E40" s="25"/>
      <c r="F40" s="25" t="s">
        <v>15</v>
      </c>
      <c r="G40" s="25"/>
      <c r="H40" s="26">
        <f>H20</f>
        <v>32</v>
      </c>
      <c r="I40" s="26">
        <f>I20</f>
        <v>34</v>
      </c>
      <c r="J40" s="26">
        <f>J20</f>
        <v>36</v>
      </c>
      <c r="K40" s="26">
        <f>K20</f>
        <v>38</v>
      </c>
      <c r="L40" s="26"/>
      <c r="M40" s="26"/>
      <c r="N40" s="27" t="s">
        <v>26</v>
      </c>
      <c r="T40" s="48"/>
    </row>
    <row r="41" spans="1:22" ht="24" hidden="1" customHeight="1">
      <c r="A41" s="60"/>
      <c r="D41" s="28" t="s">
        <v>27</v>
      </c>
      <c r="E41" s="29"/>
      <c r="F41" s="126" t="str">
        <f>F21</f>
        <v>Germany</v>
      </c>
      <c r="G41" s="126" t="str">
        <f>G21</f>
        <v>Medium Indigo WashUsedEffects3 (EHV)</v>
      </c>
      <c r="H41" s="29"/>
      <c r="I41" s="29"/>
      <c r="J41" s="29"/>
      <c r="K41" s="29"/>
      <c r="L41" s="29"/>
      <c r="M41" s="29"/>
      <c r="N41" s="30">
        <f>SUM(H41:M41)</f>
        <v>0</v>
      </c>
      <c r="T41" s="48"/>
    </row>
    <row r="42" spans="1:22" ht="24" hidden="1" customHeight="1">
      <c r="A42" s="60"/>
      <c r="D42" s="7" t="s">
        <v>33</v>
      </c>
      <c r="E42" s="8"/>
      <c r="F42" s="119"/>
      <c r="G42" s="127"/>
      <c r="H42" s="8">
        <f t="shared" ref="H42:K42" si="27">+H30</f>
        <v>0</v>
      </c>
      <c r="I42" s="8">
        <f t="shared" si="27"/>
        <v>0</v>
      </c>
      <c r="J42" s="8">
        <f t="shared" si="27"/>
        <v>0</v>
      </c>
      <c r="K42" s="8">
        <f t="shared" si="27"/>
        <v>0</v>
      </c>
      <c r="L42" s="8"/>
      <c r="M42" s="8"/>
      <c r="N42" s="33">
        <f>SUM(H42:M42)</f>
        <v>0</v>
      </c>
      <c r="T42" s="48"/>
    </row>
    <row r="43" spans="1:22" ht="24" hidden="1" customHeight="1">
      <c r="A43" s="60"/>
      <c r="D43" s="39" t="s">
        <v>34</v>
      </c>
      <c r="E43" s="31"/>
      <c r="F43" s="127"/>
      <c r="G43" s="31" t="s">
        <v>35</v>
      </c>
      <c r="H43" s="40">
        <f>H42-H41</f>
        <v>0</v>
      </c>
      <c r="I43" s="40">
        <f t="shared" ref="I43:K43" si="28">I42-I41</f>
        <v>0</v>
      </c>
      <c r="J43" s="40">
        <f t="shared" si="28"/>
        <v>0</v>
      </c>
      <c r="K43" s="40">
        <f t="shared" si="28"/>
        <v>0</v>
      </c>
      <c r="L43" s="40"/>
      <c r="M43" s="40"/>
      <c r="N43" s="41">
        <f>N42-N41</f>
        <v>0</v>
      </c>
      <c r="T43" s="48"/>
    </row>
    <row r="44" spans="1:22" ht="16.2" hidden="1" thickBot="1">
      <c r="A44" s="60"/>
      <c r="D44" s="55"/>
      <c r="E44" s="56"/>
      <c r="F44" s="56"/>
      <c r="G44" s="56" t="s">
        <v>32</v>
      </c>
      <c r="H44" s="57" t="e">
        <f>H43/H41</f>
        <v>#DIV/0!</v>
      </c>
      <c r="I44" s="57" t="e">
        <f t="shared" ref="I44:K44" si="29">I43/I41</f>
        <v>#DIV/0!</v>
      </c>
      <c r="J44" s="57" t="e">
        <f t="shared" si="29"/>
        <v>#DIV/0!</v>
      </c>
      <c r="K44" s="57" t="e">
        <f t="shared" si="29"/>
        <v>#DIV/0!</v>
      </c>
      <c r="L44" s="75"/>
      <c r="M44" s="75"/>
      <c r="N44" s="58" t="e">
        <f>N43/N41</f>
        <v>#DIV/0!</v>
      </c>
      <c r="T44" s="48"/>
    </row>
    <row r="45" spans="1:22" ht="15" customHeight="1" thickBot="1">
      <c r="A45" s="6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4"/>
    </row>
    <row r="47" spans="1:22" ht="9" customHeight="1"/>
  </sheetData>
  <mergeCells count="41">
    <mergeCell ref="F41:F43"/>
    <mergeCell ref="G41:G42"/>
    <mergeCell ref="A30:B30"/>
    <mergeCell ref="A31:T31"/>
    <mergeCell ref="A32:B32"/>
    <mergeCell ref="P34:Q34"/>
    <mergeCell ref="R34:T34"/>
    <mergeCell ref="F35:F37"/>
    <mergeCell ref="G35:G36"/>
    <mergeCell ref="F21:F29"/>
    <mergeCell ref="G21:G29"/>
    <mergeCell ref="A5:C5"/>
    <mergeCell ref="D5:H5"/>
    <mergeCell ref="I5:K5"/>
    <mergeCell ref="A6:B6"/>
    <mergeCell ref="F7:F18"/>
    <mergeCell ref="G7:G18"/>
    <mergeCell ref="A19:B19"/>
    <mergeCell ref="A20:B20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view="pageBreakPreview" zoomScaleNormal="100" zoomScaleSheetLayoutView="100" workbookViewId="0">
      <selection activeCell="H9" sqref="H9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05" t="s">
        <v>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62"/>
    </row>
    <row r="2" spans="1:28" ht="39.9" customHeight="1">
      <c r="A2" s="110" t="s">
        <v>3</v>
      </c>
      <c r="B2" s="111"/>
      <c r="C2" s="111"/>
      <c r="D2" s="114">
        <f ca="1">TODAY()</f>
        <v>46274</v>
      </c>
      <c r="E2" s="114"/>
      <c r="F2" s="114"/>
      <c r="G2" s="114"/>
      <c r="H2" s="114"/>
      <c r="I2" s="144" t="s">
        <v>2</v>
      </c>
      <c r="J2" s="144"/>
      <c r="K2" s="144"/>
      <c r="L2" s="145" t="str">
        <f>G7</f>
        <v xml:space="preserve">MidDark IndigoWash DirtyBeige2 (DB00)
</v>
      </c>
      <c r="M2" s="146"/>
      <c r="N2" s="147"/>
      <c r="O2" s="111" t="s">
        <v>27</v>
      </c>
      <c r="P2" s="111"/>
      <c r="Q2" s="111"/>
      <c r="R2" s="111">
        <f>+Q39</f>
        <v>4099</v>
      </c>
      <c r="S2" s="111"/>
      <c r="T2" s="112"/>
      <c r="U2" s="47"/>
    </row>
    <row r="3" spans="1:28" ht="30" customHeight="1">
      <c r="A3" s="113" t="s">
        <v>4</v>
      </c>
      <c r="B3" s="103"/>
      <c r="C3" s="103"/>
      <c r="D3" s="103" t="s">
        <v>69</v>
      </c>
      <c r="E3" s="103"/>
      <c r="F3" s="103"/>
      <c r="G3" s="103"/>
      <c r="H3" s="103"/>
      <c r="I3" s="103" t="s">
        <v>5</v>
      </c>
      <c r="J3" s="103"/>
      <c r="K3" s="103"/>
      <c r="L3" s="140" t="s">
        <v>70</v>
      </c>
      <c r="M3" s="141"/>
      <c r="N3" s="142"/>
      <c r="O3" s="103" t="s">
        <v>33</v>
      </c>
      <c r="P3" s="103"/>
      <c r="Q3" s="103"/>
      <c r="R3" s="103">
        <f>+R39</f>
        <v>3289</v>
      </c>
      <c r="S3" s="103"/>
      <c r="T3" s="104"/>
      <c r="U3" s="47"/>
    </row>
    <row r="4" spans="1:28" ht="18" customHeight="1">
      <c r="A4" s="113" t="s">
        <v>6</v>
      </c>
      <c r="B4" s="103"/>
      <c r="C4" s="103"/>
      <c r="D4" s="140">
        <v>500083716</v>
      </c>
      <c r="E4" s="141"/>
      <c r="F4" s="141"/>
      <c r="G4" s="141"/>
      <c r="H4" s="142"/>
      <c r="I4" s="103" t="s">
        <v>7</v>
      </c>
      <c r="J4" s="103"/>
      <c r="K4" s="103"/>
      <c r="L4" s="140" t="s">
        <v>65</v>
      </c>
      <c r="M4" s="141"/>
      <c r="N4" s="142"/>
      <c r="O4" s="103" t="s">
        <v>8</v>
      </c>
      <c r="P4" s="103"/>
      <c r="Q4" s="103"/>
      <c r="R4" s="117">
        <f>+S39</f>
        <v>-810</v>
      </c>
      <c r="S4" s="103"/>
      <c r="T4" s="2">
        <f>(R4/R2)</f>
        <v>-0.19760917296901684</v>
      </c>
      <c r="U4" s="63"/>
    </row>
    <row r="5" spans="1:28" ht="18" customHeight="1">
      <c r="A5" s="113" t="s">
        <v>9</v>
      </c>
      <c r="B5" s="103"/>
      <c r="C5" s="103"/>
      <c r="D5" s="103" t="s">
        <v>68</v>
      </c>
      <c r="E5" s="103"/>
      <c r="F5" s="103"/>
      <c r="G5" s="103"/>
      <c r="H5" s="103"/>
      <c r="I5" s="103" t="s">
        <v>10</v>
      </c>
      <c r="J5" s="103"/>
      <c r="K5" s="103"/>
      <c r="L5" s="137">
        <f>S32</f>
        <v>1976.098</v>
      </c>
      <c r="M5" s="138"/>
      <c r="N5" s="139"/>
      <c r="O5" s="103" t="s">
        <v>11</v>
      </c>
      <c r="P5" s="103"/>
      <c r="Q5" s="103"/>
      <c r="R5" s="116">
        <f>+T32</f>
        <v>2132.8980000000001</v>
      </c>
      <c r="S5" s="103"/>
      <c r="T5" s="2"/>
      <c r="U5" s="63"/>
    </row>
    <row r="6" spans="1:28" s="6" customFormat="1" ht="30" customHeight="1">
      <c r="A6" s="120" t="s">
        <v>12</v>
      </c>
      <c r="B6" s="121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  <c r="Y6" s="6" t="s">
        <v>56</v>
      </c>
      <c r="Z6" s="6" t="s">
        <v>57</v>
      </c>
      <c r="AA6" s="6" t="s">
        <v>58</v>
      </c>
    </row>
    <row r="7" spans="1:28" ht="21.9" customHeight="1">
      <c r="A7" s="7">
        <v>1</v>
      </c>
      <c r="B7" s="8">
        <f t="shared" ref="B7:B18" si="0">C7+A7-1</f>
        <v>13</v>
      </c>
      <c r="C7" s="8">
        <v>13</v>
      </c>
      <c r="D7" s="52" t="str">
        <f>CONCATENATE(V7," * ",W7," * ",X7)</f>
        <v>60 * 40 * 30</v>
      </c>
      <c r="E7" s="9">
        <f>V7*W7*X7*C7/1000000</f>
        <v>0.93600000000000005</v>
      </c>
      <c r="F7" s="118" t="s">
        <v>39</v>
      </c>
      <c r="G7" s="118" t="s">
        <v>71</v>
      </c>
      <c r="H7" s="10">
        <v>37</v>
      </c>
      <c r="I7" s="10"/>
      <c r="J7" s="10"/>
      <c r="K7" s="10"/>
      <c r="L7" s="10"/>
      <c r="M7" s="10"/>
      <c r="N7" s="8">
        <f>SUM(H7:M7)</f>
        <v>37</v>
      </c>
      <c r="O7" s="8">
        <f>N7*C7</f>
        <v>481</v>
      </c>
      <c r="P7" s="11">
        <v>0.55000000000000004</v>
      </c>
      <c r="Q7" s="9">
        <f>P7*N7</f>
        <v>20.350000000000001</v>
      </c>
      <c r="R7" s="9">
        <f>Q7+1.6</f>
        <v>21.950000000000003</v>
      </c>
      <c r="S7" s="12">
        <f>+Q7*C7</f>
        <v>264.55</v>
      </c>
      <c r="T7" s="13">
        <f>+R7*C7</f>
        <v>285.35000000000002</v>
      </c>
      <c r="U7" s="65"/>
      <c r="V7" s="72">
        <v>60</v>
      </c>
      <c r="W7" s="72">
        <v>40</v>
      </c>
      <c r="X7" s="72">
        <v>30</v>
      </c>
      <c r="Y7" s="1">
        <v>21.95</v>
      </c>
      <c r="Z7" s="1">
        <f>Y7-1.6</f>
        <v>20.349999999999998</v>
      </c>
      <c r="AA7" s="77">
        <f>Z7/N7</f>
        <v>0.54999999999999993</v>
      </c>
      <c r="AB7" s="77"/>
    </row>
    <row r="8" spans="1:28" ht="21.9" hidden="1" customHeight="1">
      <c r="A8" s="7">
        <f>B7+1</f>
        <v>14</v>
      </c>
      <c r="B8" s="8">
        <f t="shared" si="0"/>
        <v>13</v>
      </c>
      <c r="C8" s="8"/>
      <c r="D8" s="52" t="str">
        <f>CONCATENATE(V8," * ",W8," * ",X8)</f>
        <v>60 * 40 * 30</v>
      </c>
      <c r="E8" s="9">
        <f>V8*W8*X8*C8/1000000</f>
        <v>0</v>
      </c>
      <c r="F8" s="119"/>
      <c r="G8" s="119"/>
      <c r="H8" s="10">
        <v>30</v>
      </c>
      <c r="I8" s="10"/>
      <c r="J8" s="10"/>
      <c r="K8" s="10"/>
      <c r="L8" s="10"/>
      <c r="M8" s="10"/>
      <c r="N8" s="8">
        <f t="shared" ref="N8:N18" si="1">SUM(H8:M8)</f>
        <v>30</v>
      </c>
      <c r="O8" s="8">
        <f t="shared" ref="O8:O18" si="2">N8*C8</f>
        <v>0</v>
      </c>
      <c r="P8" s="11">
        <v>0.55000000000000004</v>
      </c>
      <c r="Q8" s="9">
        <f t="shared" ref="Q8:Q18" si="3">P8*N8</f>
        <v>16.5</v>
      </c>
      <c r="R8" s="9">
        <f t="shared" ref="R8:R18" si="4">Q8+1.6</f>
        <v>18.100000000000001</v>
      </c>
      <c r="S8" s="12">
        <f>+Q8*C8</f>
        <v>0</v>
      </c>
      <c r="T8" s="13">
        <f>+R8*C8</f>
        <v>0</v>
      </c>
      <c r="U8" s="65"/>
      <c r="V8" s="72">
        <v>60</v>
      </c>
      <c r="W8" s="72">
        <v>40</v>
      </c>
      <c r="X8" s="72">
        <v>30</v>
      </c>
      <c r="AA8" s="77"/>
      <c r="AB8" s="77"/>
    </row>
    <row r="9" spans="1:28" ht="21.9" customHeight="1">
      <c r="A9" s="7">
        <f t="shared" ref="A9:A18" si="5">B8+1</f>
        <v>14</v>
      </c>
      <c r="B9" s="8">
        <f t="shared" si="0"/>
        <v>33</v>
      </c>
      <c r="C9" s="8">
        <v>20</v>
      </c>
      <c r="D9" s="52" t="str">
        <f t="shared" ref="D9:D18" si="6">CONCATENATE(V9," * ",W9," * ",X9)</f>
        <v>60 * 40 * 30</v>
      </c>
      <c r="E9" s="9">
        <f t="shared" ref="E9:E18" si="7">V9*W9*X9*C9/1000000</f>
        <v>1.44</v>
      </c>
      <c r="F9" s="119"/>
      <c r="G9" s="119"/>
      <c r="H9" s="10"/>
      <c r="I9" s="10">
        <v>36</v>
      </c>
      <c r="J9" s="10"/>
      <c r="K9" s="10"/>
      <c r="L9" s="10"/>
      <c r="M9" s="10"/>
      <c r="N9" s="8">
        <f t="shared" si="1"/>
        <v>36</v>
      </c>
      <c r="O9" s="8">
        <f t="shared" si="2"/>
        <v>720</v>
      </c>
      <c r="P9" s="11">
        <v>0.56699999999999995</v>
      </c>
      <c r="Q9" s="9">
        <f t="shared" si="3"/>
        <v>20.411999999999999</v>
      </c>
      <c r="R9" s="9">
        <f t="shared" si="4"/>
        <v>22.012</v>
      </c>
      <c r="S9" s="12">
        <f t="shared" ref="S9:S18" si="8">+Q9*C9</f>
        <v>408.24</v>
      </c>
      <c r="T9" s="13">
        <f t="shared" ref="T9:T18" si="9">+R9*C9</f>
        <v>440.24</v>
      </c>
      <c r="U9" s="65"/>
      <c r="V9" s="72">
        <v>60</v>
      </c>
      <c r="W9" s="72">
        <v>40</v>
      </c>
      <c r="X9" s="72">
        <v>30</v>
      </c>
      <c r="Y9" s="1">
        <v>22</v>
      </c>
      <c r="Z9" s="1">
        <f>Y9-1.6</f>
        <v>20.399999999999999</v>
      </c>
      <c r="AA9" s="77">
        <f>Z9/N9</f>
        <v>0.56666666666666665</v>
      </c>
      <c r="AB9" s="77"/>
    </row>
    <row r="10" spans="1:28" ht="21.9" hidden="1" customHeight="1">
      <c r="A10" s="7">
        <f t="shared" si="5"/>
        <v>34</v>
      </c>
      <c r="B10" s="8">
        <f t="shared" si="0"/>
        <v>33</v>
      </c>
      <c r="C10" s="8"/>
      <c r="D10" s="52" t="str">
        <f t="shared" si="6"/>
        <v>60 * 40 * 20</v>
      </c>
      <c r="E10" s="9">
        <f t="shared" si="7"/>
        <v>0</v>
      </c>
      <c r="F10" s="119"/>
      <c r="G10" s="119"/>
      <c r="H10" s="10"/>
      <c r="I10" s="10">
        <v>15</v>
      </c>
      <c r="J10" s="10"/>
      <c r="K10" s="10"/>
      <c r="L10" s="10"/>
      <c r="M10" s="10"/>
      <c r="N10" s="8">
        <f t="shared" si="1"/>
        <v>15</v>
      </c>
      <c r="O10" s="8">
        <f t="shared" si="2"/>
        <v>0</v>
      </c>
      <c r="P10" s="11">
        <v>0.56699999999999995</v>
      </c>
      <c r="Q10" s="9">
        <f t="shared" si="3"/>
        <v>8.504999999999999</v>
      </c>
      <c r="R10" s="9">
        <f t="shared" si="4"/>
        <v>10.104999999999999</v>
      </c>
      <c r="S10" s="12">
        <f t="shared" si="8"/>
        <v>0</v>
      </c>
      <c r="T10" s="13">
        <f t="shared" si="9"/>
        <v>0</v>
      </c>
      <c r="U10" s="65"/>
      <c r="V10" s="72">
        <v>60</v>
      </c>
      <c r="W10" s="72">
        <v>40</v>
      </c>
      <c r="X10" s="72">
        <v>20</v>
      </c>
      <c r="AA10" s="77"/>
      <c r="AB10" s="77"/>
    </row>
    <row r="11" spans="1:28" ht="21.9" customHeight="1">
      <c r="A11" s="7">
        <f t="shared" si="5"/>
        <v>34</v>
      </c>
      <c r="B11" s="8">
        <f t="shared" si="0"/>
        <v>57</v>
      </c>
      <c r="C11" s="8">
        <v>24</v>
      </c>
      <c r="D11" s="52" t="str">
        <f t="shared" si="6"/>
        <v>60 * 40 * 30</v>
      </c>
      <c r="E11" s="9">
        <f t="shared" si="7"/>
        <v>1.728</v>
      </c>
      <c r="F11" s="119"/>
      <c r="G11" s="119"/>
      <c r="H11" s="10"/>
      <c r="I11" s="10"/>
      <c r="J11" s="10">
        <v>35</v>
      </c>
      <c r="K11" s="10"/>
      <c r="L11" s="10"/>
      <c r="M11" s="10"/>
      <c r="N11" s="8">
        <f t="shared" si="1"/>
        <v>35</v>
      </c>
      <c r="O11" s="8">
        <f t="shared" si="2"/>
        <v>840</v>
      </c>
      <c r="P11" s="11">
        <v>0.58899999999999997</v>
      </c>
      <c r="Q11" s="9">
        <f t="shared" si="3"/>
        <v>20.614999999999998</v>
      </c>
      <c r="R11" s="9">
        <f t="shared" si="4"/>
        <v>22.215</v>
      </c>
      <c r="S11" s="12">
        <f t="shared" si="8"/>
        <v>494.76</v>
      </c>
      <c r="T11" s="13">
        <f t="shared" si="9"/>
        <v>533.16</v>
      </c>
      <c r="U11" s="65"/>
      <c r="V11" s="72">
        <v>60</v>
      </c>
      <c r="W11" s="72">
        <v>40</v>
      </c>
      <c r="X11" s="72">
        <v>30</v>
      </c>
      <c r="Y11" s="1">
        <v>22.2</v>
      </c>
      <c r="Z11" s="1">
        <f>Y11-1.6</f>
        <v>20.599999999999998</v>
      </c>
      <c r="AA11" s="77">
        <f>Z11/N11</f>
        <v>0.58857142857142852</v>
      </c>
      <c r="AB11" s="77"/>
    </row>
    <row r="12" spans="1:28" ht="21.9" hidden="1" customHeight="1">
      <c r="A12" s="7">
        <f t="shared" si="5"/>
        <v>58</v>
      </c>
      <c r="B12" s="8">
        <f t="shared" si="0"/>
        <v>57</v>
      </c>
      <c r="C12" s="8"/>
      <c r="D12" s="52" t="str">
        <f t="shared" si="6"/>
        <v>60 * 40 * 30</v>
      </c>
      <c r="E12" s="9">
        <f t="shared" si="7"/>
        <v>0</v>
      </c>
      <c r="F12" s="119"/>
      <c r="G12" s="119"/>
      <c r="H12" s="10"/>
      <c r="I12" s="10"/>
      <c r="J12" s="10">
        <v>25</v>
      </c>
      <c r="K12" s="10"/>
      <c r="L12" s="10"/>
      <c r="M12" s="10"/>
      <c r="N12" s="8">
        <f t="shared" si="1"/>
        <v>25</v>
      </c>
      <c r="O12" s="8">
        <f t="shared" si="2"/>
        <v>0</v>
      </c>
      <c r="P12" s="11">
        <v>0.58899999999999997</v>
      </c>
      <c r="Q12" s="9">
        <f t="shared" si="3"/>
        <v>14.725</v>
      </c>
      <c r="R12" s="9">
        <f t="shared" si="4"/>
        <v>16.324999999999999</v>
      </c>
      <c r="S12" s="12">
        <f t="shared" si="8"/>
        <v>0</v>
      </c>
      <c r="T12" s="13">
        <f t="shared" si="9"/>
        <v>0</v>
      </c>
      <c r="U12" s="65"/>
      <c r="V12" s="72">
        <v>60</v>
      </c>
      <c r="W12" s="72">
        <v>40</v>
      </c>
      <c r="X12" s="72">
        <v>30</v>
      </c>
      <c r="AA12" s="77"/>
      <c r="AB12" s="77"/>
    </row>
    <row r="13" spans="1:28" ht="21.9" customHeight="1">
      <c r="A13" s="7">
        <f t="shared" si="5"/>
        <v>58</v>
      </c>
      <c r="B13" s="8">
        <f t="shared" si="0"/>
        <v>77</v>
      </c>
      <c r="C13" s="8">
        <v>20</v>
      </c>
      <c r="D13" s="52" t="str">
        <f t="shared" si="6"/>
        <v>60 * 40 * 30</v>
      </c>
      <c r="E13" s="9">
        <f t="shared" si="7"/>
        <v>1.44</v>
      </c>
      <c r="F13" s="119"/>
      <c r="G13" s="119"/>
      <c r="H13" s="10"/>
      <c r="I13" s="10"/>
      <c r="J13" s="10"/>
      <c r="K13" s="10">
        <v>33</v>
      </c>
      <c r="L13" s="10"/>
      <c r="M13" s="10"/>
      <c r="N13" s="8">
        <f t="shared" si="1"/>
        <v>33</v>
      </c>
      <c r="O13" s="8">
        <f t="shared" si="2"/>
        <v>660</v>
      </c>
      <c r="P13" s="11">
        <v>0.626</v>
      </c>
      <c r="Q13" s="9">
        <f t="shared" si="3"/>
        <v>20.658000000000001</v>
      </c>
      <c r="R13" s="9">
        <f t="shared" si="4"/>
        <v>22.258000000000003</v>
      </c>
      <c r="S13" s="12">
        <f t="shared" si="8"/>
        <v>413.16</v>
      </c>
      <c r="T13" s="13">
        <f t="shared" si="9"/>
        <v>445.16000000000008</v>
      </c>
      <c r="U13" s="65"/>
      <c r="V13" s="72">
        <v>60</v>
      </c>
      <c r="W13" s="72">
        <v>40</v>
      </c>
      <c r="X13" s="72">
        <v>30</v>
      </c>
      <c r="Y13" s="1">
        <v>22.25</v>
      </c>
      <c r="Z13" s="1">
        <f>Y13-1.6</f>
        <v>20.65</v>
      </c>
      <c r="AA13" s="77">
        <f>Z13/N13</f>
        <v>0.62575757575757573</v>
      </c>
      <c r="AB13" s="77"/>
    </row>
    <row r="14" spans="1:28" ht="21.9" hidden="1" customHeight="1">
      <c r="A14" s="7">
        <f t="shared" si="5"/>
        <v>78</v>
      </c>
      <c r="B14" s="8">
        <f t="shared" si="0"/>
        <v>77</v>
      </c>
      <c r="C14" s="8"/>
      <c r="D14" s="52" t="str">
        <f t="shared" si="6"/>
        <v>60 * 40 * 30</v>
      </c>
      <c r="E14" s="9">
        <f t="shared" si="7"/>
        <v>0</v>
      </c>
      <c r="F14" s="119"/>
      <c r="G14" s="119"/>
      <c r="H14" s="10"/>
      <c r="I14" s="10"/>
      <c r="J14" s="10"/>
      <c r="K14" s="10">
        <v>26</v>
      </c>
      <c r="L14" s="10"/>
      <c r="M14" s="10"/>
      <c r="N14" s="8">
        <f t="shared" si="1"/>
        <v>26</v>
      </c>
      <c r="O14" s="8">
        <f t="shared" si="2"/>
        <v>0</v>
      </c>
      <c r="P14" s="11">
        <v>0.626</v>
      </c>
      <c r="Q14" s="9">
        <f t="shared" si="3"/>
        <v>16.276</v>
      </c>
      <c r="R14" s="9">
        <f t="shared" si="4"/>
        <v>17.876000000000001</v>
      </c>
      <c r="S14" s="12">
        <f t="shared" si="8"/>
        <v>0</v>
      </c>
      <c r="T14" s="13">
        <f t="shared" si="9"/>
        <v>0</v>
      </c>
      <c r="U14" s="65"/>
      <c r="V14" s="72">
        <v>60</v>
      </c>
      <c r="W14" s="72">
        <v>40</v>
      </c>
      <c r="X14" s="72">
        <v>30</v>
      </c>
      <c r="AA14" s="77"/>
      <c r="AB14" s="77"/>
    </row>
    <row r="15" spans="1:28" ht="21.9" customHeight="1">
      <c r="A15" s="7">
        <f t="shared" si="5"/>
        <v>78</v>
      </c>
      <c r="B15" s="8">
        <f t="shared" si="0"/>
        <v>89</v>
      </c>
      <c r="C15" s="8">
        <v>12</v>
      </c>
      <c r="D15" s="52" t="str">
        <f t="shared" si="6"/>
        <v>60 * 40 * 30</v>
      </c>
      <c r="E15" s="9">
        <f t="shared" si="7"/>
        <v>0.86399999999999999</v>
      </c>
      <c r="F15" s="119"/>
      <c r="G15" s="119"/>
      <c r="H15" s="10"/>
      <c r="I15" s="10"/>
      <c r="J15" s="10"/>
      <c r="K15" s="10"/>
      <c r="L15" s="10">
        <v>28</v>
      </c>
      <c r="M15" s="10"/>
      <c r="N15" s="8">
        <f t="shared" si="1"/>
        <v>28</v>
      </c>
      <c r="O15" s="8">
        <f t="shared" si="2"/>
        <v>336</v>
      </c>
      <c r="P15" s="11">
        <v>0.65700000000000003</v>
      </c>
      <c r="Q15" s="9">
        <f t="shared" si="3"/>
        <v>18.396000000000001</v>
      </c>
      <c r="R15" s="9">
        <f t="shared" si="4"/>
        <v>19.996000000000002</v>
      </c>
      <c r="S15" s="12">
        <f t="shared" si="8"/>
        <v>220.75200000000001</v>
      </c>
      <c r="T15" s="13">
        <f t="shared" si="9"/>
        <v>239.95200000000003</v>
      </c>
      <c r="U15" s="65"/>
      <c r="V15" s="72">
        <v>60</v>
      </c>
      <c r="W15" s="72">
        <v>40</v>
      </c>
      <c r="X15" s="72">
        <v>30</v>
      </c>
      <c r="Y15" s="1">
        <v>20</v>
      </c>
      <c r="Z15" s="1">
        <f>Y15-1.6</f>
        <v>18.399999999999999</v>
      </c>
      <c r="AA15" s="77">
        <f>Z15/N15</f>
        <v>0.65714285714285714</v>
      </c>
      <c r="AB15" s="77"/>
    </row>
    <row r="16" spans="1:28" ht="21.9" hidden="1" customHeight="1">
      <c r="A16" s="7">
        <f t="shared" si="5"/>
        <v>90</v>
      </c>
      <c r="B16" s="8">
        <f t="shared" si="0"/>
        <v>89</v>
      </c>
      <c r="C16" s="8"/>
      <c r="D16" s="52" t="str">
        <f t="shared" si="6"/>
        <v>60 * 40 * 10</v>
      </c>
      <c r="E16" s="9">
        <f t="shared" si="7"/>
        <v>0</v>
      </c>
      <c r="F16" s="119"/>
      <c r="G16" s="119"/>
      <c r="H16" s="10"/>
      <c r="I16" s="10"/>
      <c r="J16" s="10"/>
      <c r="K16" s="10"/>
      <c r="L16" s="10">
        <v>9</v>
      </c>
      <c r="M16" s="10"/>
      <c r="N16" s="8">
        <f t="shared" si="1"/>
        <v>9</v>
      </c>
      <c r="O16" s="8">
        <f t="shared" si="2"/>
        <v>0</v>
      </c>
      <c r="P16" s="11">
        <v>0.65700000000000003</v>
      </c>
      <c r="Q16" s="9">
        <f t="shared" si="3"/>
        <v>5.9130000000000003</v>
      </c>
      <c r="R16" s="9">
        <f t="shared" si="4"/>
        <v>7.5129999999999999</v>
      </c>
      <c r="S16" s="12">
        <f t="shared" si="8"/>
        <v>0</v>
      </c>
      <c r="T16" s="13">
        <f t="shared" si="9"/>
        <v>0</v>
      </c>
      <c r="U16" s="65"/>
      <c r="V16" s="72">
        <v>60</v>
      </c>
      <c r="W16" s="72">
        <v>40</v>
      </c>
      <c r="X16" s="72">
        <v>10</v>
      </c>
      <c r="AA16" s="77"/>
      <c r="AB16" s="77"/>
    </row>
    <row r="17" spans="1:28" ht="21.9" customHeight="1">
      <c r="A17" s="7">
        <f t="shared" si="5"/>
        <v>90</v>
      </c>
      <c r="B17" s="8">
        <f t="shared" si="0"/>
        <v>98</v>
      </c>
      <c r="C17" s="8">
        <v>9</v>
      </c>
      <c r="D17" s="52" t="str">
        <f t="shared" si="6"/>
        <v>60 * 40 * 30</v>
      </c>
      <c r="E17" s="9">
        <f t="shared" si="7"/>
        <v>0.64800000000000002</v>
      </c>
      <c r="F17" s="119"/>
      <c r="G17" s="119"/>
      <c r="H17" s="10"/>
      <c r="I17" s="10"/>
      <c r="J17" s="10"/>
      <c r="K17" s="10"/>
      <c r="L17" s="10"/>
      <c r="M17" s="10">
        <v>28</v>
      </c>
      <c r="N17" s="8">
        <f t="shared" si="1"/>
        <v>28</v>
      </c>
      <c r="O17" s="8">
        <f t="shared" si="2"/>
        <v>252</v>
      </c>
      <c r="P17" s="11">
        <v>0.69299999999999995</v>
      </c>
      <c r="Q17" s="9">
        <f t="shared" si="3"/>
        <v>19.404</v>
      </c>
      <c r="R17" s="9">
        <f t="shared" si="4"/>
        <v>21.004000000000001</v>
      </c>
      <c r="S17" s="12">
        <f t="shared" si="8"/>
        <v>174.636</v>
      </c>
      <c r="T17" s="13">
        <f t="shared" si="9"/>
        <v>189.036</v>
      </c>
      <c r="U17" s="65"/>
      <c r="V17" s="72">
        <v>60</v>
      </c>
      <c r="W17" s="72">
        <v>40</v>
      </c>
      <c r="X17" s="72">
        <v>30</v>
      </c>
      <c r="Y17" s="1">
        <v>21</v>
      </c>
      <c r="Z17" s="1">
        <f>Y17-1.6</f>
        <v>19.399999999999999</v>
      </c>
      <c r="AA17" s="77">
        <f>Z17/N17</f>
        <v>0.69285714285714284</v>
      </c>
      <c r="AB17" s="77"/>
    </row>
    <row r="18" spans="1:28" ht="21.9" hidden="1" customHeight="1">
      <c r="A18" s="7">
        <f t="shared" si="5"/>
        <v>99</v>
      </c>
      <c r="B18" s="8">
        <f t="shared" si="0"/>
        <v>98</v>
      </c>
      <c r="C18" s="8"/>
      <c r="D18" s="52" t="str">
        <f t="shared" si="6"/>
        <v>60 * 40 * 10</v>
      </c>
      <c r="E18" s="9">
        <f t="shared" si="7"/>
        <v>0</v>
      </c>
      <c r="F18" s="119"/>
      <c r="G18" s="119"/>
      <c r="H18" s="10"/>
      <c r="I18" s="10"/>
      <c r="J18" s="10"/>
      <c r="K18" s="10"/>
      <c r="L18" s="10"/>
      <c r="M18" s="10">
        <v>3</v>
      </c>
      <c r="N18" s="8">
        <f t="shared" si="1"/>
        <v>3</v>
      </c>
      <c r="O18" s="8">
        <f t="shared" si="2"/>
        <v>0</v>
      </c>
      <c r="P18" s="11">
        <v>0.69299999999999995</v>
      </c>
      <c r="Q18" s="9">
        <f t="shared" si="3"/>
        <v>2.0789999999999997</v>
      </c>
      <c r="R18" s="9">
        <f t="shared" si="4"/>
        <v>3.6789999999999998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10</v>
      </c>
      <c r="AA18" s="77"/>
    </row>
    <row r="19" spans="1:28" s="6" customFormat="1" ht="21.9" customHeight="1">
      <c r="A19" s="128" t="s">
        <v>24</v>
      </c>
      <c r="B19" s="129"/>
      <c r="C19" s="14">
        <f>SUM(C7:C18)</f>
        <v>98</v>
      </c>
      <c r="D19" s="14"/>
      <c r="E19" s="15">
        <f>SUM(E7:E18)</f>
        <v>7.056</v>
      </c>
      <c r="F19" s="14"/>
      <c r="G19" s="14"/>
      <c r="H19" s="14">
        <f t="shared" ref="H19:M19" si="10">SUMPRODUCT(H7:H18,$C$7:$C$18)</f>
        <v>481</v>
      </c>
      <c r="I19" s="14">
        <f t="shared" si="10"/>
        <v>720</v>
      </c>
      <c r="J19" s="14">
        <f t="shared" si="10"/>
        <v>840</v>
      </c>
      <c r="K19" s="14">
        <f t="shared" si="10"/>
        <v>660</v>
      </c>
      <c r="L19" s="14">
        <f t="shared" si="10"/>
        <v>336</v>
      </c>
      <c r="M19" s="14">
        <f t="shared" si="10"/>
        <v>252</v>
      </c>
      <c r="N19" s="14" t="s">
        <v>0</v>
      </c>
      <c r="O19" s="14">
        <f>SUM(O7:O18)</f>
        <v>3289</v>
      </c>
      <c r="P19" s="15"/>
      <c r="Q19" s="15"/>
      <c r="R19" s="15"/>
      <c r="S19" s="15">
        <f>SUM(S7:S18)</f>
        <v>1976.098</v>
      </c>
      <c r="T19" s="50">
        <f>SUM(T7:T18)</f>
        <v>2132.8980000000001</v>
      </c>
      <c r="U19" s="66"/>
      <c r="V19" s="5"/>
      <c r="W19" s="5"/>
      <c r="X19" s="5"/>
      <c r="AA19" s="78"/>
    </row>
    <row r="20" spans="1:28" s="6" customFormat="1" ht="30" hidden="1" customHeight="1">
      <c r="A20" s="120" t="s">
        <v>12</v>
      </c>
      <c r="B20" s="121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>I6</f>
        <v>34</v>
      </c>
      <c r="J20" s="3">
        <f>J6</f>
        <v>36</v>
      </c>
      <c r="K20" s="3">
        <f>K6</f>
        <v>38</v>
      </c>
      <c r="L20" s="3"/>
      <c r="M20" s="3"/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8" ht="21.9" hidden="1" customHeight="1">
      <c r="A21" s="7">
        <f>B18+1</f>
        <v>99</v>
      </c>
      <c r="B21" s="8">
        <f t="shared" ref="B21:B29" si="11">C21+A21-1</f>
        <v>98</v>
      </c>
      <c r="C21" s="8"/>
      <c r="D21" s="52" t="str">
        <f>CONCATENATE(V21," * ",W21," * ",X21)</f>
        <v>60 * 40 * 30</v>
      </c>
      <c r="E21" s="9">
        <f>V21*W21*X21*C21/1000000</f>
        <v>0</v>
      </c>
      <c r="F21" s="118" t="s">
        <v>39</v>
      </c>
      <c r="G21" s="118" t="s">
        <v>67</v>
      </c>
      <c r="H21" s="10"/>
      <c r="I21" s="10"/>
      <c r="J21" s="10"/>
      <c r="K21" s="10"/>
      <c r="L21" s="10"/>
      <c r="M21" s="10"/>
      <c r="N21" s="8">
        <f>SUM(H21:M21)</f>
        <v>0</v>
      </c>
      <c r="O21" s="8">
        <f>N21*C21</f>
        <v>0</v>
      </c>
      <c r="P21" s="11">
        <v>0.253</v>
      </c>
      <c r="Q21" s="9">
        <f t="shared" ref="Q21:Q29" si="12">P21*N21</f>
        <v>0</v>
      </c>
      <c r="R21" s="9">
        <f t="shared" ref="R21:R29" si="13">Q21+1.6</f>
        <v>1.6</v>
      </c>
      <c r="S21" s="12">
        <f>+Q21*C21</f>
        <v>0</v>
      </c>
      <c r="T21" s="13">
        <f>+R21*C21</f>
        <v>0</v>
      </c>
      <c r="U21" s="65"/>
      <c r="V21" s="72">
        <v>60</v>
      </c>
      <c r="W21" s="72">
        <v>40</v>
      </c>
      <c r="X21" s="72">
        <v>30</v>
      </c>
      <c r="Y21" s="1">
        <v>20.6</v>
      </c>
      <c r="Z21" s="1">
        <f>Y21-1.6</f>
        <v>19</v>
      </c>
      <c r="AA21" s="77" t="e">
        <f>Z21/N21</f>
        <v>#DIV/0!</v>
      </c>
    </row>
    <row r="22" spans="1:28" ht="21.9" hidden="1" customHeight="1">
      <c r="A22" s="7">
        <f>B21+1</f>
        <v>99</v>
      </c>
      <c r="B22" s="8">
        <f t="shared" si="11"/>
        <v>98</v>
      </c>
      <c r="C22" s="8"/>
      <c r="D22" s="52" t="str">
        <f>CONCATENATE(V22," * ",W22," * ",X22)</f>
        <v>60 * 40 * 10</v>
      </c>
      <c r="E22" s="9">
        <f>V22*W22*X22*C22/1000000</f>
        <v>0</v>
      </c>
      <c r="F22" s="119"/>
      <c r="G22" s="119"/>
      <c r="H22" s="10"/>
      <c r="I22" s="10"/>
      <c r="J22" s="10"/>
      <c r="K22" s="10"/>
      <c r="L22" s="10"/>
      <c r="M22" s="10"/>
      <c r="N22" s="8">
        <f t="shared" ref="N22:N29" si="14">SUM(H22:M22)</f>
        <v>0</v>
      </c>
      <c r="O22" s="8">
        <f t="shared" ref="O22:O29" si="15">N22*C22</f>
        <v>0</v>
      </c>
      <c r="P22" s="11">
        <v>0.253</v>
      </c>
      <c r="Q22" s="9">
        <f t="shared" si="12"/>
        <v>0</v>
      </c>
      <c r="R22" s="9">
        <f t="shared" si="13"/>
        <v>1.6</v>
      </c>
      <c r="S22" s="12">
        <f>+Q22*C22</f>
        <v>0</v>
      </c>
      <c r="T22" s="13">
        <f>+R22*C22</f>
        <v>0</v>
      </c>
      <c r="U22" s="65"/>
      <c r="V22" s="72">
        <v>60</v>
      </c>
      <c r="W22" s="72">
        <v>40</v>
      </c>
      <c r="X22" s="72">
        <v>10</v>
      </c>
      <c r="AA22" s="77"/>
    </row>
    <row r="23" spans="1:28" ht="21.9" hidden="1" customHeight="1">
      <c r="A23" s="7">
        <f>B21+1</f>
        <v>99</v>
      </c>
      <c r="B23" s="8">
        <f t="shared" si="11"/>
        <v>98</v>
      </c>
      <c r="C23" s="8"/>
      <c r="D23" s="52" t="str">
        <f t="shared" ref="D23:D29" si="16">CONCATENATE(V23," * ",W23," * ",X23)</f>
        <v>60 * 40 * 30</v>
      </c>
      <c r="E23" s="9">
        <f t="shared" ref="E23:E29" si="17">V23*W23*X23*C23/1000000</f>
        <v>0</v>
      </c>
      <c r="F23" s="119"/>
      <c r="G23" s="119"/>
      <c r="H23" s="10"/>
      <c r="I23" s="10"/>
      <c r="J23" s="10"/>
      <c r="K23" s="10"/>
      <c r="L23" s="10"/>
      <c r="M23" s="10"/>
      <c r="N23" s="8">
        <f t="shared" ref="N23" si="18">SUM(H23:M23)</f>
        <v>0</v>
      </c>
      <c r="O23" s="8">
        <f t="shared" si="15"/>
        <v>0</v>
      </c>
      <c r="P23" s="11">
        <v>0.26500000000000001</v>
      </c>
      <c r="Q23" s="9">
        <f t="shared" si="12"/>
        <v>0</v>
      </c>
      <c r="R23" s="9">
        <f t="shared" si="13"/>
        <v>1.6</v>
      </c>
      <c r="S23" s="12">
        <f t="shared" ref="S23:S29" si="19">+Q23*C23</f>
        <v>0</v>
      </c>
      <c r="T23" s="13">
        <f t="shared" ref="T23:T29" si="20">+R23*C23</f>
        <v>0</v>
      </c>
      <c r="U23" s="65"/>
      <c r="V23" s="72">
        <v>60</v>
      </c>
      <c r="W23" s="72">
        <v>40</v>
      </c>
      <c r="X23" s="72">
        <v>30</v>
      </c>
      <c r="Y23" s="1">
        <v>21.5</v>
      </c>
      <c r="Z23" s="1">
        <f>Y23-1.6</f>
        <v>19.899999999999999</v>
      </c>
      <c r="AA23" s="77" t="e">
        <f>Z23/N23</f>
        <v>#DIV/0!</v>
      </c>
    </row>
    <row r="24" spans="1:28" ht="21.9" hidden="1" customHeight="1">
      <c r="A24" s="7">
        <f>B22+1</f>
        <v>99</v>
      </c>
      <c r="B24" s="8">
        <f t="shared" si="11"/>
        <v>98</v>
      </c>
      <c r="C24" s="8"/>
      <c r="D24" s="52" t="str">
        <f t="shared" si="16"/>
        <v>60 * 40 * 10</v>
      </c>
      <c r="E24" s="9">
        <f t="shared" si="17"/>
        <v>0</v>
      </c>
      <c r="F24" s="119"/>
      <c r="G24" s="119"/>
      <c r="H24" s="10"/>
      <c r="I24" s="10"/>
      <c r="J24" s="10"/>
      <c r="K24" s="10"/>
      <c r="L24" s="10"/>
      <c r="M24" s="10"/>
      <c r="N24" s="8">
        <f t="shared" si="14"/>
        <v>0</v>
      </c>
      <c r="O24" s="8">
        <f t="shared" si="15"/>
        <v>0</v>
      </c>
      <c r="P24" s="11">
        <v>0.26500000000000001</v>
      </c>
      <c r="Q24" s="9">
        <f t="shared" si="12"/>
        <v>0</v>
      </c>
      <c r="R24" s="9">
        <f t="shared" si="13"/>
        <v>1.6</v>
      </c>
      <c r="S24" s="12">
        <f t="shared" si="19"/>
        <v>0</v>
      </c>
      <c r="T24" s="13">
        <f t="shared" si="20"/>
        <v>0</v>
      </c>
      <c r="U24" s="65"/>
      <c r="V24" s="72">
        <v>60</v>
      </c>
      <c r="W24" s="72">
        <v>40</v>
      </c>
      <c r="X24" s="72">
        <v>10</v>
      </c>
      <c r="Y24" s="1">
        <v>21.5</v>
      </c>
      <c r="Z24" s="1">
        <f>Y24-1.6</f>
        <v>19.899999999999999</v>
      </c>
      <c r="AA24" s="77"/>
    </row>
    <row r="25" spans="1:28" ht="21.9" hidden="1" customHeight="1">
      <c r="A25" s="7">
        <f t="shared" ref="A25:A29" si="21">B24+1</f>
        <v>99</v>
      </c>
      <c r="B25" s="8">
        <f t="shared" si="11"/>
        <v>98</v>
      </c>
      <c r="C25" s="8"/>
      <c r="D25" s="52" t="str">
        <f t="shared" si="16"/>
        <v>60 * 40 * 30</v>
      </c>
      <c r="E25" s="9">
        <f t="shared" si="17"/>
        <v>0</v>
      </c>
      <c r="F25" s="119"/>
      <c r="G25" s="119"/>
      <c r="H25" s="10"/>
      <c r="I25" s="10"/>
      <c r="J25" s="10"/>
      <c r="K25" s="10"/>
      <c r="L25" s="10"/>
      <c r="M25" s="10"/>
      <c r="N25" s="8">
        <f t="shared" si="14"/>
        <v>0</v>
      </c>
      <c r="O25" s="8">
        <f t="shared" si="15"/>
        <v>0</v>
      </c>
      <c r="P25" s="11">
        <v>0.26500000000000001</v>
      </c>
      <c r="Q25" s="9">
        <f t="shared" si="12"/>
        <v>0</v>
      </c>
      <c r="R25" s="9">
        <f t="shared" si="13"/>
        <v>1.6</v>
      </c>
      <c r="S25" s="12">
        <f t="shared" si="19"/>
        <v>0</v>
      </c>
      <c r="T25" s="13">
        <f t="shared" si="20"/>
        <v>0</v>
      </c>
      <c r="U25" s="65"/>
      <c r="V25" s="72">
        <v>60</v>
      </c>
      <c r="W25" s="72">
        <v>40</v>
      </c>
      <c r="X25" s="72">
        <v>30</v>
      </c>
      <c r="AA25" s="77"/>
    </row>
    <row r="26" spans="1:28" ht="21.9" hidden="1" customHeight="1">
      <c r="A26" s="7">
        <f t="shared" si="21"/>
        <v>99</v>
      </c>
      <c r="B26" s="8">
        <f t="shared" si="11"/>
        <v>98</v>
      </c>
      <c r="C26" s="8"/>
      <c r="D26" s="52" t="str">
        <f t="shared" si="16"/>
        <v>60 * 40 * 30</v>
      </c>
      <c r="E26" s="9">
        <f t="shared" si="17"/>
        <v>0</v>
      </c>
      <c r="F26" s="119"/>
      <c r="G26" s="119"/>
      <c r="H26" s="10"/>
      <c r="I26" s="10"/>
      <c r="J26" s="10"/>
      <c r="K26" s="10"/>
      <c r="L26" s="10"/>
      <c r="M26" s="10"/>
      <c r="N26" s="8">
        <f t="shared" si="14"/>
        <v>0</v>
      </c>
      <c r="O26" s="8">
        <f t="shared" si="15"/>
        <v>0</v>
      </c>
      <c r="P26" s="11">
        <v>0.27400000000000002</v>
      </c>
      <c r="Q26" s="9">
        <f t="shared" si="12"/>
        <v>0</v>
      </c>
      <c r="R26" s="9">
        <f t="shared" si="13"/>
        <v>1.6</v>
      </c>
      <c r="S26" s="12">
        <f t="shared" si="19"/>
        <v>0</v>
      </c>
      <c r="T26" s="13">
        <f t="shared" si="20"/>
        <v>0</v>
      </c>
      <c r="U26" s="65"/>
      <c r="V26" s="72">
        <v>60</v>
      </c>
      <c r="W26" s="72">
        <v>40</v>
      </c>
      <c r="X26" s="72">
        <v>30</v>
      </c>
      <c r="Y26" s="1">
        <v>20.75</v>
      </c>
      <c r="Z26" s="1">
        <f>Y26-1.6</f>
        <v>19.149999999999999</v>
      </c>
      <c r="AA26" s="77" t="e">
        <f>Z26/N26</f>
        <v>#DIV/0!</v>
      </c>
    </row>
    <row r="27" spans="1:28" ht="21.9" hidden="1" customHeight="1">
      <c r="A27" s="7">
        <f t="shared" si="21"/>
        <v>99</v>
      </c>
      <c r="B27" s="8">
        <f t="shared" si="11"/>
        <v>98</v>
      </c>
      <c r="C27" s="8"/>
      <c r="D27" s="52" t="str">
        <f t="shared" si="16"/>
        <v>60 * 40 * 20</v>
      </c>
      <c r="E27" s="9">
        <f t="shared" si="17"/>
        <v>0</v>
      </c>
      <c r="F27" s="119"/>
      <c r="G27" s="119"/>
      <c r="H27" s="10"/>
      <c r="I27" s="10"/>
      <c r="J27" s="10"/>
      <c r="K27" s="10"/>
      <c r="L27" s="10"/>
      <c r="M27" s="10"/>
      <c r="N27" s="8">
        <f t="shared" si="14"/>
        <v>0</v>
      </c>
      <c r="O27" s="8">
        <f t="shared" si="15"/>
        <v>0</v>
      </c>
      <c r="P27" s="11">
        <v>0.27400000000000002</v>
      </c>
      <c r="Q27" s="9">
        <f t="shared" si="12"/>
        <v>0</v>
      </c>
      <c r="R27" s="9">
        <f t="shared" si="13"/>
        <v>1.6</v>
      </c>
      <c r="S27" s="12">
        <f t="shared" si="19"/>
        <v>0</v>
      </c>
      <c r="T27" s="13">
        <f t="shared" si="20"/>
        <v>0</v>
      </c>
      <c r="U27" s="65"/>
      <c r="V27" s="72">
        <v>60</v>
      </c>
      <c r="W27" s="72">
        <v>40</v>
      </c>
      <c r="X27" s="72">
        <v>20</v>
      </c>
      <c r="AA27" s="77"/>
    </row>
    <row r="28" spans="1:28" ht="21.9" hidden="1" customHeight="1">
      <c r="A28" s="7">
        <f t="shared" si="21"/>
        <v>99</v>
      </c>
      <c r="B28" s="8">
        <f t="shared" si="11"/>
        <v>98</v>
      </c>
      <c r="C28" s="8"/>
      <c r="D28" s="52" t="str">
        <f t="shared" si="16"/>
        <v>60 * 40 * 30</v>
      </c>
      <c r="E28" s="9">
        <f t="shared" si="17"/>
        <v>0</v>
      </c>
      <c r="F28" s="119"/>
      <c r="G28" s="119"/>
      <c r="H28" s="10"/>
      <c r="I28" s="10"/>
      <c r="J28" s="10"/>
      <c r="K28" s="10"/>
      <c r="L28" s="10"/>
      <c r="M28" s="10"/>
      <c r="N28" s="8">
        <f t="shared" si="14"/>
        <v>0</v>
      </c>
      <c r="O28" s="8">
        <f t="shared" si="15"/>
        <v>0</v>
      </c>
      <c r="P28" s="11">
        <v>0.28599999999999998</v>
      </c>
      <c r="Q28" s="9">
        <f t="shared" si="12"/>
        <v>0</v>
      </c>
      <c r="R28" s="9">
        <f t="shared" si="13"/>
        <v>1.6</v>
      </c>
      <c r="S28" s="12">
        <f t="shared" si="19"/>
        <v>0</v>
      </c>
      <c r="T28" s="13">
        <f t="shared" si="20"/>
        <v>0</v>
      </c>
      <c r="U28" s="65"/>
      <c r="V28" s="72">
        <v>60</v>
      </c>
      <c r="W28" s="72">
        <v>40</v>
      </c>
      <c r="X28" s="72">
        <v>30</v>
      </c>
      <c r="Y28" s="1">
        <v>21.6</v>
      </c>
      <c r="Z28" s="1">
        <f>Y28-1.6</f>
        <v>20</v>
      </c>
      <c r="AA28" s="77" t="e">
        <f>Z28/N28</f>
        <v>#DIV/0!</v>
      </c>
    </row>
    <row r="29" spans="1:28" ht="21.9" hidden="1" customHeight="1">
      <c r="A29" s="7">
        <f t="shared" si="21"/>
        <v>99</v>
      </c>
      <c r="B29" s="8">
        <f t="shared" si="11"/>
        <v>98</v>
      </c>
      <c r="C29" s="8"/>
      <c r="D29" s="52" t="str">
        <f t="shared" si="16"/>
        <v>60 * 40 * 30</v>
      </c>
      <c r="E29" s="9">
        <f t="shared" si="17"/>
        <v>0</v>
      </c>
      <c r="F29" s="119"/>
      <c r="G29" s="119"/>
      <c r="H29" s="10"/>
      <c r="I29" s="10"/>
      <c r="J29" s="10"/>
      <c r="K29" s="10"/>
      <c r="L29" s="10"/>
      <c r="M29" s="10"/>
      <c r="N29" s="8">
        <f t="shared" si="14"/>
        <v>0</v>
      </c>
      <c r="O29" s="8">
        <f t="shared" si="15"/>
        <v>0</v>
      </c>
      <c r="P29" s="11">
        <v>0.28599999999999998</v>
      </c>
      <c r="Q29" s="9">
        <f t="shared" si="12"/>
        <v>0</v>
      </c>
      <c r="R29" s="9">
        <f t="shared" si="13"/>
        <v>1.6</v>
      </c>
      <c r="S29" s="12">
        <f t="shared" si="19"/>
        <v>0</v>
      </c>
      <c r="T29" s="13">
        <f t="shared" si="20"/>
        <v>0</v>
      </c>
      <c r="U29" s="65"/>
      <c r="V29" s="72">
        <v>60</v>
      </c>
      <c r="W29" s="72">
        <v>40</v>
      </c>
      <c r="X29" s="72">
        <v>30</v>
      </c>
      <c r="AA29" s="77"/>
    </row>
    <row r="30" spans="1:28" s="6" customFormat="1" ht="21.9" hidden="1" customHeight="1">
      <c r="A30" s="128" t="s">
        <v>24</v>
      </c>
      <c r="B30" s="129"/>
      <c r="C30" s="14">
        <f>SUM(C21:C29)</f>
        <v>0</v>
      </c>
      <c r="D30" s="14"/>
      <c r="E30" s="15">
        <f>SUM(E21:E29)</f>
        <v>0</v>
      </c>
      <c r="F30" s="14"/>
      <c r="G30" s="14"/>
      <c r="H30" s="14">
        <f>SUMPRODUCT(H21:H29,$C$21:$C$29)</f>
        <v>0</v>
      </c>
      <c r="I30" s="14">
        <f>SUMPRODUCT(I21:I29,$C$21:$C$29)</f>
        <v>0</v>
      </c>
      <c r="J30" s="14">
        <f>SUMPRODUCT(J21:J29,$C$21:$C$29)</f>
        <v>0</v>
      </c>
      <c r="K30" s="14">
        <f>SUMPRODUCT(K21:K29,$C$21:$C$29)</f>
        <v>0</v>
      </c>
      <c r="L30" s="14"/>
      <c r="M30" s="14"/>
      <c r="N30" s="14" t="s">
        <v>0</v>
      </c>
      <c r="O30" s="14">
        <f>SUM(O21:O29)</f>
        <v>0</v>
      </c>
      <c r="P30" s="15"/>
      <c r="Q30" s="15"/>
      <c r="R30" s="15"/>
      <c r="S30" s="15">
        <f>SUM(S21:S29)</f>
        <v>0</v>
      </c>
      <c r="T30" s="50">
        <f>SUM(T21:T29)</f>
        <v>0</v>
      </c>
      <c r="U30" s="66"/>
      <c r="V30" s="5"/>
      <c r="W30" s="5"/>
      <c r="X30" s="5"/>
    </row>
    <row r="31" spans="1:28" s="6" customFormat="1" ht="15.6" customHeight="1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67"/>
      <c r="V31" s="5"/>
      <c r="W31" s="5"/>
      <c r="X31" s="5"/>
    </row>
    <row r="32" spans="1:28" s="19" customFormat="1" ht="20.100000000000001" customHeight="1">
      <c r="A32" s="132" t="s">
        <v>36</v>
      </c>
      <c r="B32" s="133"/>
      <c r="C32" s="17">
        <f>SUM(C30,C19)</f>
        <v>98</v>
      </c>
      <c r="D32" s="17" t="s">
        <v>37</v>
      </c>
      <c r="E32" s="18">
        <f>SUM(E30,E19)</f>
        <v>7.056</v>
      </c>
      <c r="F32" s="17"/>
      <c r="G32" s="17"/>
      <c r="H32" s="17">
        <f>SUM(H30,H19)</f>
        <v>481</v>
      </c>
      <c r="I32" s="17">
        <f>SUM(I30,I19)</f>
        <v>720</v>
      </c>
      <c r="J32" s="17">
        <f>SUM(J30,J19)</f>
        <v>840</v>
      </c>
      <c r="K32" s="17">
        <f>SUM(K30,K19)</f>
        <v>660</v>
      </c>
      <c r="L32" s="17">
        <f t="shared" ref="L32:M32" si="22">SUM(L30,L19)</f>
        <v>336</v>
      </c>
      <c r="M32" s="17">
        <f t="shared" si="22"/>
        <v>252</v>
      </c>
      <c r="N32" s="17"/>
      <c r="O32" s="17">
        <f>SUM(O30,O19)</f>
        <v>3289</v>
      </c>
      <c r="P32" s="17"/>
      <c r="Q32" s="17"/>
      <c r="R32" s="17"/>
      <c r="S32" s="18">
        <f>SUM(S30,S19)</f>
        <v>1976.098</v>
      </c>
      <c r="T32" s="18">
        <f>SUM(T30,T19)</f>
        <v>2132.8980000000001</v>
      </c>
      <c r="U32" s="68"/>
      <c r="V32" s="5"/>
      <c r="W32" s="5"/>
      <c r="X32" s="5"/>
    </row>
    <row r="33" spans="1:22" ht="30.75" customHeight="1" thickBot="1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3"/>
      <c r="U33" s="22"/>
    </row>
    <row r="34" spans="1:22" ht="24.9" customHeight="1" thickBot="1">
      <c r="A34" s="20"/>
      <c r="B34" s="21"/>
      <c r="C34" s="21"/>
      <c r="D34" s="24" t="s">
        <v>25</v>
      </c>
      <c r="E34" s="25"/>
      <c r="F34" s="25" t="s">
        <v>15</v>
      </c>
      <c r="G34" s="25"/>
      <c r="H34" s="26">
        <f t="shared" ref="H34:M34" si="23">+H6</f>
        <v>32</v>
      </c>
      <c r="I34" s="26">
        <f t="shared" si="23"/>
        <v>34</v>
      </c>
      <c r="J34" s="26">
        <f t="shared" si="23"/>
        <v>36</v>
      </c>
      <c r="K34" s="26">
        <f t="shared" si="23"/>
        <v>38</v>
      </c>
      <c r="L34" s="26">
        <f t="shared" si="23"/>
        <v>40</v>
      </c>
      <c r="M34" s="26">
        <f t="shared" si="23"/>
        <v>42</v>
      </c>
      <c r="N34" s="27" t="s">
        <v>26</v>
      </c>
      <c r="O34" s="73"/>
      <c r="P34" s="134"/>
      <c r="Q34" s="134"/>
      <c r="R34" s="135"/>
      <c r="S34" s="135"/>
      <c r="T34" s="136"/>
      <c r="U34" s="51"/>
    </row>
    <row r="35" spans="1:22" ht="29.25" customHeight="1">
      <c r="A35" s="20"/>
      <c r="B35" s="21"/>
      <c r="C35" s="21"/>
      <c r="D35" s="28" t="s">
        <v>27</v>
      </c>
      <c r="E35" s="29"/>
      <c r="F35" s="111" t="str">
        <f>+F7</f>
        <v>Germany</v>
      </c>
      <c r="G35" s="111" t="str">
        <f>+G7</f>
        <v xml:space="preserve">MidDark IndigoWash DirtyBeige2 (DB00)
</v>
      </c>
      <c r="H35" s="29">
        <v>622</v>
      </c>
      <c r="I35" s="29">
        <v>879</v>
      </c>
      <c r="J35" s="29">
        <v>1040</v>
      </c>
      <c r="K35" s="29">
        <v>818</v>
      </c>
      <c r="L35" s="29">
        <v>401</v>
      </c>
      <c r="M35" s="29">
        <v>339</v>
      </c>
      <c r="N35" s="30">
        <f>SUM(H35:M35)</f>
        <v>4099</v>
      </c>
      <c r="O35" s="74"/>
      <c r="P35" s="31" t="s">
        <v>28</v>
      </c>
      <c r="Q35" s="31" t="s">
        <v>29</v>
      </c>
      <c r="R35" s="31" t="s">
        <v>30</v>
      </c>
      <c r="S35" s="11" t="s">
        <v>31</v>
      </c>
      <c r="T35" s="32" t="s">
        <v>32</v>
      </c>
      <c r="U35" s="69"/>
    </row>
    <row r="36" spans="1:22" ht="24.75" customHeight="1">
      <c r="A36" s="20"/>
      <c r="B36" s="21"/>
      <c r="C36" s="21"/>
      <c r="D36" s="7" t="s">
        <v>33</v>
      </c>
      <c r="E36" s="8"/>
      <c r="F36" s="103"/>
      <c r="G36" s="103"/>
      <c r="H36" s="8">
        <f>+H19</f>
        <v>481</v>
      </c>
      <c r="I36" s="8">
        <f>+I19</f>
        <v>720</v>
      </c>
      <c r="J36" s="8">
        <f>+J19</f>
        <v>840</v>
      </c>
      <c r="K36" s="8">
        <f>+K19</f>
        <v>660</v>
      </c>
      <c r="L36" s="8">
        <f t="shared" ref="L36:M36" si="24">+L19</f>
        <v>336</v>
      </c>
      <c r="M36" s="8">
        <f t="shared" si="24"/>
        <v>252</v>
      </c>
      <c r="N36" s="33">
        <f>SUM(H36:M36)</f>
        <v>3289</v>
      </c>
      <c r="O36" s="74"/>
      <c r="P36" s="34" t="s">
        <v>72</v>
      </c>
      <c r="Q36" s="8">
        <f>N35</f>
        <v>4099</v>
      </c>
      <c r="R36" s="8">
        <f>N36</f>
        <v>3289</v>
      </c>
      <c r="S36" s="35">
        <f>R36-Q36</f>
        <v>-810</v>
      </c>
      <c r="T36" s="36">
        <f>S36/Q36</f>
        <v>-0.19760917296901684</v>
      </c>
      <c r="U36" s="70"/>
      <c r="V36" s="37"/>
    </row>
    <row r="37" spans="1:22" s="5" customFormat="1" ht="24.75" customHeight="1">
      <c r="A37" s="38"/>
      <c r="B37" s="16"/>
      <c r="C37" s="16"/>
      <c r="D37" s="39" t="s">
        <v>34</v>
      </c>
      <c r="E37" s="31"/>
      <c r="F37" s="103"/>
      <c r="G37" s="31" t="s">
        <v>35</v>
      </c>
      <c r="H37" s="40">
        <f>H36-H35</f>
        <v>-141</v>
      </c>
      <c r="I37" s="40">
        <f t="shared" ref="I37:M37" si="25">I36-I35</f>
        <v>-159</v>
      </c>
      <c r="J37" s="40">
        <f t="shared" si="25"/>
        <v>-200</v>
      </c>
      <c r="K37" s="40">
        <f t="shared" si="25"/>
        <v>-158</v>
      </c>
      <c r="L37" s="40">
        <f t="shared" si="25"/>
        <v>-65</v>
      </c>
      <c r="M37" s="40">
        <f t="shared" si="25"/>
        <v>-87</v>
      </c>
      <c r="N37" s="41">
        <f>N36-N35</f>
        <v>-810</v>
      </c>
      <c r="O37" s="42"/>
      <c r="P37" s="43"/>
      <c r="Q37" s="10"/>
      <c r="R37" s="10"/>
      <c r="S37" s="35"/>
      <c r="T37" s="36"/>
      <c r="U37" s="70"/>
    </row>
    <row r="38" spans="1:22" ht="24.75" customHeight="1" thickBot="1">
      <c r="A38" s="20"/>
      <c r="B38" s="16"/>
      <c r="C38" s="16"/>
      <c r="D38" s="55"/>
      <c r="E38" s="56"/>
      <c r="F38" s="56"/>
      <c r="G38" s="56" t="s">
        <v>32</v>
      </c>
      <c r="H38" s="75">
        <f>H37/H35</f>
        <v>-0.22668810289389069</v>
      </c>
      <c r="I38" s="75">
        <f t="shared" ref="I38:M38" si="26">I37/I35</f>
        <v>-0.18088737201365188</v>
      </c>
      <c r="J38" s="75">
        <f>J37/J35</f>
        <v>-0.19230769230769232</v>
      </c>
      <c r="K38" s="75">
        <f t="shared" si="26"/>
        <v>-0.19315403422982885</v>
      </c>
      <c r="L38" s="75">
        <f t="shared" si="26"/>
        <v>-0.16209476309226933</v>
      </c>
      <c r="M38" s="75">
        <f t="shared" si="26"/>
        <v>-0.25663716814159293</v>
      </c>
      <c r="N38" s="76">
        <f>N37/N35</f>
        <v>-0.19760917296901684</v>
      </c>
      <c r="O38" s="21"/>
      <c r="P38" s="43"/>
      <c r="Q38" s="43"/>
      <c r="R38" s="43"/>
      <c r="S38" s="35"/>
      <c r="T38" s="36"/>
      <c r="U38" s="70"/>
    </row>
    <row r="39" spans="1:22" ht="24.9" customHeight="1">
      <c r="A39" s="20"/>
      <c r="B39" s="16"/>
      <c r="C39" s="16"/>
      <c r="D39" s="47"/>
      <c r="E39" s="47"/>
      <c r="F39" s="47"/>
      <c r="G39" s="47"/>
      <c r="H39" s="59"/>
      <c r="I39" s="59"/>
      <c r="J39" s="59"/>
      <c r="K39" s="59"/>
      <c r="L39" s="59"/>
      <c r="M39" s="59"/>
      <c r="N39" s="59"/>
      <c r="O39" s="53"/>
      <c r="P39" s="44" t="s">
        <v>45</v>
      </c>
      <c r="Q39" s="44">
        <f>SUM(Q36:Q38)</f>
        <v>4099</v>
      </c>
      <c r="R39" s="44">
        <f>SUM(R36:R38)</f>
        <v>3289</v>
      </c>
      <c r="S39" s="45">
        <f>+R39-Q39</f>
        <v>-810</v>
      </c>
      <c r="T39" s="46">
        <f>+S39/Q39</f>
        <v>-0.19760917296901684</v>
      </c>
      <c r="U39" s="71"/>
    </row>
    <row r="40" spans="1:22" ht="24" hidden="1" customHeight="1" thickBot="1">
      <c r="A40" s="20"/>
      <c r="B40" s="21"/>
      <c r="C40" s="21"/>
      <c r="D40" s="24" t="s">
        <v>25</v>
      </c>
      <c r="E40" s="25"/>
      <c r="F40" s="25" t="s">
        <v>15</v>
      </c>
      <c r="G40" s="25"/>
      <c r="H40" s="26">
        <f>H20</f>
        <v>32</v>
      </c>
      <c r="I40" s="26">
        <f>I20</f>
        <v>34</v>
      </c>
      <c r="J40" s="26">
        <f>J20</f>
        <v>36</v>
      </c>
      <c r="K40" s="26">
        <f>K20</f>
        <v>38</v>
      </c>
      <c r="L40" s="26"/>
      <c r="M40" s="26"/>
      <c r="N40" s="27" t="s">
        <v>26</v>
      </c>
      <c r="T40" s="48"/>
    </row>
    <row r="41" spans="1:22" ht="24" hidden="1" customHeight="1">
      <c r="A41" s="60"/>
      <c r="D41" s="28" t="s">
        <v>27</v>
      </c>
      <c r="E41" s="29"/>
      <c r="F41" s="126" t="str">
        <f>F21</f>
        <v>Germany</v>
      </c>
      <c r="G41" s="126" t="str">
        <f>G21</f>
        <v>Medium Indigo WashUsedEffects3 (EHV)</v>
      </c>
      <c r="H41" s="29"/>
      <c r="I41" s="29"/>
      <c r="J41" s="29"/>
      <c r="K41" s="29"/>
      <c r="L41" s="29"/>
      <c r="M41" s="29"/>
      <c r="N41" s="30">
        <f>SUM(H41:M41)</f>
        <v>0</v>
      </c>
      <c r="T41" s="48"/>
    </row>
    <row r="42" spans="1:22" ht="24" hidden="1" customHeight="1">
      <c r="A42" s="60"/>
      <c r="D42" s="7" t="s">
        <v>33</v>
      </c>
      <c r="E42" s="8"/>
      <c r="F42" s="119"/>
      <c r="G42" s="127"/>
      <c r="H42" s="8">
        <f t="shared" ref="H42:K42" si="27">+H30</f>
        <v>0</v>
      </c>
      <c r="I42" s="8">
        <f t="shared" si="27"/>
        <v>0</v>
      </c>
      <c r="J42" s="8">
        <f t="shared" si="27"/>
        <v>0</v>
      </c>
      <c r="K42" s="8">
        <f t="shared" si="27"/>
        <v>0</v>
      </c>
      <c r="L42" s="8"/>
      <c r="M42" s="8"/>
      <c r="N42" s="33">
        <f>SUM(H42:M42)</f>
        <v>0</v>
      </c>
      <c r="T42" s="48"/>
    </row>
    <row r="43" spans="1:22" ht="24" hidden="1" customHeight="1">
      <c r="A43" s="60"/>
      <c r="D43" s="39" t="s">
        <v>34</v>
      </c>
      <c r="E43" s="31"/>
      <c r="F43" s="127"/>
      <c r="G43" s="31" t="s">
        <v>35</v>
      </c>
      <c r="H43" s="40">
        <f>H42-H41</f>
        <v>0</v>
      </c>
      <c r="I43" s="40">
        <f t="shared" ref="I43:K43" si="28">I42-I41</f>
        <v>0</v>
      </c>
      <c r="J43" s="40">
        <f t="shared" si="28"/>
        <v>0</v>
      </c>
      <c r="K43" s="40">
        <f t="shared" si="28"/>
        <v>0</v>
      </c>
      <c r="L43" s="40"/>
      <c r="M43" s="40"/>
      <c r="N43" s="41">
        <f>N42-N41</f>
        <v>0</v>
      </c>
      <c r="T43" s="48"/>
    </row>
    <row r="44" spans="1:22" ht="16.2" hidden="1" thickBot="1">
      <c r="A44" s="60"/>
      <c r="D44" s="55"/>
      <c r="E44" s="56"/>
      <c r="F44" s="56"/>
      <c r="G44" s="56" t="s">
        <v>32</v>
      </c>
      <c r="H44" s="57" t="e">
        <f>H43/H41</f>
        <v>#DIV/0!</v>
      </c>
      <c r="I44" s="57" t="e">
        <f t="shared" ref="I44:K44" si="29">I43/I41</f>
        <v>#DIV/0!</v>
      </c>
      <c r="J44" s="57" t="e">
        <f t="shared" si="29"/>
        <v>#DIV/0!</v>
      </c>
      <c r="K44" s="57" t="e">
        <f t="shared" si="29"/>
        <v>#DIV/0!</v>
      </c>
      <c r="L44" s="75"/>
      <c r="M44" s="75"/>
      <c r="N44" s="58" t="e">
        <f>N43/N41</f>
        <v>#DIV/0!</v>
      </c>
      <c r="T44" s="48"/>
    </row>
    <row r="45" spans="1:22" ht="15" customHeight="1" thickBot="1">
      <c r="A45" s="6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4"/>
    </row>
    <row r="47" spans="1:22" ht="9" customHeight="1"/>
  </sheetData>
  <mergeCells count="41"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F21:F29"/>
    <mergeCell ref="G21:G29"/>
    <mergeCell ref="A5:C5"/>
    <mergeCell ref="D5:H5"/>
    <mergeCell ref="I5:K5"/>
    <mergeCell ref="A6:B6"/>
    <mergeCell ref="F7:F18"/>
    <mergeCell ref="G7:G18"/>
    <mergeCell ref="A19:B19"/>
    <mergeCell ref="A20:B20"/>
    <mergeCell ref="F41:F43"/>
    <mergeCell ref="G41:G42"/>
    <mergeCell ref="A30:B30"/>
    <mergeCell ref="A31:T31"/>
    <mergeCell ref="A32:B32"/>
    <mergeCell ref="P34:Q34"/>
    <mergeCell ref="R34:T34"/>
    <mergeCell ref="F35:F37"/>
    <mergeCell ref="G35:G36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0"/>
  <sheetViews>
    <sheetView view="pageBreakPreview" topLeftCell="A4" zoomScale="85" zoomScaleNormal="100" zoomScaleSheetLayoutView="85" workbookViewId="0">
      <selection activeCell="H7" sqref="H7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05" t="s">
        <v>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62"/>
    </row>
    <row r="2" spans="1:28" ht="39.9" customHeight="1">
      <c r="A2" s="110" t="s">
        <v>3</v>
      </c>
      <c r="B2" s="111"/>
      <c r="C2" s="111"/>
      <c r="D2" s="114">
        <f ca="1">TODAY()</f>
        <v>46274</v>
      </c>
      <c r="E2" s="114"/>
      <c r="F2" s="114"/>
      <c r="G2" s="114"/>
      <c r="H2" s="114"/>
      <c r="I2" s="144" t="s">
        <v>2</v>
      </c>
      <c r="J2" s="144"/>
      <c r="K2" s="144"/>
      <c r="L2" s="148" t="str">
        <f>CONCATENATE(G7," &amp; ",G21)</f>
        <v>VeryLight
Bleached Indigo Wash (EHBS) &amp; Denim BlueEHLM2 (LM00)</v>
      </c>
      <c r="M2" s="149"/>
      <c r="N2" s="150"/>
      <c r="O2" s="111" t="s">
        <v>27</v>
      </c>
      <c r="P2" s="111"/>
      <c r="Q2" s="111"/>
      <c r="R2" s="111">
        <f>+Q42</f>
        <v>8193</v>
      </c>
      <c r="S2" s="111"/>
      <c r="T2" s="112"/>
      <c r="U2" s="47"/>
    </row>
    <row r="3" spans="1:28" ht="30" customHeight="1">
      <c r="A3" s="113" t="s">
        <v>4</v>
      </c>
      <c r="B3" s="103"/>
      <c r="C3" s="103"/>
      <c r="D3" s="103" t="s">
        <v>66</v>
      </c>
      <c r="E3" s="103"/>
      <c r="F3" s="103"/>
      <c r="G3" s="103"/>
      <c r="H3" s="103"/>
      <c r="I3" s="103" t="s">
        <v>5</v>
      </c>
      <c r="J3" s="103"/>
      <c r="K3" s="103"/>
      <c r="L3" s="140" t="s">
        <v>59</v>
      </c>
      <c r="M3" s="141"/>
      <c r="N3" s="142"/>
      <c r="O3" s="103" t="s">
        <v>33</v>
      </c>
      <c r="P3" s="103"/>
      <c r="Q3" s="103"/>
      <c r="R3" s="103">
        <f>+R42</f>
        <v>8068</v>
      </c>
      <c r="S3" s="103"/>
      <c r="T3" s="104"/>
      <c r="U3" s="47"/>
    </row>
    <row r="4" spans="1:28" ht="18" customHeight="1">
      <c r="A4" s="113" t="s">
        <v>6</v>
      </c>
      <c r="B4" s="103"/>
      <c r="C4" s="103"/>
      <c r="D4" s="140">
        <v>500081949</v>
      </c>
      <c r="E4" s="141"/>
      <c r="F4" s="141"/>
      <c r="G4" s="141"/>
      <c r="H4" s="142"/>
      <c r="I4" s="103" t="s">
        <v>7</v>
      </c>
      <c r="J4" s="103"/>
      <c r="K4" s="103"/>
      <c r="L4" s="140" t="s">
        <v>65</v>
      </c>
      <c r="M4" s="141"/>
      <c r="N4" s="142"/>
      <c r="O4" s="103" t="s">
        <v>8</v>
      </c>
      <c r="P4" s="103"/>
      <c r="Q4" s="103"/>
      <c r="R4" s="117">
        <f>+S42</f>
        <v>-125</v>
      </c>
      <c r="S4" s="103"/>
      <c r="T4" s="2">
        <f>(R4/R2)</f>
        <v>-1.5256926644696692E-2</v>
      </c>
      <c r="U4" s="63"/>
    </row>
    <row r="5" spans="1:28" ht="18" customHeight="1">
      <c r="A5" s="113" t="s">
        <v>9</v>
      </c>
      <c r="B5" s="103"/>
      <c r="C5" s="103"/>
      <c r="D5" s="103" t="s">
        <v>60</v>
      </c>
      <c r="E5" s="103"/>
      <c r="F5" s="103"/>
      <c r="G5" s="103"/>
      <c r="H5" s="103"/>
      <c r="I5" s="103" t="s">
        <v>10</v>
      </c>
      <c r="J5" s="103"/>
      <c r="K5" s="103"/>
      <c r="L5" s="137">
        <f>S35</f>
        <v>4451.1880000000001</v>
      </c>
      <c r="M5" s="138"/>
      <c r="N5" s="139"/>
      <c r="O5" s="103" t="s">
        <v>11</v>
      </c>
      <c r="P5" s="103"/>
      <c r="Q5" s="103"/>
      <c r="R5" s="116">
        <f>+T35</f>
        <v>4854.3880000000008</v>
      </c>
      <c r="S5" s="103"/>
      <c r="T5" s="2"/>
      <c r="U5" s="63"/>
    </row>
    <row r="6" spans="1:28" s="6" customFormat="1" ht="30" customHeight="1">
      <c r="A6" s="120" t="s">
        <v>12</v>
      </c>
      <c r="B6" s="121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  <c r="Y6" s="6" t="s">
        <v>56</v>
      </c>
      <c r="Z6" s="6" t="s">
        <v>57</v>
      </c>
      <c r="AA6" s="6" t="s">
        <v>58</v>
      </c>
    </row>
    <row r="7" spans="1:28" ht="21.9" customHeight="1">
      <c r="A7" s="7">
        <v>1</v>
      </c>
      <c r="B7" s="8">
        <f t="shared" ref="B7:B18" si="0">C7+A7-1</f>
        <v>18</v>
      </c>
      <c r="C7" s="8">
        <v>18</v>
      </c>
      <c r="D7" s="52" t="str">
        <f>CONCATENATE(V7," * ",W7," * ",X7)</f>
        <v>60 * 40 * 30</v>
      </c>
      <c r="E7" s="9">
        <f>V7*W7*X7*C7/1000000</f>
        <v>1.296</v>
      </c>
      <c r="F7" s="118" t="s">
        <v>39</v>
      </c>
      <c r="G7" s="118" t="s">
        <v>61</v>
      </c>
      <c r="H7" s="10">
        <v>35</v>
      </c>
      <c r="I7" s="10"/>
      <c r="J7" s="10"/>
      <c r="K7" s="10"/>
      <c r="L7" s="10"/>
      <c r="M7" s="10"/>
      <c r="N7" s="8">
        <f>SUM(H7:M7)</f>
        <v>35</v>
      </c>
      <c r="O7" s="8">
        <f>N7*C7</f>
        <v>630</v>
      </c>
      <c r="P7" s="11">
        <v>0.5</v>
      </c>
      <c r="Q7" s="9">
        <f>P7*N7</f>
        <v>17.5</v>
      </c>
      <c r="R7" s="9">
        <f>Q7+1.6</f>
        <v>19.100000000000001</v>
      </c>
      <c r="S7" s="12">
        <f>+Q7*C7</f>
        <v>315</v>
      </c>
      <c r="T7" s="13">
        <f>+R7*C7</f>
        <v>343.8</v>
      </c>
      <c r="U7" s="65"/>
      <c r="V7" s="72">
        <v>60</v>
      </c>
      <c r="W7" s="72">
        <v>40</v>
      </c>
      <c r="X7" s="72">
        <v>30</v>
      </c>
      <c r="Y7" s="1">
        <v>19.100000000000001</v>
      </c>
      <c r="Z7" s="1">
        <f>Y7-1.6</f>
        <v>17.5</v>
      </c>
      <c r="AA7" s="77">
        <f>Z7/N7</f>
        <v>0.5</v>
      </c>
      <c r="AB7" s="77"/>
    </row>
    <row r="8" spans="1:28" ht="21.9" customHeight="1">
      <c r="A8" s="7">
        <f>B7+1</f>
        <v>19</v>
      </c>
      <c r="B8" s="8">
        <f t="shared" si="0"/>
        <v>19</v>
      </c>
      <c r="C8" s="8">
        <v>1</v>
      </c>
      <c r="D8" s="52" t="str">
        <f>CONCATENATE(V8," * ",W8," * ",X8)</f>
        <v>60 * 40 * 20</v>
      </c>
      <c r="E8" s="9">
        <f>V8*W8*X8*C8/1000000</f>
        <v>4.8000000000000001E-2</v>
      </c>
      <c r="F8" s="119"/>
      <c r="G8" s="119"/>
      <c r="H8" s="10">
        <v>20</v>
      </c>
      <c r="I8" s="10"/>
      <c r="J8" s="10"/>
      <c r="K8" s="10"/>
      <c r="L8" s="10"/>
      <c r="M8" s="10"/>
      <c r="N8" s="8">
        <f t="shared" ref="N8:N18" si="1">SUM(H8:M8)</f>
        <v>20</v>
      </c>
      <c r="O8" s="8">
        <f t="shared" ref="O8:O16" si="2">N8*C8</f>
        <v>20</v>
      </c>
      <c r="P8" s="11">
        <v>0.5</v>
      </c>
      <c r="Q8" s="9">
        <f t="shared" ref="Q8:Q18" si="3">P8*N8</f>
        <v>10</v>
      </c>
      <c r="R8" s="9">
        <f t="shared" ref="R8:R18" si="4">Q8+1.6</f>
        <v>11.6</v>
      </c>
      <c r="S8" s="12">
        <f>+Q8*C8</f>
        <v>10</v>
      </c>
      <c r="T8" s="13">
        <f>+R8*C8</f>
        <v>11.6</v>
      </c>
      <c r="U8" s="65"/>
      <c r="V8" s="72">
        <v>60</v>
      </c>
      <c r="W8" s="72">
        <v>40</v>
      </c>
      <c r="X8" s="72">
        <v>20</v>
      </c>
      <c r="AA8" s="77"/>
      <c r="AB8" s="77"/>
    </row>
    <row r="9" spans="1:28" ht="21.9" customHeight="1">
      <c r="A9" s="7">
        <f t="shared" ref="A9:A18" si="5">B8+1</f>
        <v>20</v>
      </c>
      <c r="B9" s="8">
        <f t="shared" si="0"/>
        <v>43</v>
      </c>
      <c r="C9" s="8">
        <v>24</v>
      </c>
      <c r="D9" s="52" t="str">
        <f t="shared" ref="D9:D15" si="6">CONCATENATE(V9," * ",W9," * ",X9)</f>
        <v>60 * 40 * 30</v>
      </c>
      <c r="E9" s="9">
        <f t="shared" ref="E9:E15" si="7">V9*W9*X9*C9/1000000</f>
        <v>1.728</v>
      </c>
      <c r="F9" s="119"/>
      <c r="G9" s="119"/>
      <c r="H9" s="10"/>
      <c r="I9" s="10">
        <v>35</v>
      </c>
      <c r="J9" s="10"/>
      <c r="K9" s="10"/>
      <c r="L9" s="10"/>
      <c r="M9" s="10"/>
      <c r="N9" s="8">
        <f t="shared" si="1"/>
        <v>35</v>
      </c>
      <c r="O9" s="8">
        <f t="shared" si="2"/>
        <v>840</v>
      </c>
      <c r="P9" s="11">
        <v>0.51400000000000001</v>
      </c>
      <c r="Q9" s="9">
        <f t="shared" si="3"/>
        <v>17.990000000000002</v>
      </c>
      <c r="R9" s="9">
        <f t="shared" si="4"/>
        <v>19.590000000000003</v>
      </c>
      <c r="S9" s="12">
        <f t="shared" ref="S9:S18" si="8">+Q9*C9</f>
        <v>431.76000000000005</v>
      </c>
      <c r="T9" s="13">
        <f t="shared" ref="T9:T18" si="9">+R9*C9</f>
        <v>470.16000000000008</v>
      </c>
      <c r="U9" s="65"/>
      <c r="V9" s="72">
        <v>60</v>
      </c>
      <c r="W9" s="72">
        <v>40</v>
      </c>
      <c r="X9" s="72">
        <v>30</v>
      </c>
      <c r="Y9" s="1">
        <v>19.600000000000001</v>
      </c>
      <c r="Z9" s="1">
        <f>Y9-1.6</f>
        <v>18</v>
      </c>
      <c r="AA9" s="77">
        <f>Z9/N9</f>
        <v>0.51428571428571423</v>
      </c>
      <c r="AB9" s="77"/>
    </row>
    <row r="10" spans="1:28" ht="21.9" customHeight="1">
      <c r="A10" s="7">
        <f t="shared" si="5"/>
        <v>44</v>
      </c>
      <c r="B10" s="8">
        <f t="shared" si="0"/>
        <v>44</v>
      </c>
      <c r="C10" s="8">
        <v>1</v>
      </c>
      <c r="D10" s="52" t="str">
        <f t="shared" si="6"/>
        <v>60 * 40 * 10</v>
      </c>
      <c r="E10" s="9">
        <f t="shared" si="7"/>
        <v>2.4E-2</v>
      </c>
      <c r="F10" s="119"/>
      <c r="G10" s="119"/>
      <c r="H10" s="10"/>
      <c r="I10" s="10">
        <v>6</v>
      </c>
      <c r="J10" s="10"/>
      <c r="K10" s="10"/>
      <c r="L10" s="10"/>
      <c r="M10" s="10"/>
      <c r="N10" s="8">
        <f t="shared" si="1"/>
        <v>6</v>
      </c>
      <c r="O10" s="8">
        <f t="shared" si="2"/>
        <v>6</v>
      </c>
      <c r="P10" s="11">
        <v>0.51400000000000001</v>
      </c>
      <c r="Q10" s="9">
        <f t="shared" si="3"/>
        <v>3.0840000000000001</v>
      </c>
      <c r="R10" s="9">
        <f t="shared" si="4"/>
        <v>4.6840000000000002</v>
      </c>
      <c r="S10" s="12">
        <f t="shared" si="8"/>
        <v>3.0840000000000001</v>
      </c>
      <c r="T10" s="13">
        <f t="shared" si="9"/>
        <v>4.6840000000000002</v>
      </c>
      <c r="U10" s="65"/>
      <c r="V10" s="72">
        <v>60</v>
      </c>
      <c r="W10" s="72">
        <v>40</v>
      </c>
      <c r="X10" s="72">
        <v>10</v>
      </c>
      <c r="AA10" s="77"/>
      <c r="AB10" s="77"/>
    </row>
    <row r="11" spans="1:28" ht="21.9" customHeight="1">
      <c r="A11" s="7">
        <f t="shared" si="5"/>
        <v>45</v>
      </c>
      <c r="B11" s="8">
        <f t="shared" si="0"/>
        <v>73</v>
      </c>
      <c r="C11" s="8">
        <v>29</v>
      </c>
      <c r="D11" s="52" t="str">
        <f t="shared" si="6"/>
        <v>60 * 40 * 30</v>
      </c>
      <c r="E11" s="9">
        <f t="shared" si="7"/>
        <v>2.0880000000000001</v>
      </c>
      <c r="F11" s="119"/>
      <c r="G11" s="119"/>
      <c r="H11" s="10"/>
      <c r="I11" s="10"/>
      <c r="J11" s="10">
        <v>32</v>
      </c>
      <c r="K11" s="10"/>
      <c r="L11" s="10"/>
      <c r="M11" s="10"/>
      <c r="N11" s="8">
        <f t="shared" si="1"/>
        <v>32</v>
      </c>
      <c r="O11" s="8">
        <f t="shared" si="2"/>
        <v>928</v>
      </c>
      <c r="P11" s="11">
        <v>0.53800000000000003</v>
      </c>
      <c r="Q11" s="9">
        <f t="shared" si="3"/>
        <v>17.216000000000001</v>
      </c>
      <c r="R11" s="9">
        <f t="shared" si="4"/>
        <v>18.816000000000003</v>
      </c>
      <c r="S11" s="12">
        <f t="shared" si="8"/>
        <v>499.26400000000001</v>
      </c>
      <c r="T11" s="13">
        <f t="shared" si="9"/>
        <v>545.6640000000001</v>
      </c>
      <c r="U11" s="65"/>
      <c r="V11" s="72">
        <v>60</v>
      </c>
      <c r="W11" s="72">
        <v>40</v>
      </c>
      <c r="X11" s="72">
        <v>30</v>
      </c>
      <c r="Y11" s="1">
        <v>18.8</v>
      </c>
      <c r="Z11" s="1">
        <f>Y11-1.6</f>
        <v>17.2</v>
      </c>
      <c r="AA11" s="77">
        <f>Z11/N11</f>
        <v>0.53749999999999998</v>
      </c>
      <c r="AB11" s="77"/>
    </row>
    <row r="12" spans="1:28" ht="21.9" customHeight="1">
      <c r="A12" s="7">
        <f t="shared" si="5"/>
        <v>74</v>
      </c>
      <c r="B12" s="8">
        <f t="shared" si="0"/>
        <v>74</v>
      </c>
      <c r="C12" s="8">
        <v>1</v>
      </c>
      <c r="D12" s="52" t="str">
        <f t="shared" si="6"/>
        <v>60 * 40 * 30</v>
      </c>
      <c r="E12" s="9">
        <f t="shared" si="7"/>
        <v>7.1999999999999995E-2</v>
      </c>
      <c r="F12" s="119"/>
      <c r="G12" s="119"/>
      <c r="H12" s="10"/>
      <c r="I12" s="10"/>
      <c r="J12" s="10">
        <v>20</v>
      </c>
      <c r="K12" s="10"/>
      <c r="L12" s="10"/>
      <c r="M12" s="10"/>
      <c r="N12" s="8">
        <f t="shared" si="1"/>
        <v>20</v>
      </c>
      <c r="O12" s="8">
        <f t="shared" si="2"/>
        <v>20</v>
      </c>
      <c r="P12" s="11">
        <v>0.53800000000000003</v>
      </c>
      <c r="Q12" s="9">
        <f t="shared" si="3"/>
        <v>10.760000000000002</v>
      </c>
      <c r="R12" s="9">
        <f t="shared" si="4"/>
        <v>12.360000000000001</v>
      </c>
      <c r="S12" s="12">
        <f t="shared" si="8"/>
        <v>10.760000000000002</v>
      </c>
      <c r="T12" s="13">
        <f t="shared" si="9"/>
        <v>12.360000000000001</v>
      </c>
      <c r="U12" s="65"/>
      <c r="V12" s="72">
        <v>60</v>
      </c>
      <c r="W12" s="72">
        <v>40</v>
      </c>
      <c r="X12" s="72">
        <v>30</v>
      </c>
      <c r="AA12" s="77"/>
      <c r="AB12" s="77"/>
    </row>
    <row r="13" spans="1:28" ht="21.9" customHeight="1">
      <c r="A13" s="7">
        <f t="shared" si="5"/>
        <v>75</v>
      </c>
      <c r="B13" s="8">
        <f t="shared" si="0"/>
        <v>94</v>
      </c>
      <c r="C13" s="8">
        <v>20</v>
      </c>
      <c r="D13" s="52" t="str">
        <f t="shared" si="6"/>
        <v>60 * 40 * 30</v>
      </c>
      <c r="E13" s="9">
        <f t="shared" si="7"/>
        <v>1.44</v>
      </c>
      <c r="F13" s="119"/>
      <c r="G13" s="119"/>
      <c r="H13" s="10"/>
      <c r="I13" s="10"/>
      <c r="J13" s="10"/>
      <c r="K13" s="10">
        <v>32</v>
      </c>
      <c r="L13" s="10"/>
      <c r="M13" s="10"/>
      <c r="N13" s="8">
        <f t="shared" si="1"/>
        <v>32</v>
      </c>
      <c r="O13" s="8">
        <f t="shared" si="2"/>
        <v>640</v>
      </c>
      <c r="P13" s="11">
        <v>0.55900000000000005</v>
      </c>
      <c r="Q13" s="9">
        <f t="shared" si="3"/>
        <v>17.888000000000002</v>
      </c>
      <c r="R13" s="9">
        <f t="shared" si="4"/>
        <v>19.488000000000003</v>
      </c>
      <c r="S13" s="12">
        <f t="shared" si="8"/>
        <v>357.76000000000005</v>
      </c>
      <c r="T13" s="13">
        <f t="shared" si="9"/>
        <v>389.76000000000005</v>
      </c>
      <c r="U13" s="65"/>
      <c r="V13" s="72">
        <v>60</v>
      </c>
      <c r="W13" s="72">
        <v>40</v>
      </c>
      <c r="X13" s="72">
        <v>30</v>
      </c>
      <c r="Y13" s="1">
        <v>19.5</v>
      </c>
      <c r="Z13" s="1">
        <f>Y13-1.6</f>
        <v>17.899999999999999</v>
      </c>
      <c r="AA13" s="77">
        <f>Z13/N13</f>
        <v>0.55937499999999996</v>
      </c>
      <c r="AB13" s="77"/>
    </row>
    <row r="14" spans="1:28" ht="21.9" customHeight="1">
      <c r="A14" s="7">
        <f t="shared" si="5"/>
        <v>95</v>
      </c>
      <c r="B14" s="8">
        <f t="shared" si="0"/>
        <v>95</v>
      </c>
      <c r="C14" s="8">
        <v>1</v>
      </c>
      <c r="D14" s="52" t="str">
        <f t="shared" si="6"/>
        <v>60 * 40 * 30</v>
      </c>
      <c r="E14" s="9">
        <f t="shared" si="7"/>
        <v>7.1999999999999995E-2</v>
      </c>
      <c r="F14" s="119"/>
      <c r="G14" s="119"/>
      <c r="H14" s="10"/>
      <c r="I14" s="10"/>
      <c r="J14" s="10"/>
      <c r="K14" s="10">
        <v>22</v>
      </c>
      <c r="L14" s="10"/>
      <c r="M14" s="10"/>
      <c r="N14" s="8">
        <f t="shared" si="1"/>
        <v>22</v>
      </c>
      <c r="O14" s="8">
        <f t="shared" si="2"/>
        <v>22</v>
      </c>
      <c r="P14" s="11">
        <v>0.55900000000000005</v>
      </c>
      <c r="Q14" s="9">
        <f t="shared" si="3"/>
        <v>12.298000000000002</v>
      </c>
      <c r="R14" s="9">
        <f t="shared" si="4"/>
        <v>13.898000000000001</v>
      </c>
      <c r="S14" s="12">
        <f t="shared" si="8"/>
        <v>12.298000000000002</v>
      </c>
      <c r="T14" s="13">
        <f t="shared" si="9"/>
        <v>13.898000000000001</v>
      </c>
      <c r="U14" s="65"/>
      <c r="V14" s="72">
        <v>60</v>
      </c>
      <c r="W14" s="72">
        <v>40</v>
      </c>
      <c r="X14" s="72">
        <v>30</v>
      </c>
      <c r="AA14" s="77"/>
    </row>
    <row r="15" spans="1:28" ht="21.9" customHeight="1">
      <c r="A15" s="7">
        <f t="shared" si="5"/>
        <v>96</v>
      </c>
      <c r="B15" s="8">
        <f t="shared" si="0"/>
        <v>106</v>
      </c>
      <c r="C15" s="8">
        <v>11</v>
      </c>
      <c r="D15" s="52" t="str">
        <f t="shared" si="6"/>
        <v>60 * 40 * 30</v>
      </c>
      <c r="E15" s="9">
        <f t="shared" si="7"/>
        <v>0.79200000000000004</v>
      </c>
      <c r="F15" s="119"/>
      <c r="G15" s="119"/>
      <c r="H15" s="10"/>
      <c r="I15" s="10"/>
      <c r="J15" s="10"/>
      <c r="K15" s="10"/>
      <c r="L15" s="10">
        <v>30</v>
      </c>
      <c r="M15" s="10"/>
      <c r="N15" s="8">
        <f t="shared" si="1"/>
        <v>30</v>
      </c>
      <c r="O15" s="8">
        <f t="shared" si="2"/>
        <v>330</v>
      </c>
      <c r="P15" s="11">
        <v>0.58699999999999997</v>
      </c>
      <c r="Q15" s="9">
        <f t="shared" si="3"/>
        <v>17.61</v>
      </c>
      <c r="R15" s="9">
        <f t="shared" si="4"/>
        <v>19.21</v>
      </c>
      <c r="S15" s="12">
        <f t="shared" si="8"/>
        <v>193.70999999999998</v>
      </c>
      <c r="T15" s="13">
        <f t="shared" si="9"/>
        <v>211.31</v>
      </c>
      <c r="U15" s="65"/>
      <c r="V15" s="72">
        <v>60</v>
      </c>
      <c r="W15" s="72">
        <v>40</v>
      </c>
      <c r="X15" s="72">
        <v>30</v>
      </c>
      <c r="Y15" s="1">
        <v>19.2</v>
      </c>
      <c r="Z15" s="1">
        <f>Y15-1.6</f>
        <v>17.599999999999998</v>
      </c>
      <c r="AA15" s="77">
        <f>Z15/N15</f>
        <v>0.58666666666666656</v>
      </c>
    </row>
    <row r="16" spans="1:28" ht="21.75" customHeight="1">
      <c r="A16" s="7">
        <f t="shared" si="5"/>
        <v>107</v>
      </c>
      <c r="B16" s="8">
        <f t="shared" si="0"/>
        <v>107</v>
      </c>
      <c r="C16" s="8">
        <v>1</v>
      </c>
      <c r="D16" s="52" t="str">
        <f>CONCATENATE(V16," * ",W16," * ",X16)</f>
        <v>60 * 40 * 30</v>
      </c>
      <c r="E16" s="9">
        <f>V16*W16*X16*C16/1000000</f>
        <v>7.1999999999999995E-2</v>
      </c>
      <c r="F16" s="119"/>
      <c r="G16" s="119"/>
      <c r="H16" s="10"/>
      <c r="I16" s="10"/>
      <c r="J16" s="10"/>
      <c r="K16" s="10"/>
      <c r="L16" s="10">
        <v>28</v>
      </c>
      <c r="M16" s="10"/>
      <c r="N16" s="8">
        <f t="shared" si="1"/>
        <v>28</v>
      </c>
      <c r="O16" s="8">
        <f t="shared" si="2"/>
        <v>28</v>
      </c>
      <c r="P16" s="11">
        <v>0.58699999999999997</v>
      </c>
      <c r="Q16" s="9">
        <f t="shared" si="3"/>
        <v>16.436</v>
      </c>
      <c r="R16" s="9">
        <f t="shared" si="4"/>
        <v>18.036000000000001</v>
      </c>
      <c r="S16" s="12">
        <f t="shared" si="8"/>
        <v>16.436</v>
      </c>
      <c r="T16" s="13">
        <f t="shared" si="9"/>
        <v>18.036000000000001</v>
      </c>
      <c r="U16" s="65"/>
      <c r="V16" s="72">
        <v>60</v>
      </c>
      <c r="W16" s="72">
        <v>40</v>
      </c>
      <c r="X16" s="72">
        <v>30</v>
      </c>
      <c r="AA16" s="77"/>
    </row>
    <row r="17" spans="1:27" ht="21.9" customHeight="1">
      <c r="A17" s="7">
        <f t="shared" si="5"/>
        <v>108</v>
      </c>
      <c r="B17" s="8">
        <f t="shared" si="0"/>
        <v>116</v>
      </c>
      <c r="C17" s="8">
        <v>9</v>
      </c>
      <c r="D17" s="52" t="str">
        <f>CONCATENATE(V17," * ",W17," * ",X17)</f>
        <v>60 * 40 * 30</v>
      </c>
      <c r="E17" s="9">
        <f>V17*W17*X17*C17/1000000</f>
        <v>0.64800000000000002</v>
      </c>
      <c r="F17" s="119"/>
      <c r="G17" s="119"/>
      <c r="H17" s="10"/>
      <c r="I17" s="10"/>
      <c r="J17" s="10"/>
      <c r="K17" s="10"/>
      <c r="L17" s="10"/>
      <c r="M17" s="10">
        <v>30</v>
      </c>
      <c r="N17" s="8">
        <f t="shared" si="1"/>
        <v>30</v>
      </c>
      <c r="O17" s="8">
        <f>N17*C17</f>
        <v>270</v>
      </c>
      <c r="P17" s="11">
        <v>0.60699999999999998</v>
      </c>
      <c r="Q17" s="9">
        <f t="shared" si="3"/>
        <v>18.21</v>
      </c>
      <c r="R17" s="9">
        <f t="shared" si="4"/>
        <v>19.810000000000002</v>
      </c>
      <c r="S17" s="12">
        <f t="shared" si="8"/>
        <v>163.89000000000001</v>
      </c>
      <c r="T17" s="13">
        <f t="shared" si="9"/>
        <v>178.29000000000002</v>
      </c>
      <c r="U17" s="65"/>
      <c r="V17" s="72">
        <v>60</v>
      </c>
      <c r="W17" s="72">
        <v>40</v>
      </c>
      <c r="X17" s="72">
        <v>30</v>
      </c>
      <c r="Y17" s="1">
        <v>19.8</v>
      </c>
      <c r="Z17" s="1">
        <f>Y17-1.6</f>
        <v>18.2</v>
      </c>
      <c r="AA17" s="77">
        <f>Z17/N17</f>
        <v>0.60666666666666669</v>
      </c>
    </row>
    <row r="18" spans="1:27" ht="21.9" hidden="1" customHeight="1">
      <c r="A18" s="7">
        <f t="shared" si="5"/>
        <v>117</v>
      </c>
      <c r="B18" s="8">
        <f t="shared" si="0"/>
        <v>116</v>
      </c>
      <c r="C18" s="8"/>
      <c r="D18" s="52" t="str">
        <f>CONCATENATE(V18," * ",W18," * ",X18)</f>
        <v>60 * 40 * 30</v>
      </c>
      <c r="E18" s="9">
        <f>V18*W18*X18*C18/1000000</f>
        <v>0</v>
      </c>
      <c r="F18" s="119"/>
      <c r="G18" s="119"/>
      <c r="H18" s="10"/>
      <c r="I18" s="10"/>
      <c r="J18" s="10"/>
      <c r="K18" s="10"/>
      <c r="L18" s="10"/>
      <c r="M18" s="10">
        <v>4</v>
      </c>
      <c r="N18" s="8">
        <f t="shared" si="1"/>
        <v>4</v>
      </c>
      <c r="O18" s="8">
        <f>N18*C18</f>
        <v>0</v>
      </c>
      <c r="P18" s="11">
        <v>0.60699999999999998</v>
      </c>
      <c r="Q18" s="9">
        <f t="shared" si="3"/>
        <v>2.4279999999999999</v>
      </c>
      <c r="R18" s="9">
        <f t="shared" si="4"/>
        <v>4.0280000000000005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  <c r="AA18" s="77"/>
    </row>
    <row r="19" spans="1:27" s="6" customFormat="1" ht="21.9" customHeight="1">
      <c r="A19" s="128" t="s">
        <v>24</v>
      </c>
      <c r="B19" s="129"/>
      <c r="C19" s="14">
        <f>SUM(C7:C18)</f>
        <v>116</v>
      </c>
      <c r="D19" s="14"/>
      <c r="E19" s="15">
        <f>SUM(E7:E18)</f>
        <v>8.2799999999999994</v>
      </c>
      <c r="F19" s="14"/>
      <c r="G19" s="14"/>
      <c r="H19" s="14">
        <f>SUMPRODUCT(H7:H18,$C$7:$C$18)</f>
        <v>650</v>
      </c>
      <c r="I19" s="14">
        <f>SUMPRODUCT(I7:I18,$C$7:$C$18)</f>
        <v>846</v>
      </c>
      <c r="J19" s="14">
        <f>SUMPRODUCT(J7:J18,$C$7:$C$18)</f>
        <v>948</v>
      </c>
      <c r="K19" s="14">
        <f t="shared" ref="K19:L19" si="10">SUMPRODUCT(K7:K18,$C$7:$C$18)</f>
        <v>662</v>
      </c>
      <c r="L19" s="14">
        <f t="shared" si="10"/>
        <v>358</v>
      </c>
      <c r="M19" s="14">
        <f>SUMPRODUCT(M7:M18,$C$7:$C$18)</f>
        <v>270</v>
      </c>
      <c r="N19" s="14" t="s">
        <v>0</v>
      </c>
      <c r="O19" s="14">
        <f>SUM(O7:O18)</f>
        <v>3734</v>
      </c>
      <c r="P19" s="15"/>
      <c r="Q19" s="15"/>
      <c r="R19" s="15"/>
      <c r="S19" s="15">
        <f>SUM(S7:S18)</f>
        <v>2013.962</v>
      </c>
      <c r="T19" s="50">
        <f>SUM(T7:T18)</f>
        <v>2199.5620000000004</v>
      </c>
      <c r="U19" s="66"/>
      <c r="V19" s="5"/>
      <c r="W19" s="5"/>
      <c r="X19" s="5"/>
      <c r="AA19" s="78"/>
    </row>
    <row r="20" spans="1:27" s="6" customFormat="1" ht="30" customHeight="1">
      <c r="A20" s="120" t="s">
        <v>12</v>
      </c>
      <c r="B20" s="121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7" ht="21.9" customHeight="1">
      <c r="A21" s="7">
        <f>B18+1</f>
        <v>117</v>
      </c>
      <c r="B21" s="8">
        <f t="shared" ref="B21:B32" si="12">C21+A21-1</f>
        <v>136</v>
      </c>
      <c r="C21" s="8">
        <v>20</v>
      </c>
      <c r="D21" s="52" t="str">
        <f>CONCATENATE(V21," * ",W21," * ",X21)</f>
        <v>60 * 40 * 30</v>
      </c>
      <c r="E21" s="9">
        <f>V21*W21*X21*C21/1000000</f>
        <v>1.44</v>
      </c>
      <c r="F21" s="118" t="s">
        <v>39</v>
      </c>
      <c r="G21" s="118" t="s">
        <v>62</v>
      </c>
      <c r="H21" s="10">
        <v>35</v>
      </c>
      <c r="I21" s="10"/>
      <c r="J21" s="10"/>
      <c r="K21" s="10"/>
      <c r="L21" s="10"/>
      <c r="M21" s="10"/>
      <c r="N21" s="8">
        <f>SUM(H21:M21)</f>
        <v>35</v>
      </c>
      <c r="O21" s="8">
        <f>N21*C21</f>
        <v>700</v>
      </c>
      <c r="P21" s="11">
        <v>0.51700000000000002</v>
      </c>
      <c r="Q21" s="9">
        <f t="shared" ref="Q21:Q32" si="13">P21*N21</f>
        <v>18.094999999999999</v>
      </c>
      <c r="R21" s="9">
        <f t="shared" ref="R21:R32" si="14">Q21+1.6</f>
        <v>19.695</v>
      </c>
      <c r="S21" s="12">
        <f>+Q21*C21</f>
        <v>361.9</v>
      </c>
      <c r="T21" s="13">
        <f>+R21*C21</f>
        <v>393.9</v>
      </c>
      <c r="U21" s="65"/>
      <c r="V21" s="72">
        <v>60</v>
      </c>
      <c r="W21" s="72">
        <v>40</v>
      </c>
      <c r="X21" s="72">
        <v>30</v>
      </c>
      <c r="Y21" s="1">
        <v>19.7</v>
      </c>
      <c r="Z21" s="1">
        <f>Y21-1.6</f>
        <v>18.099999999999998</v>
      </c>
      <c r="AA21" s="77">
        <f>Z21/N21</f>
        <v>0.51714285714285713</v>
      </c>
    </row>
    <row r="22" spans="1:27" ht="21.9" customHeight="1">
      <c r="A22" s="7">
        <f>B21+1</f>
        <v>137</v>
      </c>
      <c r="B22" s="8">
        <f t="shared" si="12"/>
        <v>137</v>
      </c>
      <c r="C22" s="8">
        <v>1</v>
      </c>
      <c r="D22" s="52" t="str">
        <f>CONCATENATE(V22," * ",W22," * ",X22)</f>
        <v>60 * 40 * 30</v>
      </c>
      <c r="E22" s="9">
        <f>V22*W22*X22*C22/1000000</f>
        <v>7.1999999999999995E-2</v>
      </c>
      <c r="F22" s="119"/>
      <c r="G22" s="119"/>
      <c r="H22" s="10">
        <v>25</v>
      </c>
      <c r="I22" s="10"/>
      <c r="J22" s="10"/>
      <c r="K22" s="10"/>
      <c r="L22" s="10"/>
      <c r="M22" s="10"/>
      <c r="N22" s="8">
        <f t="shared" ref="N22:N32" si="15">SUM(H22:M22)</f>
        <v>25</v>
      </c>
      <c r="O22" s="8">
        <f t="shared" ref="O22:O32" si="16">N22*C22</f>
        <v>25</v>
      </c>
      <c r="P22" s="11">
        <v>0.51700000000000002</v>
      </c>
      <c r="Q22" s="9">
        <f t="shared" si="13"/>
        <v>12.925000000000001</v>
      </c>
      <c r="R22" s="9">
        <f t="shared" si="14"/>
        <v>14.525</v>
      </c>
      <c r="S22" s="12">
        <f>+Q22*C22</f>
        <v>12.925000000000001</v>
      </c>
      <c r="T22" s="13">
        <f>+R22*C22</f>
        <v>14.525</v>
      </c>
      <c r="U22" s="65"/>
      <c r="V22" s="72">
        <v>60</v>
      </c>
      <c r="W22" s="72">
        <v>40</v>
      </c>
      <c r="X22" s="72">
        <v>30</v>
      </c>
      <c r="AA22" s="77"/>
    </row>
    <row r="23" spans="1:27" ht="21.9" customHeight="1">
      <c r="A23" s="7">
        <f t="shared" ref="A23:A32" si="17">B22+1</f>
        <v>138</v>
      </c>
      <c r="B23" s="8">
        <f t="shared" si="12"/>
        <v>163</v>
      </c>
      <c r="C23" s="8">
        <v>26</v>
      </c>
      <c r="D23" s="52" t="str">
        <f t="shared" ref="D23:D32" si="18">CONCATENATE(V23," * ",W23," * ",X23)</f>
        <v>60 * 40 * 30</v>
      </c>
      <c r="E23" s="9">
        <f t="shared" ref="E23:E32" si="19">V23*W23*X23*C23/1000000</f>
        <v>1.8720000000000001</v>
      </c>
      <c r="F23" s="119"/>
      <c r="G23" s="119"/>
      <c r="H23" s="10"/>
      <c r="I23" s="10">
        <v>35</v>
      </c>
      <c r="J23" s="10"/>
      <c r="K23" s="10"/>
      <c r="L23" s="10"/>
      <c r="M23" s="10"/>
      <c r="N23" s="8">
        <f t="shared" si="15"/>
        <v>35</v>
      </c>
      <c r="O23" s="8">
        <f t="shared" si="16"/>
        <v>910</v>
      </c>
      <c r="P23" s="11">
        <v>0.53700000000000003</v>
      </c>
      <c r="Q23" s="9">
        <f t="shared" si="13"/>
        <v>18.795000000000002</v>
      </c>
      <c r="R23" s="9">
        <f t="shared" si="14"/>
        <v>20.395000000000003</v>
      </c>
      <c r="S23" s="12">
        <f t="shared" ref="S23:S32" si="20">+Q23*C23</f>
        <v>488.67000000000007</v>
      </c>
      <c r="T23" s="13">
        <f t="shared" ref="T23:T32" si="21">+R23*C23</f>
        <v>530.2700000000001</v>
      </c>
      <c r="U23" s="65"/>
      <c r="V23" s="72">
        <v>60</v>
      </c>
      <c r="W23" s="72">
        <v>40</v>
      </c>
      <c r="X23" s="72">
        <v>30</v>
      </c>
      <c r="Y23" s="1">
        <v>20.399999999999999</v>
      </c>
      <c r="Z23" s="1">
        <f>Y23-1.6</f>
        <v>18.799999999999997</v>
      </c>
      <c r="AA23" s="77">
        <f>Z23/N23</f>
        <v>0.53714285714285703</v>
      </c>
    </row>
    <row r="24" spans="1:27" ht="21.9" customHeight="1">
      <c r="A24" s="7">
        <f t="shared" si="17"/>
        <v>164</v>
      </c>
      <c r="B24" s="8">
        <f t="shared" si="12"/>
        <v>164</v>
      </c>
      <c r="C24" s="8">
        <v>1</v>
      </c>
      <c r="D24" s="52" t="str">
        <f t="shared" si="18"/>
        <v>60 * 40 * 30</v>
      </c>
      <c r="E24" s="9">
        <f t="shared" si="19"/>
        <v>7.1999999999999995E-2</v>
      </c>
      <c r="F24" s="119"/>
      <c r="G24" s="119"/>
      <c r="H24" s="10"/>
      <c r="I24" s="10">
        <v>24</v>
      </c>
      <c r="J24" s="10"/>
      <c r="K24" s="10"/>
      <c r="L24" s="10"/>
      <c r="M24" s="10"/>
      <c r="N24" s="8">
        <f t="shared" si="15"/>
        <v>24</v>
      </c>
      <c r="O24" s="8">
        <f t="shared" si="16"/>
        <v>24</v>
      </c>
      <c r="P24" s="11">
        <v>0.53700000000000003</v>
      </c>
      <c r="Q24" s="9">
        <f t="shared" si="13"/>
        <v>12.888000000000002</v>
      </c>
      <c r="R24" s="9">
        <f t="shared" si="14"/>
        <v>14.488000000000001</v>
      </c>
      <c r="S24" s="12">
        <f t="shared" si="20"/>
        <v>12.888000000000002</v>
      </c>
      <c r="T24" s="13">
        <f t="shared" si="21"/>
        <v>14.488000000000001</v>
      </c>
      <c r="U24" s="65"/>
      <c r="V24" s="72">
        <v>60</v>
      </c>
      <c r="W24" s="72">
        <v>40</v>
      </c>
      <c r="X24" s="72">
        <v>30</v>
      </c>
      <c r="AA24" s="77"/>
    </row>
    <row r="25" spans="1:27" ht="21.9" customHeight="1">
      <c r="A25" s="7">
        <f t="shared" si="17"/>
        <v>165</v>
      </c>
      <c r="B25" s="8">
        <f t="shared" si="12"/>
        <v>198</v>
      </c>
      <c r="C25" s="8">
        <v>34</v>
      </c>
      <c r="D25" s="52" t="str">
        <f t="shared" si="18"/>
        <v>60 * 40 * 30</v>
      </c>
      <c r="E25" s="9">
        <f t="shared" si="19"/>
        <v>2.448</v>
      </c>
      <c r="F25" s="119"/>
      <c r="G25" s="119"/>
      <c r="H25" s="10"/>
      <c r="I25" s="10"/>
      <c r="J25" s="10">
        <v>32</v>
      </c>
      <c r="K25" s="10"/>
      <c r="L25" s="10"/>
      <c r="M25" s="10"/>
      <c r="N25" s="8">
        <f t="shared" si="15"/>
        <v>32</v>
      </c>
      <c r="O25" s="8">
        <f t="shared" si="16"/>
        <v>1088</v>
      </c>
      <c r="P25" s="11">
        <v>0.55900000000000005</v>
      </c>
      <c r="Q25" s="9">
        <f t="shared" si="13"/>
        <v>17.888000000000002</v>
      </c>
      <c r="R25" s="9">
        <f t="shared" si="14"/>
        <v>19.488000000000003</v>
      </c>
      <c r="S25" s="12">
        <f t="shared" si="20"/>
        <v>608.19200000000001</v>
      </c>
      <c r="T25" s="13">
        <f t="shared" si="21"/>
        <v>662.5920000000001</v>
      </c>
      <c r="U25" s="65"/>
      <c r="V25" s="72">
        <v>60</v>
      </c>
      <c r="W25" s="72">
        <v>40</v>
      </c>
      <c r="X25" s="72">
        <v>30</v>
      </c>
      <c r="Y25" s="1">
        <v>19.5</v>
      </c>
      <c r="Z25" s="1">
        <f>Y25-1.6</f>
        <v>17.899999999999999</v>
      </c>
      <c r="AA25" s="77">
        <f>Z25/N25</f>
        <v>0.55937499999999996</v>
      </c>
    </row>
    <row r="26" spans="1:27" ht="21.9" customHeight="1">
      <c r="A26" s="7">
        <f t="shared" si="17"/>
        <v>199</v>
      </c>
      <c r="B26" s="8">
        <f t="shared" si="12"/>
        <v>199</v>
      </c>
      <c r="C26" s="8">
        <v>1</v>
      </c>
      <c r="D26" s="52" t="str">
        <f t="shared" si="18"/>
        <v>60 * 40 * 10</v>
      </c>
      <c r="E26" s="9">
        <f t="shared" si="19"/>
        <v>2.4E-2</v>
      </c>
      <c r="F26" s="119"/>
      <c r="G26" s="119"/>
      <c r="H26" s="10"/>
      <c r="I26" s="10"/>
      <c r="J26" s="10">
        <v>9</v>
      </c>
      <c r="K26" s="10"/>
      <c r="L26" s="10"/>
      <c r="M26" s="10"/>
      <c r="N26" s="8">
        <f t="shared" si="15"/>
        <v>9</v>
      </c>
      <c r="O26" s="8">
        <f t="shared" si="16"/>
        <v>9</v>
      </c>
      <c r="P26" s="11">
        <v>0.55900000000000005</v>
      </c>
      <c r="Q26" s="9">
        <f t="shared" si="13"/>
        <v>5.0310000000000006</v>
      </c>
      <c r="R26" s="9">
        <f t="shared" si="14"/>
        <v>6.6310000000000002</v>
      </c>
      <c r="S26" s="12">
        <f t="shared" si="20"/>
        <v>5.0310000000000006</v>
      </c>
      <c r="T26" s="13">
        <f t="shared" si="21"/>
        <v>6.6310000000000002</v>
      </c>
      <c r="U26" s="65"/>
      <c r="V26" s="72">
        <v>60</v>
      </c>
      <c r="W26" s="72">
        <v>40</v>
      </c>
      <c r="X26" s="72">
        <v>10</v>
      </c>
      <c r="AA26" s="77"/>
    </row>
    <row r="27" spans="1:27" ht="21.9" customHeight="1">
      <c r="A27" s="7">
        <f t="shared" si="17"/>
        <v>200</v>
      </c>
      <c r="B27" s="8">
        <f t="shared" si="12"/>
        <v>220</v>
      </c>
      <c r="C27" s="8">
        <v>21</v>
      </c>
      <c r="D27" s="52" t="str">
        <f t="shared" si="18"/>
        <v>60 * 40 * 30</v>
      </c>
      <c r="E27" s="9">
        <f t="shared" si="19"/>
        <v>1.512</v>
      </c>
      <c r="F27" s="119"/>
      <c r="G27" s="119"/>
      <c r="H27" s="10"/>
      <c r="I27" s="10"/>
      <c r="J27" s="10"/>
      <c r="K27" s="10">
        <v>32</v>
      </c>
      <c r="L27" s="10"/>
      <c r="M27" s="10"/>
      <c r="N27" s="8">
        <f t="shared" si="15"/>
        <v>32</v>
      </c>
      <c r="O27" s="8">
        <f t="shared" si="16"/>
        <v>672</v>
      </c>
      <c r="P27" s="11">
        <v>0.57799999999999996</v>
      </c>
      <c r="Q27" s="9">
        <f t="shared" si="13"/>
        <v>18.495999999999999</v>
      </c>
      <c r="R27" s="9">
        <f t="shared" si="14"/>
        <v>20.096</v>
      </c>
      <c r="S27" s="12">
        <f t="shared" si="20"/>
        <v>388.416</v>
      </c>
      <c r="T27" s="13">
        <f t="shared" si="21"/>
        <v>422.01600000000002</v>
      </c>
      <c r="U27" s="65"/>
      <c r="V27" s="72">
        <v>60</v>
      </c>
      <c r="W27" s="72">
        <v>40</v>
      </c>
      <c r="X27" s="72">
        <v>30</v>
      </c>
      <c r="Y27" s="1">
        <v>20.100000000000001</v>
      </c>
      <c r="Z27" s="1">
        <f>Y27-1.6</f>
        <v>18.5</v>
      </c>
      <c r="AA27" s="77">
        <f>Z27/N27</f>
        <v>0.578125</v>
      </c>
    </row>
    <row r="28" spans="1:27" ht="21.9" customHeight="1">
      <c r="A28" s="7">
        <f t="shared" si="17"/>
        <v>221</v>
      </c>
      <c r="B28" s="8">
        <f t="shared" si="12"/>
        <v>221</v>
      </c>
      <c r="C28" s="8">
        <v>1</v>
      </c>
      <c r="D28" s="52" t="str">
        <f t="shared" si="18"/>
        <v>60 * 40 * 10</v>
      </c>
      <c r="E28" s="9">
        <f t="shared" si="19"/>
        <v>2.4E-2</v>
      </c>
      <c r="F28" s="119"/>
      <c r="G28" s="119"/>
      <c r="H28" s="10"/>
      <c r="I28" s="10"/>
      <c r="J28" s="10"/>
      <c r="K28" s="10">
        <v>5</v>
      </c>
      <c r="L28" s="10"/>
      <c r="M28" s="10"/>
      <c r="N28" s="8">
        <f t="shared" si="15"/>
        <v>5</v>
      </c>
      <c r="O28" s="8">
        <f t="shared" si="16"/>
        <v>5</v>
      </c>
      <c r="P28" s="11">
        <v>0.57799999999999996</v>
      </c>
      <c r="Q28" s="9">
        <f t="shared" si="13"/>
        <v>2.8899999999999997</v>
      </c>
      <c r="R28" s="9">
        <f t="shared" si="14"/>
        <v>4.49</v>
      </c>
      <c r="S28" s="12">
        <f t="shared" si="20"/>
        <v>2.8899999999999997</v>
      </c>
      <c r="T28" s="13">
        <f t="shared" si="21"/>
        <v>4.49</v>
      </c>
      <c r="U28" s="65"/>
      <c r="V28" s="72">
        <v>60</v>
      </c>
      <c r="W28" s="72">
        <v>40</v>
      </c>
      <c r="X28" s="72">
        <v>10</v>
      </c>
      <c r="AA28" s="77"/>
    </row>
    <row r="29" spans="1:27" ht="21.9" customHeight="1">
      <c r="A29" s="7">
        <f t="shared" si="17"/>
        <v>222</v>
      </c>
      <c r="B29" s="8">
        <f t="shared" si="12"/>
        <v>237</v>
      </c>
      <c r="C29" s="8">
        <v>16</v>
      </c>
      <c r="D29" s="52" t="str">
        <f t="shared" si="18"/>
        <v>60 * 40 * 30</v>
      </c>
      <c r="E29" s="9">
        <f t="shared" si="19"/>
        <v>1.1519999999999999</v>
      </c>
      <c r="F29" s="119"/>
      <c r="G29" s="119"/>
      <c r="H29" s="10"/>
      <c r="I29" s="10"/>
      <c r="J29" s="10"/>
      <c r="K29" s="10"/>
      <c r="L29" s="10">
        <v>30</v>
      </c>
      <c r="M29" s="10"/>
      <c r="N29" s="8">
        <f t="shared" si="15"/>
        <v>30</v>
      </c>
      <c r="O29" s="8">
        <f>N29*C29</f>
        <v>480</v>
      </c>
      <c r="P29" s="11">
        <v>0.60699999999999998</v>
      </c>
      <c r="Q29" s="9">
        <f t="shared" si="13"/>
        <v>18.21</v>
      </c>
      <c r="R29" s="9">
        <f t="shared" si="14"/>
        <v>19.810000000000002</v>
      </c>
      <c r="S29" s="12">
        <f t="shared" si="20"/>
        <v>291.36</v>
      </c>
      <c r="T29" s="13">
        <f t="shared" si="21"/>
        <v>316.96000000000004</v>
      </c>
      <c r="U29" s="65"/>
      <c r="V29" s="72">
        <v>60</v>
      </c>
      <c r="W29" s="72">
        <v>40</v>
      </c>
      <c r="X29" s="72">
        <v>30</v>
      </c>
      <c r="Y29" s="1">
        <v>19.8</v>
      </c>
      <c r="Z29" s="1">
        <f>Y29-1.6</f>
        <v>18.2</v>
      </c>
      <c r="AA29" s="77">
        <f>Z29/N29</f>
        <v>0.60666666666666669</v>
      </c>
    </row>
    <row r="30" spans="1:27" ht="21.9" customHeight="1">
      <c r="A30" s="7">
        <f t="shared" si="17"/>
        <v>238</v>
      </c>
      <c r="B30" s="8">
        <f t="shared" si="12"/>
        <v>238</v>
      </c>
      <c r="C30" s="8">
        <v>1</v>
      </c>
      <c r="D30" s="52" t="str">
        <f t="shared" si="18"/>
        <v>60 * 40 * 20</v>
      </c>
      <c r="E30" s="9">
        <f t="shared" si="19"/>
        <v>4.8000000000000001E-2</v>
      </c>
      <c r="F30" s="119"/>
      <c r="G30" s="119"/>
      <c r="H30" s="10"/>
      <c r="I30" s="10"/>
      <c r="J30" s="10"/>
      <c r="K30" s="10"/>
      <c r="L30" s="10">
        <v>12</v>
      </c>
      <c r="M30" s="10"/>
      <c r="N30" s="8">
        <f t="shared" si="15"/>
        <v>12</v>
      </c>
      <c r="O30" s="8">
        <f>N30*C30</f>
        <v>12</v>
      </c>
      <c r="P30" s="11">
        <v>0.60699999999999998</v>
      </c>
      <c r="Q30" s="9">
        <f t="shared" si="13"/>
        <v>7.2839999999999998</v>
      </c>
      <c r="R30" s="9">
        <f t="shared" si="14"/>
        <v>8.8840000000000003</v>
      </c>
      <c r="S30" s="12">
        <f t="shared" si="20"/>
        <v>7.2839999999999998</v>
      </c>
      <c r="T30" s="13">
        <f t="shared" si="21"/>
        <v>8.8840000000000003</v>
      </c>
      <c r="U30" s="65"/>
      <c r="V30" s="72">
        <v>60</v>
      </c>
      <c r="W30" s="72">
        <v>40</v>
      </c>
      <c r="X30" s="72">
        <v>20</v>
      </c>
      <c r="AA30" s="77"/>
    </row>
    <row r="31" spans="1:27" ht="21.9" customHeight="1">
      <c r="A31" s="7">
        <f t="shared" si="17"/>
        <v>239</v>
      </c>
      <c r="B31" s="8">
        <f t="shared" si="12"/>
        <v>251</v>
      </c>
      <c r="C31" s="8">
        <v>13</v>
      </c>
      <c r="D31" s="52" t="str">
        <f t="shared" si="18"/>
        <v>60 * 40 * 30</v>
      </c>
      <c r="E31" s="9">
        <f t="shared" si="19"/>
        <v>0.93600000000000005</v>
      </c>
      <c r="F31" s="119"/>
      <c r="G31" s="119"/>
      <c r="H31" s="10"/>
      <c r="I31" s="10"/>
      <c r="J31" s="10"/>
      <c r="K31" s="10"/>
      <c r="L31" s="10"/>
      <c r="M31" s="10">
        <v>30</v>
      </c>
      <c r="N31" s="8">
        <f t="shared" si="15"/>
        <v>30</v>
      </c>
      <c r="O31" s="8">
        <f t="shared" si="16"/>
        <v>390</v>
      </c>
      <c r="P31" s="11">
        <v>0.63</v>
      </c>
      <c r="Q31" s="9">
        <f t="shared" si="13"/>
        <v>18.899999999999999</v>
      </c>
      <c r="R31" s="9">
        <f t="shared" si="14"/>
        <v>20.5</v>
      </c>
      <c r="S31" s="12">
        <f t="shared" si="20"/>
        <v>245.7</v>
      </c>
      <c r="T31" s="13">
        <f t="shared" si="21"/>
        <v>266.5</v>
      </c>
      <c r="U31" s="65"/>
      <c r="V31" s="72">
        <v>60</v>
      </c>
      <c r="W31" s="72">
        <v>40</v>
      </c>
      <c r="X31" s="72">
        <v>30</v>
      </c>
      <c r="Y31" s="1">
        <v>20.5</v>
      </c>
      <c r="Z31" s="1">
        <f>Y31-1.6</f>
        <v>18.899999999999999</v>
      </c>
      <c r="AA31" s="77">
        <f>Z31/N31</f>
        <v>0.63</v>
      </c>
    </row>
    <row r="32" spans="1:27" ht="21.9" customHeight="1">
      <c r="A32" s="7">
        <f t="shared" si="17"/>
        <v>252</v>
      </c>
      <c r="B32" s="8">
        <f t="shared" si="12"/>
        <v>252</v>
      </c>
      <c r="C32" s="8">
        <v>1</v>
      </c>
      <c r="D32" s="52" t="str">
        <f t="shared" si="18"/>
        <v>60 * 40 * 20</v>
      </c>
      <c r="E32" s="9">
        <f t="shared" si="19"/>
        <v>4.8000000000000001E-2</v>
      </c>
      <c r="F32" s="119"/>
      <c r="G32" s="119"/>
      <c r="H32" s="10"/>
      <c r="I32" s="10"/>
      <c r="J32" s="10"/>
      <c r="K32" s="10"/>
      <c r="L32" s="10"/>
      <c r="M32" s="10">
        <v>19</v>
      </c>
      <c r="N32" s="8">
        <f t="shared" si="15"/>
        <v>19</v>
      </c>
      <c r="O32" s="8">
        <f t="shared" si="16"/>
        <v>19</v>
      </c>
      <c r="P32" s="11">
        <v>0.63</v>
      </c>
      <c r="Q32" s="9">
        <f t="shared" si="13"/>
        <v>11.97</v>
      </c>
      <c r="R32" s="9">
        <f t="shared" si="14"/>
        <v>13.57</v>
      </c>
      <c r="S32" s="12">
        <f t="shared" si="20"/>
        <v>11.97</v>
      </c>
      <c r="T32" s="13">
        <f t="shared" si="21"/>
        <v>13.57</v>
      </c>
      <c r="U32" s="65"/>
      <c r="V32" s="72">
        <v>60</v>
      </c>
      <c r="W32" s="72">
        <v>40</v>
      </c>
      <c r="X32" s="72">
        <v>20</v>
      </c>
      <c r="AA32" s="77"/>
    </row>
    <row r="33" spans="1:24" s="6" customFormat="1" ht="21.9" customHeight="1">
      <c r="A33" s="128" t="s">
        <v>24</v>
      </c>
      <c r="B33" s="129"/>
      <c r="C33" s="14">
        <f>SUM(C21:C32)</f>
        <v>136</v>
      </c>
      <c r="D33" s="14"/>
      <c r="E33" s="15">
        <f>SUM(E21:E32)</f>
        <v>9.6479999999999997</v>
      </c>
      <c r="F33" s="14"/>
      <c r="G33" s="14"/>
      <c r="H33" s="14">
        <f>SUMPRODUCT(H21:H32,$C$21:$C$32)</f>
        <v>725</v>
      </c>
      <c r="I33" s="14">
        <f t="shared" ref="I33:M33" si="22">SUMPRODUCT(I21:I32,$C$21:$C$32)</f>
        <v>934</v>
      </c>
      <c r="J33" s="14">
        <f t="shared" si="22"/>
        <v>1097</v>
      </c>
      <c r="K33" s="14">
        <f t="shared" si="22"/>
        <v>677</v>
      </c>
      <c r="L33" s="14">
        <f t="shared" si="22"/>
        <v>492</v>
      </c>
      <c r="M33" s="14">
        <f t="shared" si="22"/>
        <v>409</v>
      </c>
      <c r="N33" s="14" t="s">
        <v>0</v>
      </c>
      <c r="O33" s="14">
        <f>SUM(O21:O32)</f>
        <v>4334</v>
      </c>
      <c r="P33" s="15"/>
      <c r="Q33" s="15"/>
      <c r="R33" s="15"/>
      <c r="S33" s="15">
        <f>SUM(S21:S32)</f>
        <v>2437.2260000000001</v>
      </c>
      <c r="T33" s="50">
        <f>SUM(T21:T32)</f>
        <v>2654.8260000000005</v>
      </c>
      <c r="U33" s="66"/>
      <c r="V33" s="5"/>
      <c r="W33" s="5"/>
      <c r="X33" s="5"/>
    </row>
    <row r="34" spans="1:24" s="6" customFormat="1" ht="15.6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67"/>
      <c r="V34" s="5"/>
      <c r="W34" s="5"/>
      <c r="X34" s="5"/>
    </row>
    <row r="35" spans="1:24" s="19" customFormat="1" ht="20.100000000000001" customHeight="1">
      <c r="A35" s="132" t="s">
        <v>36</v>
      </c>
      <c r="B35" s="133"/>
      <c r="C35" s="17">
        <f>SUM(C33,C19)</f>
        <v>252</v>
      </c>
      <c r="D35" s="17" t="s">
        <v>37</v>
      </c>
      <c r="E35" s="18">
        <f>SUM(E33,E19)</f>
        <v>17.927999999999997</v>
      </c>
      <c r="F35" s="17"/>
      <c r="G35" s="17"/>
      <c r="H35" s="17">
        <f t="shared" ref="H35:M35" si="23">SUM(H33,H19)</f>
        <v>1375</v>
      </c>
      <c r="I35" s="17">
        <f t="shared" si="23"/>
        <v>1780</v>
      </c>
      <c r="J35" s="17">
        <f t="shared" si="23"/>
        <v>2045</v>
      </c>
      <c r="K35" s="17">
        <f t="shared" si="23"/>
        <v>1339</v>
      </c>
      <c r="L35" s="17">
        <f t="shared" si="23"/>
        <v>850</v>
      </c>
      <c r="M35" s="17">
        <f t="shared" si="23"/>
        <v>679</v>
      </c>
      <c r="N35" s="17"/>
      <c r="O35" s="17">
        <f>SUM(O33,O19)</f>
        <v>8068</v>
      </c>
      <c r="P35" s="17"/>
      <c r="Q35" s="17"/>
      <c r="R35" s="17"/>
      <c r="S35" s="18">
        <f t="shared" ref="S35:T35" si="24">SUM(S33,S19)</f>
        <v>4451.1880000000001</v>
      </c>
      <c r="T35" s="18">
        <f t="shared" si="24"/>
        <v>4854.3880000000008</v>
      </c>
      <c r="U35" s="68"/>
      <c r="V35" s="5"/>
      <c r="W35" s="5"/>
      <c r="X35" s="5"/>
    </row>
    <row r="36" spans="1:24" ht="30.75" customHeight="1" thickBot="1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3"/>
      <c r="U36" s="22"/>
    </row>
    <row r="37" spans="1:24" ht="24.9" customHeight="1" thickBot="1">
      <c r="A37" s="20"/>
      <c r="B37" s="21"/>
      <c r="C37" s="21"/>
      <c r="D37" s="24" t="s">
        <v>25</v>
      </c>
      <c r="E37" s="25"/>
      <c r="F37" s="25" t="s">
        <v>15</v>
      </c>
      <c r="G37" s="25"/>
      <c r="H37" s="26">
        <f t="shared" ref="H37:M37" si="25">+H6</f>
        <v>32</v>
      </c>
      <c r="I37" s="26">
        <f t="shared" si="25"/>
        <v>34</v>
      </c>
      <c r="J37" s="26">
        <f t="shared" si="25"/>
        <v>36</v>
      </c>
      <c r="K37" s="26">
        <f t="shared" si="25"/>
        <v>38</v>
      </c>
      <c r="L37" s="26">
        <f t="shared" si="25"/>
        <v>40</v>
      </c>
      <c r="M37" s="26">
        <f t="shared" si="25"/>
        <v>42</v>
      </c>
      <c r="N37" s="27" t="s">
        <v>26</v>
      </c>
      <c r="O37" s="73"/>
      <c r="P37" s="134"/>
      <c r="Q37" s="134"/>
      <c r="R37" s="135"/>
      <c r="S37" s="135"/>
      <c r="T37" s="136"/>
      <c r="U37" s="51"/>
    </row>
    <row r="38" spans="1:24" ht="24.9" customHeight="1">
      <c r="A38" s="20"/>
      <c r="B38" s="21"/>
      <c r="C38" s="21"/>
      <c r="D38" s="28" t="s">
        <v>27</v>
      </c>
      <c r="E38" s="29"/>
      <c r="F38" s="111" t="str">
        <f>+F7</f>
        <v>Germany</v>
      </c>
      <c r="G38" s="111" t="str">
        <f>+G7</f>
        <v>VeryLight
Bleached Indigo Wash (EHBS)</v>
      </c>
      <c r="H38" s="29">
        <v>659</v>
      </c>
      <c r="I38" s="29">
        <v>848</v>
      </c>
      <c r="J38" s="29">
        <v>957</v>
      </c>
      <c r="K38" s="29">
        <v>669</v>
      </c>
      <c r="L38" s="29">
        <v>365</v>
      </c>
      <c r="M38" s="29">
        <v>304</v>
      </c>
      <c r="N38" s="30">
        <f>SUM(H38:M38)</f>
        <v>3802</v>
      </c>
      <c r="O38" s="74"/>
      <c r="P38" s="31" t="s">
        <v>28</v>
      </c>
      <c r="Q38" s="31" t="s">
        <v>29</v>
      </c>
      <c r="R38" s="31" t="s">
        <v>30</v>
      </c>
      <c r="S38" s="11" t="s">
        <v>31</v>
      </c>
      <c r="T38" s="32" t="s">
        <v>32</v>
      </c>
      <c r="U38" s="69"/>
    </row>
    <row r="39" spans="1:24" ht="24.75" customHeight="1">
      <c r="A39" s="20"/>
      <c r="B39" s="21"/>
      <c r="C39" s="21"/>
      <c r="D39" s="7" t="s">
        <v>33</v>
      </c>
      <c r="E39" s="8"/>
      <c r="F39" s="103"/>
      <c r="G39" s="103"/>
      <c r="H39" s="8">
        <f t="shared" ref="H39:M39" si="26">+H19</f>
        <v>650</v>
      </c>
      <c r="I39" s="8">
        <f t="shared" si="26"/>
        <v>846</v>
      </c>
      <c r="J39" s="8">
        <f t="shared" si="26"/>
        <v>948</v>
      </c>
      <c r="K39" s="8">
        <f t="shared" si="26"/>
        <v>662</v>
      </c>
      <c r="L39" s="8">
        <f t="shared" si="26"/>
        <v>358</v>
      </c>
      <c r="M39" s="8">
        <f t="shared" si="26"/>
        <v>270</v>
      </c>
      <c r="N39" s="33">
        <f>SUM(H39:M39)</f>
        <v>3734</v>
      </c>
      <c r="O39" s="74"/>
      <c r="P39" s="34" t="s">
        <v>63</v>
      </c>
      <c r="Q39" s="8">
        <f>N38</f>
        <v>3802</v>
      </c>
      <c r="R39" s="8">
        <f>N39</f>
        <v>3734</v>
      </c>
      <c r="S39" s="35">
        <f>R39-Q39</f>
        <v>-68</v>
      </c>
      <c r="T39" s="36">
        <f>S39/Q39</f>
        <v>-1.7885323513940031E-2</v>
      </c>
      <c r="U39" s="70"/>
      <c r="V39" s="37"/>
    </row>
    <row r="40" spans="1:24" s="5" customFormat="1" ht="24.75" customHeight="1">
      <c r="A40" s="38"/>
      <c r="B40" s="16"/>
      <c r="C40" s="16"/>
      <c r="D40" s="39" t="s">
        <v>34</v>
      </c>
      <c r="E40" s="31"/>
      <c r="F40" s="103"/>
      <c r="G40" s="31" t="s">
        <v>35</v>
      </c>
      <c r="H40" s="40">
        <f>H39-H38</f>
        <v>-9</v>
      </c>
      <c r="I40" s="40">
        <f t="shared" ref="I40:M40" si="27">I39-I38</f>
        <v>-2</v>
      </c>
      <c r="J40" s="40">
        <f t="shared" si="27"/>
        <v>-9</v>
      </c>
      <c r="K40" s="40">
        <f t="shared" si="27"/>
        <v>-7</v>
      </c>
      <c r="L40" s="40">
        <f t="shared" si="27"/>
        <v>-7</v>
      </c>
      <c r="M40" s="40">
        <f t="shared" si="27"/>
        <v>-34</v>
      </c>
      <c r="N40" s="41">
        <f>N39-N38</f>
        <v>-68</v>
      </c>
      <c r="O40" s="42"/>
      <c r="P40" s="43" t="s">
        <v>64</v>
      </c>
      <c r="Q40" s="10">
        <f>N44</f>
        <v>4391</v>
      </c>
      <c r="R40" s="10">
        <f>N45</f>
        <v>4334</v>
      </c>
      <c r="S40" s="35">
        <f>R40-Q40</f>
        <v>-57</v>
      </c>
      <c r="T40" s="36">
        <f>S40/Q40</f>
        <v>-1.2981097699840584E-2</v>
      </c>
      <c r="U40" s="70"/>
    </row>
    <row r="41" spans="1:24" ht="24.75" customHeight="1" thickBot="1">
      <c r="A41" s="20"/>
      <c r="B41" s="16"/>
      <c r="C41" s="16"/>
      <c r="D41" s="55"/>
      <c r="E41" s="56"/>
      <c r="F41" s="56"/>
      <c r="G41" s="56" t="s">
        <v>32</v>
      </c>
      <c r="H41" s="75">
        <f>H40/H38</f>
        <v>-1.3657056145675266E-2</v>
      </c>
      <c r="I41" s="75">
        <f t="shared" ref="I41:M41" si="28">I40/I38</f>
        <v>-2.3584905660377358E-3</v>
      </c>
      <c r="J41" s="75">
        <f>J40/J38</f>
        <v>-9.4043887147335428E-3</v>
      </c>
      <c r="K41" s="75">
        <f t="shared" si="28"/>
        <v>-1.0463378176382661E-2</v>
      </c>
      <c r="L41" s="75">
        <f t="shared" si="28"/>
        <v>-1.9178082191780823E-2</v>
      </c>
      <c r="M41" s="75">
        <f t="shared" si="28"/>
        <v>-0.1118421052631579</v>
      </c>
      <c r="N41" s="76">
        <f>N40/N38</f>
        <v>-1.7885323513940031E-2</v>
      </c>
      <c r="O41" s="21"/>
      <c r="P41" s="43"/>
      <c r="Q41" s="43"/>
      <c r="R41" s="43"/>
      <c r="S41" s="35"/>
      <c r="T41" s="36"/>
      <c r="U41" s="70"/>
    </row>
    <row r="42" spans="1:24" ht="24.9" customHeight="1" thickBot="1">
      <c r="A42" s="20"/>
      <c r="B42" s="16"/>
      <c r="C42" s="16"/>
      <c r="D42" s="47"/>
      <c r="E42" s="47"/>
      <c r="F42" s="47"/>
      <c r="G42" s="47"/>
      <c r="H42" s="59"/>
      <c r="I42" s="59"/>
      <c r="J42" s="59"/>
      <c r="K42" s="59"/>
      <c r="L42" s="59"/>
      <c r="M42" s="59"/>
      <c r="N42" s="59"/>
      <c r="O42" s="53"/>
      <c r="P42" s="44" t="s">
        <v>45</v>
      </c>
      <c r="Q42" s="44">
        <f>SUM(Q39:Q41)</f>
        <v>8193</v>
      </c>
      <c r="R42" s="44">
        <f>SUM(R39:R41)</f>
        <v>8068</v>
      </c>
      <c r="S42" s="45">
        <f>+R42-Q42</f>
        <v>-125</v>
      </c>
      <c r="T42" s="46">
        <f>+S42/Q42</f>
        <v>-1.5256926644696692E-2</v>
      </c>
      <c r="U42" s="71"/>
    </row>
    <row r="43" spans="1:24" ht="24" customHeight="1" thickBot="1">
      <c r="A43" s="20"/>
      <c r="B43" s="21"/>
      <c r="C43" s="21"/>
      <c r="D43" s="24" t="s">
        <v>25</v>
      </c>
      <c r="E43" s="25"/>
      <c r="F43" s="25" t="s">
        <v>15</v>
      </c>
      <c r="G43" s="25"/>
      <c r="H43" s="26">
        <f t="shared" ref="H43:M43" si="29">H20</f>
        <v>32</v>
      </c>
      <c r="I43" s="26">
        <f t="shared" si="29"/>
        <v>34</v>
      </c>
      <c r="J43" s="26">
        <f t="shared" si="29"/>
        <v>36</v>
      </c>
      <c r="K43" s="26">
        <f t="shared" si="29"/>
        <v>38</v>
      </c>
      <c r="L43" s="26">
        <f t="shared" si="29"/>
        <v>40</v>
      </c>
      <c r="M43" s="26">
        <f t="shared" si="29"/>
        <v>42</v>
      </c>
      <c r="N43" s="27" t="s">
        <v>26</v>
      </c>
      <c r="T43" s="48"/>
    </row>
    <row r="44" spans="1:24" ht="24" customHeight="1">
      <c r="A44" s="60"/>
      <c r="D44" s="28" t="s">
        <v>27</v>
      </c>
      <c r="E44" s="29"/>
      <c r="F44" s="111" t="str">
        <f>F21</f>
        <v>Germany</v>
      </c>
      <c r="G44" s="111" t="str">
        <f>G21</f>
        <v>Denim BlueEHLM2 (LM00)</v>
      </c>
      <c r="H44" s="29">
        <v>704</v>
      </c>
      <c r="I44" s="29">
        <v>948</v>
      </c>
      <c r="J44" s="29">
        <v>1123</v>
      </c>
      <c r="K44" s="29">
        <v>704</v>
      </c>
      <c r="L44" s="29">
        <v>501</v>
      </c>
      <c r="M44" s="29">
        <v>411</v>
      </c>
      <c r="N44" s="30">
        <f>SUM(H44:M44)</f>
        <v>4391</v>
      </c>
      <c r="T44" s="48"/>
    </row>
    <row r="45" spans="1:24" ht="24" customHeight="1">
      <c r="A45" s="60"/>
      <c r="D45" s="7" t="s">
        <v>33</v>
      </c>
      <c r="E45" s="8"/>
      <c r="F45" s="103"/>
      <c r="G45" s="103"/>
      <c r="H45" s="8">
        <f t="shared" ref="H45:M45" si="30">+H33</f>
        <v>725</v>
      </c>
      <c r="I45" s="8">
        <f t="shared" si="30"/>
        <v>934</v>
      </c>
      <c r="J45" s="8">
        <f t="shared" si="30"/>
        <v>1097</v>
      </c>
      <c r="K45" s="8">
        <f t="shared" si="30"/>
        <v>677</v>
      </c>
      <c r="L45" s="8">
        <f t="shared" si="30"/>
        <v>492</v>
      </c>
      <c r="M45" s="8">
        <f t="shared" si="30"/>
        <v>409</v>
      </c>
      <c r="N45" s="33">
        <f>SUM(H45:M45)</f>
        <v>4334</v>
      </c>
      <c r="T45" s="48"/>
    </row>
    <row r="46" spans="1:24" ht="24" customHeight="1">
      <c r="A46" s="60"/>
      <c r="D46" s="39" t="s">
        <v>34</v>
      </c>
      <c r="E46" s="31"/>
      <c r="F46" s="103"/>
      <c r="G46" s="31" t="s">
        <v>35</v>
      </c>
      <c r="H46" s="40">
        <f>H45-H44</f>
        <v>21</v>
      </c>
      <c r="I46" s="40">
        <f t="shared" ref="I46:M46" si="31">I45-I44</f>
        <v>-14</v>
      </c>
      <c r="J46" s="40">
        <f t="shared" si="31"/>
        <v>-26</v>
      </c>
      <c r="K46" s="40">
        <f t="shared" si="31"/>
        <v>-27</v>
      </c>
      <c r="L46" s="40">
        <f t="shared" si="31"/>
        <v>-9</v>
      </c>
      <c r="M46" s="40">
        <f t="shared" si="31"/>
        <v>-2</v>
      </c>
      <c r="N46" s="41">
        <f>N45-N44</f>
        <v>-57</v>
      </c>
      <c r="T46" s="48"/>
    </row>
    <row r="47" spans="1:24" ht="16.2" thickBot="1">
      <c r="A47" s="60"/>
      <c r="D47" s="55"/>
      <c r="E47" s="56"/>
      <c r="F47" s="56"/>
      <c r="G47" s="56" t="s">
        <v>32</v>
      </c>
      <c r="H47" s="57">
        <f>H46/H44</f>
        <v>2.9829545454545456E-2</v>
      </c>
      <c r="I47" s="57">
        <f t="shared" ref="I47:M47" si="32">I46/I44</f>
        <v>-1.4767932489451477E-2</v>
      </c>
      <c r="J47" s="57">
        <f t="shared" si="32"/>
        <v>-2.3152270703472842E-2</v>
      </c>
      <c r="K47" s="57">
        <f t="shared" si="32"/>
        <v>-3.8352272727272728E-2</v>
      </c>
      <c r="L47" s="75">
        <f t="shared" si="32"/>
        <v>-1.7964071856287425E-2</v>
      </c>
      <c r="M47" s="75">
        <f t="shared" si="32"/>
        <v>-4.8661800486618006E-3</v>
      </c>
      <c r="N47" s="58">
        <f>N46/N44</f>
        <v>-1.2981097699840584E-2</v>
      </c>
      <c r="T47" s="48"/>
    </row>
    <row r="48" spans="1:24" ht="15" customHeight="1" thickBot="1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4"/>
    </row>
    <row r="50" ht="9" customHeight="1"/>
  </sheetData>
  <mergeCells count="41"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F21:F32"/>
    <mergeCell ref="G21:G32"/>
    <mergeCell ref="A5:C5"/>
    <mergeCell ref="D5:H5"/>
    <mergeCell ref="I5:K5"/>
    <mergeCell ref="A6:B6"/>
    <mergeCell ref="F7:F18"/>
    <mergeCell ref="G7:G18"/>
    <mergeCell ref="A19:B19"/>
    <mergeCell ref="A20:B20"/>
    <mergeCell ref="F44:F46"/>
    <mergeCell ref="G44:G45"/>
    <mergeCell ref="A33:B33"/>
    <mergeCell ref="A34:T34"/>
    <mergeCell ref="A35:B35"/>
    <mergeCell ref="P37:Q37"/>
    <mergeCell ref="R37:T37"/>
    <mergeCell ref="F38:F40"/>
    <mergeCell ref="G38:G39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0"/>
  <sheetViews>
    <sheetView view="pageBreakPreview" topLeftCell="A15" zoomScale="80" zoomScaleNormal="100" zoomScaleSheetLayoutView="80" workbookViewId="0">
      <selection activeCell="P44" sqref="P44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05" t="s">
        <v>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62"/>
    </row>
    <row r="2" spans="1:28" ht="33.75" customHeight="1">
      <c r="A2" s="110" t="s">
        <v>3</v>
      </c>
      <c r="B2" s="111"/>
      <c r="C2" s="111"/>
      <c r="D2" s="114">
        <f ca="1">TODAY()</f>
        <v>46274</v>
      </c>
      <c r="E2" s="114"/>
      <c r="F2" s="114"/>
      <c r="G2" s="114"/>
      <c r="H2" s="114"/>
      <c r="I2" s="144" t="s">
        <v>2</v>
      </c>
      <c r="J2" s="144"/>
      <c r="K2" s="144"/>
      <c r="L2" s="151" t="str">
        <f>CONCATENATE(G7," &amp; ",G21)</f>
        <v>Bleach Indigo
 (EHBL) &amp; Medium Dark (EHMD)</v>
      </c>
      <c r="M2" s="152"/>
      <c r="N2" s="153"/>
      <c r="O2" s="111" t="s">
        <v>27</v>
      </c>
      <c r="P2" s="111"/>
      <c r="Q2" s="111"/>
      <c r="R2" s="111">
        <f>+Q42</f>
        <v>8543</v>
      </c>
      <c r="S2" s="111"/>
      <c r="T2" s="112"/>
      <c r="U2" s="47"/>
    </row>
    <row r="3" spans="1:28" ht="24" customHeight="1">
      <c r="A3" s="113" t="s">
        <v>4</v>
      </c>
      <c r="B3" s="103"/>
      <c r="C3" s="103"/>
      <c r="D3" s="103" t="s">
        <v>53</v>
      </c>
      <c r="E3" s="103"/>
      <c r="F3" s="103"/>
      <c r="G3" s="103"/>
      <c r="H3" s="103"/>
      <c r="I3" s="103" t="s">
        <v>5</v>
      </c>
      <c r="J3" s="103"/>
      <c r="K3" s="103"/>
      <c r="L3" s="140" t="s">
        <v>55</v>
      </c>
      <c r="M3" s="141"/>
      <c r="N3" s="142"/>
      <c r="O3" s="103" t="s">
        <v>33</v>
      </c>
      <c r="P3" s="103"/>
      <c r="Q3" s="103"/>
      <c r="R3" s="103">
        <f>+R42</f>
        <v>6854</v>
      </c>
      <c r="S3" s="103"/>
      <c r="T3" s="104"/>
      <c r="U3" s="47"/>
    </row>
    <row r="4" spans="1:28" ht="18" customHeight="1">
      <c r="A4" s="113" t="s">
        <v>6</v>
      </c>
      <c r="B4" s="103"/>
      <c r="C4" s="103"/>
      <c r="D4" s="140">
        <v>500081425</v>
      </c>
      <c r="E4" s="141"/>
      <c r="F4" s="141"/>
      <c r="G4" s="141"/>
      <c r="H4" s="142"/>
      <c r="I4" s="103" t="s">
        <v>7</v>
      </c>
      <c r="J4" s="103"/>
      <c r="K4" s="103"/>
      <c r="L4" s="140" t="s">
        <v>54</v>
      </c>
      <c r="M4" s="141"/>
      <c r="N4" s="142"/>
      <c r="O4" s="103" t="s">
        <v>8</v>
      </c>
      <c r="P4" s="103"/>
      <c r="Q4" s="103"/>
      <c r="R4" s="117">
        <f>+S42</f>
        <v>-1689</v>
      </c>
      <c r="S4" s="103"/>
      <c r="T4" s="2">
        <f>(R4/R2)</f>
        <v>-0.19770572398454875</v>
      </c>
      <c r="U4" s="63"/>
    </row>
    <row r="5" spans="1:28" ht="18" customHeight="1">
      <c r="A5" s="113" t="s">
        <v>9</v>
      </c>
      <c r="B5" s="103"/>
      <c r="C5" s="103"/>
      <c r="D5" s="103" t="s">
        <v>48</v>
      </c>
      <c r="E5" s="103"/>
      <c r="F5" s="103"/>
      <c r="G5" s="103"/>
      <c r="H5" s="103"/>
      <c r="I5" s="103" t="s">
        <v>10</v>
      </c>
      <c r="J5" s="103"/>
      <c r="K5" s="103"/>
      <c r="L5" s="137">
        <f>S35</f>
        <v>5229.4680000000008</v>
      </c>
      <c r="M5" s="138"/>
      <c r="N5" s="139"/>
      <c r="O5" s="103" t="s">
        <v>11</v>
      </c>
      <c r="P5" s="103"/>
      <c r="Q5" s="103"/>
      <c r="R5" s="116">
        <f>+T35</f>
        <v>5645.4680000000008</v>
      </c>
      <c r="S5" s="103"/>
      <c r="T5" s="2"/>
      <c r="U5" s="63"/>
    </row>
    <row r="6" spans="1:28" s="6" customFormat="1" ht="30" customHeight="1">
      <c r="A6" s="120" t="s">
        <v>12</v>
      </c>
      <c r="B6" s="121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</row>
    <row r="7" spans="1:28" ht="21.9" customHeight="1">
      <c r="A7" s="7">
        <v>1</v>
      </c>
      <c r="B7" s="8">
        <f t="shared" ref="B7:B18" si="0">C7+A7-1</f>
        <v>9</v>
      </c>
      <c r="C7" s="8">
        <v>9</v>
      </c>
      <c r="D7" s="52" t="str">
        <f>CONCATENATE(V7," * ",W7," * ",X7)</f>
        <v>60 * 40 * 30</v>
      </c>
      <c r="E7" s="9">
        <f>V7*W7*X7*C7/1000000</f>
        <v>0.64800000000000002</v>
      </c>
      <c r="F7" s="118" t="s">
        <v>39</v>
      </c>
      <c r="G7" s="118" t="s">
        <v>49</v>
      </c>
      <c r="H7" s="10">
        <v>28</v>
      </c>
      <c r="I7" s="10"/>
      <c r="J7" s="10"/>
      <c r="K7" s="10"/>
      <c r="L7" s="10"/>
      <c r="M7" s="10"/>
      <c r="N7" s="8">
        <f>SUM(H7:M7)</f>
        <v>28</v>
      </c>
      <c r="O7" s="8">
        <f>N7*C7</f>
        <v>252</v>
      </c>
      <c r="P7" s="11">
        <v>0.70899999999999996</v>
      </c>
      <c r="Q7" s="9">
        <f>P7*N7</f>
        <v>19.852</v>
      </c>
      <c r="R7" s="9">
        <f>Q7+1.6</f>
        <v>21.452000000000002</v>
      </c>
      <c r="S7" s="12">
        <f>+Q7*C7</f>
        <v>178.66800000000001</v>
      </c>
      <c r="T7" s="13">
        <f>+R7*C7</f>
        <v>193.06800000000001</v>
      </c>
      <c r="U7" s="65"/>
      <c r="V7" s="72">
        <v>60</v>
      </c>
      <c r="W7" s="72">
        <v>40</v>
      </c>
      <c r="X7" s="72">
        <v>30</v>
      </c>
      <c r="Y7" s="1">
        <v>21.45</v>
      </c>
      <c r="Z7" s="1">
        <f>Y7-1.6</f>
        <v>19.849999999999998</v>
      </c>
      <c r="AA7" s="77">
        <f>Z7/N7</f>
        <v>0.70892857142857135</v>
      </c>
      <c r="AB7" s="77"/>
    </row>
    <row r="8" spans="1:28" ht="21.9" hidden="1" customHeight="1">
      <c r="A8" s="7">
        <f>B7+1</f>
        <v>10</v>
      </c>
      <c r="B8" s="8">
        <f t="shared" si="0"/>
        <v>9</v>
      </c>
      <c r="C8" s="8"/>
      <c r="D8" s="52" t="str">
        <f>CONCATENATE(V8," * ",W8," * ",X8)</f>
        <v>60 * 40 * 30</v>
      </c>
      <c r="E8" s="9">
        <f>V8*W8*X8*C8/1000000</f>
        <v>0</v>
      </c>
      <c r="F8" s="119"/>
      <c r="G8" s="119"/>
      <c r="H8" s="10">
        <v>5</v>
      </c>
      <c r="I8" s="10"/>
      <c r="J8" s="10"/>
      <c r="K8" s="10"/>
      <c r="L8" s="10"/>
      <c r="M8" s="10"/>
      <c r="N8" s="8">
        <f t="shared" ref="N8:N18" si="1">SUM(H8:M8)</f>
        <v>5</v>
      </c>
      <c r="O8" s="8">
        <f t="shared" ref="O8:O16" si="2">N8*C8</f>
        <v>0</v>
      </c>
      <c r="P8" s="11">
        <v>0.70899999999999996</v>
      </c>
      <c r="Q8" s="9">
        <f t="shared" ref="Q8:Q18" si="3">P8*N8</f>
        <v>3.5449999999999999</v>
      </c>
      <c r="R8" s="9">
        <f t="shared" ref="R8:R18" si="4">Q8+1.6</f>
        <v>5.1449999999999996</v>
      </c>
      <c r="S8" s="12">
        <f>+Q8*C8</f>
        <v>0</v>
      </c>
      <c r="T8" s="13">
        <f>+R8*C8</f>
        <v>0</v>
      </c>
      <c r="U8" s="65"/>
      <c r="V8" s="72">
        <v>60</v>
      </c>
      <c r="W8" s="72">
        <v>40</v>
      </c>
      <c r="X8" s="72">
        <v>30</v>
      </c>
      <c r="AA8" s="77"/>
      <c r="AB8" s="77"/>
    </row>
    <row r="9" spans="1:28" ht="21.9" customHeight="1">
      <c r="A9" s="7">
        <f t="shared" ref="A9:A18" si="5">B8+1</f>
        <v>10</v>
      </c>
      <c r="B9" s="8">
        <f t="shared" si="0"/>
        <v>20</v>
      </c>
      <c r="C9" s="8">
        <v>11</v>
      </c>
      <c r="D9" s="52" t="str">
        <f t="shared" ref="D9:D15" si="6">CONCATENATE(V9," * ",W9," * ",X9)</f>
        <v>60 * 40 * 30</v>
      </c>
      <c r="E9" s="9">
        <f t="shared" ref="E9:E15" si="7">V9*W9*X9*C9/1000000</f>
        <v>0.79200000000000004</v>
      </c>
      <c r="F9" s="119"/>
      <c r="G9" s="119"/>
      <c r="H9" s="10"/>
      <c r="I9" s="10">
        <v>28</v>
      </c>
      <c r="J9" s="10"/>
      <c r="K9" s="10"/>
      <c r="L9" s="10"/>
      <c r="M9" s="10"/>
      <c r="N9" s="8">
        <f t="shared" si="1"/>
        <v>28</v>
      </c>
      <c r="O9" s="8">
        <f t="shared" si="2"/>
        <v>308</v>
      </c>
      <c r="P9" s="11">
        <v>0.72899999999999998</v>
      </c>
      <c r="Q9" s="9">
        <f t="shared" si="3"/>
        <v>20.411999999999999</v>
      </c>
      <c r="R9" s="9">
        <f t="shared" si="4"/>
        <v>22.012</v>
      </c>
      <c r="S9" s="12">
        <f t="shared" ref="S9:S18" si="8">+Q9*C9</f>
        <v>224.53199999999998</v>
      </c>
      <c r="T9" s="13">
        <f t="shared" ref="T9:T18" si="9">+R9*C9</f>
        <v>242.13200000000001</v>
      </c>
      <c r="U9" s="65"/>
      <c r="V9" s="72">
        <v>60</v>
      </c>
      <c r="W9" s="72">
        <v>40</v>
      </c>
      <c r="X9" s="72">
        <v>30</v>
      </c>
      <c r="Y9" s="1">
        <v>22</v>
      </c>
      <c r="Z9" s="1">
        <f>Y9-1.6</f>
        <v>20.399999999999999</v>
      </c>
      <c r="AA9" s="77">
        <f>Z9/N9</f>
        <v>0.72857142857142854</v>
      </c>
      <c r="AB9" s="77"/>
    </row>
    <row r="10" spans="1:28" ht="21.9" hidden="1" customHeight="1">
      <c r="A10" s="7">
        <f t="shared" si="5"/>
        <v>21</v>
      </c>
      <c r="B10" s="8">
        <f t="shared" si="0"/>
        <v>20</v>
      </c>
      <c r="C10" s="8"/>
      <c r="D10" s="52" t="str">
        <f t="shared" si="6"/>
        <v>60 * 40 * 30</v>
      </c>
      <c r="E10" s="9">
        <f t="shared" si="7"/>
        <v>0</v>
      </c>
      <c r="F10" s="119"/>
      <c r="G10" s="119"/>
      <c r="H10" s="10"/>
      <c r="I10" s="10">
        <v>20</v>
      </c>
      <c r="J10" s="10"/>
      <c r="K10" s="10"/>
      <c r="L10" s="10"/>
      <c r="M10" s="10"/>
      <c r="N10" s="8">
        <f t="shared" si="1"/>
        <v>20</v>
      </c>
      <c r="O10" s="8">
        <f t="shared" si="2"/>
        <v>0</v>
      </c>
      <c r="P10" s="11">
        <v>0.72899999999999998</v>
      </c>
      <c r="Q10" s="9">
        <f t="shared" si="3"/>
        <v>14.58</v>
      </c>
      <c r="R10" s="9">
        <f t="shared" si="4"/>
        <v>16.18</v>
      </c>
      <c r="S10" s="12">
        <f t="shared" si="8"/>
        <v>0</v>
      </c>
      <c r="T10" s="13">
        <f t="shared" si="9"/>
        <v>0</v>
      </c>
      <c r="U10" s="65"/>
      <c r="V10" s="72">
        <v>60</v>
      </c>
      <c r="W10" s="72">
        <v>40</v>
      </c>
      <c r="X10" s="72">
        <v>30</v>
      </c>
      <c r="AA10" s="77"/>
      <c r="AB10" s="77"/>
    </row>
    <row r="11" spans="1:28" ht="21.9" customHeight="1">
      <c r="A11" s="7">
        <f t="shared" si="5"/>
        <v>21</v>
      </c>
      <c r="B11" s="8">
        <f t="shared" si="0"/>
        <v>36</v>
      </c>
      <c r="C11" s="8">
        <v>16</v>
      </c>
      <c r="D11" s="52" t="str">
        <f t="shared" si="6"/>
        <v>60 * 40 * 30</v>
      </c>
      <c r="E11" s="9">
        <f t="shared" si="7"/>
        <v>1.1519999999999999</v>
      </c>
      <c r="F11" s="119"/>
      <c r="G11" s="119"/>
      <c r="H11" s="10"/>
      <c r="I11" s="10"/>
      <c r="J11" s="10">
        <v>28</v>
      </c>
      <c r="K11" s="10"/>
      <c r="L11" s="10"/>
      <c r="M11" s="10"/>
      <c r="N11" s="8">
        <f t="shared" si="1"/>
        <v>28</v>
      </c>
      <c r="O11" s="8">
        <f t="shared" si="2"/>
        <v>448</v>
      </c>
      <c r="P11" s="11">
        <v>0.754</v>
      </c>
      <c r="Q11" s="9">
        <f t="shared" si="3"/>
        <v>21.112000000000002</v>
      </c>
      <c r="R11" s="9">
        <f t="shared" si="4"/>
        <v>22.712000000000003</v>
      </c>
      <c r="S11" s="12">
        <f t="shared" si="8"/>
        <v>337.79200000000003</v>
      </c>
      <c r="T11" s="13">
        <f t="shared" si="9"/>
        <v>363.39200000000005</v>
      </c>
      <c r="U11" s="65"/>
      <c r="V11" s="72">
        <v>60</v>
      </c>
      <c r="W11" s="72">
        <v>40</v>
      </c>
      <c r="X11" s="72">
        <v>30</v>
      </c>
      <c r="Y11" s="1">
        <v>22.7</v>
      </c>
      <c r="Z11" s="1">
        <f>Y11-1.6</f>
        <v>21.099999999999998</v>
      </c>
      <c r="AA11" s="77">
        <f>Z11/N11</f>
        <v>0.75357142857142845</v>
      </c>
      <c r="AB11" s="77"/>
    </row>
    <row r="12" spans="1:28" ht="21.9" hidden="1" customHeight="1">
      <c r="A12" s="7">
        <f t="shared" si="5"/>
        <v>37</v>
      </c>
      <c r="B12" s="8">
        <f t="shared" si="0"/>
        <v>36</v>
      </c>
      <c r="C12" s="8"/>
      <c r="D12" s="52" t="str">
        <f t="shared" si="6"/>
        <v>60 * 40 * 30</v>
      </c>
      <c r="E12" s="9">
        <f t="shared" si="7"/>
        <v>0</v>
      </c>
      <c r="F12" s="119"/>
      <c r="G12" s="119"/>
      <c r="H12" s="10"/>
      <c r="I12" s="10"/>
      <c r="J12" s="10">
        <v>14</v>
      </c>
      <c r="K12" s="10"/>
      <c r="L12" s="10"/>
      <c r="M12" s="10"/>
      <c r="N12" s="8">
        <f t="shared" si="1"/>
        <v>14</v>
      </c>
      <c r="O12" s="8">
        <f t="shared" si="2"/>
        <v>0</v>
      </c>
      <c r="P12" s="11">
        <v>0.754</v>
      </c>
      <c r="Q12" s="9">
        <f t="shared" si="3"/>
        <v>10.556000000000001</v>
      </c>
      <c r="R12" s="9">
        <f t="shared" si="4"/>
        <v>12.156000000000001</v>
      </c>
      <c r="S12" s="12">
        <f t="shared" si="8"/>
        <v>0</v>
      </c>
      <c r="T12" s="13">
        <f t="shared" si="9"/>
        <v>0</v>
      </c>
      <c r="U12" s="65"/>
      <c r="V12" s="72">
        <v>60</v>
      </c>
      <c r="W12" s="72">
        <v>40</v>
      </c>
      <c r="X12" s="72">
        <v>30</v>
      </c>
      <c r="AA12" s="77"/>
      <c r="AB12" s="77"/>
    </row>
    <row r="13" spans="1:28" ht="21.9" customHeight="1">
      <c r="A13" s="7">
        <f t="shared" si="5"/>
        <v>37</v>
      </c>
      <c r="B13" s="8">
        <f t="shared" si="0"/>
        <v>46</v>
      </c>
      <c r="C13" s="8">
        <v>10</v>
      </c>
      <c r="D13" s="52" t="str">
        <f t="shared" si="6"/>
        <v>60 * 40 * 30</v>
      </c>
      <c r="E13" s="9">
        <f t="shared" si="7"/>
        <v>0.72</v>
      </c>
      <c r="F13" s="119"/>
      <c r="G13" s="119"/>
      <c r="H13" s="10"/>
      <c r="I13" s="10"/>
      <c r="J13" s="10"/>
      <c r="K13" s="10">
        <v>24</v>
      </c>
      <c r="L13" s="10"/>
      <c r="M13" s="10"/>
      <c r="N13" s="8">
        <f t="shared" si="1"/>
        <v>24</v>
      </c>
      <c r="O13" s="8">
        <f t="shared" si="2"/>
        <v>240</v>
      </c>
      <c r="P13" s="11">
        <v>0.77700000000000002</v>
      </c>
      <c r="Q13" s="9">
        <f t="shared" si="3"/>
        <v>18.648</v>
      </c>
      <c r="R13" s="9">
        <f t="shared" si="4"/>
        <v>20.248000000000001</v>
      </c>
      <c r="S13" s="12">
        <f t="shared" si="8"/>
        <v>186.48</v>
      </c>
      <c r="T13" s="13">
        <f t="shared" si="9"/>
        <v>202.48000000000002</v>
      </c>
      <c r="U13" s="65"/>
      <c r="V13" s="72">
        <v>60</v>
      </c>
      <c r="W13" s="72">
        <v>40</v>
      </c>
      <c r="X13" s="72">
        <v>30</v>
      </c>
      <c r="Y13" s="1">
        <v>20.25</v>
      </c>
      <c r="Z13" s="1">
        <f>Y13-1.6</f>
        <v>18.649999999999999</v>
      </c>
      <c r="AA13" s="77">
        <f>Z13/N13</f>
        <v>0.77708333333333324</v>
      </c>
      <c r="AB13" s="77"/>
    </row>
    <row r="14" spans="1:28" ht="21.9" hidden="1" customHeight="1">
      <c r="A14" s="7">
        <f t="shared" si="5"/>
        <v>47</v>
      </c>
      <c r="B14" s="8">
        <f t="shared" si="0"/>
        <v>46</v>
      </c>
      <c r="C14" s="8"/>
      <c r="D14" s="52" t="str">
        <f t="shared" si="6"/>
        <v>60 * 40 * 30</v>
      </c>
      <c r="E14" s="9">
        <f t="shared" si="7"/>
        <v>0</v>
      </c>
      <c r="F14" s="119"/>
      <c r="G14" s="119"/>
      <c r="H14" s="10"/>
      <c r="I14" s="10"/>
      <c r="J14" s="10"/>
      <c r="K14" s="10">
        <v>2</v>
      </c>
      <c r="L14" s="10"/>
      <c r="M14" s="10"/>
      <c r="N14" s="8">
        <f t="shared" si="1"/>
        <v>2</v>
      </c>
      <c r="O14" s="8">
        <f t="shared" si="2"/>
        <v>0</v>
      </c>
      <c r="P14" s="11">
        <v>0.77700000000000002</v>
      </c>
      <c r="Q14" s="9">
        <f t="shared" si="3"/>
        <v>1.554</v>
      </c>
      <c r="R14" s="9">
        <f t="shared" si="4"/>
        <v>3.1539999999999999</v>
      </c>
      <c r="S14" s="12">
        <f t="shared" si="8"/>
        <v>0</v>
      </c>
      <c r="T14" s="13">
        <f t="shared" si="9"/>
        <v>0</v>
      </c>
      <c r="U14" s="65"/>
      <c r="V14" s="72">
        <v>60</v>
      </c>
      <c r="W14" s="72">
        <v>40</v>
      </c>
      <c r="X14" s="72">
        <v>30</v>
      </c>
      <c r="AA14" s="77"/>
    </row>
    <row r="15" spans="1:28" ht="21.9" customHeight="1">
      <c r="A15" s="7">
        <f t="shared" si="5"/>
        <v>47</v>
      </c>
      <c r="B15" s="8">
        <f t="shared" si="0"/>
        <v>54</v>
      </c>
      <c r="C15" s="8">
        <v>8</v>
      </c>
      <c r="D15" s="52" t="str">
        <f t="shared" si="6"/>
        <v>60 * 40 * 30</v>
      </c>
      <c r="E15" s="9">
        <f t="shared" si="7"/>
        <v>0.57599999999999996</v>
      </c>
      <c r="F15" s="119"/>
      <c r="G15" s="119"/>
      <c r="H15" s="10"/>
      <c r="I15" s="10"/>
      <c r="J15" s="10"/>
      <c r="K15" s="10"/>
      <c r="L15" s="10">
        <v>24</v>
      </c>
      <c r="M15" s="10"/>
      <c r="N15" s="8">
        <f t="shared" si="1"/>
        <v>24</v>
      </c>
      <c r="O15" s="8">
        <f t="shared" si="2"/>
        <v>192</v>
      </c>
      <c r="P15" s="11">
        <v>0.8</v>
      </c>
      <c r="Q15" s="9">
        <f t="shared" si="3"/>
        <v>19.200000000000003</v>
      </c>
      <c r="R15" s="9">
        <f t="shared" si="4"/>
        <v>20.800000000000004</v>
      </c>
      <c r="S15" s="12">
        <f t="shared" si="8"/>
        <v>153.60000000000002</v>
      </c>
      <c r="T15" s="13">
        <f t="shared" si="9"/>
        <v>166.40000000000003</v>
      </c>
      <c r="U15" s="65"/>
      <c r="V15" s="72">
        <v>60</v>
      </c>
      <c r="W15" s="72">
        <v>40</v>
      </c>
      <c r="X15" s="72">
        <v>30</v>
      </c>
      <c r="Y15" s="1">
        <v>20.8</v>
      </c>
      <c r="Z15" s="1">
        <f>Y15-1.6</f>
        <v>19.2</v>
      </c>
      <c r="AA15" s="77">
        <f>Z15/N15</f>
        <v>0.79999999999999993</v>
      </c>
    </row>
    <row r="16" spans="1:28" ht="21.75" customHeight="1">
      <c r="A16" s="7">
        <f t="shared" si="5"/>
        <v>55</v>
      </c>
      <c r="B16" s="8">
        <f t="shared" si="0"/>
        <v>55</v>
      </c>
      <c r="C16" s="8">
        <v>1</v>
      </c>
      <c r="D16" s="52" t="str">
        <f>CONCATENATE(V16," * ",W16," * ",X16)</f>
        <v>60 * 40 * 30</v>
      </c>
      <c r="E16" s="9">
        <f>V16*W16*X16*C16/1000000</f>
        <v>7.1999999999999995E-2</v>
      </c>
      <c r="F16" s="119"/>
      <c r="G16" s="119"/>
      <c r="H16" s="10"/>
      <c r="I16" s="10"/>
      <c r="J16" s="10"/>
      <c r="K16" s="10"/>
      <c r="L16" s="10">
        <v>18</v>
      </c>
      <c r="M16" s="10"/>
      <c r="N16" s="8">
        <f t="shared" si="1"/>
        <v>18</v>
      </c>
      <c r="O16" s="8">
        <f t="shared" si="2"/>
        <v>18</v>
      </c>
      <c r="P16" s="11">
        <v>0.8</v>
      </c>
      <c r="Q16" s="9">
        <f t="shared" si="3"/>
        <v>14.4</v>
      </c>
      <c r="R16" s="9">
        <f t="shared" si="4"/>
        <v>16</v>
      </c>
      <c r="S16" s="12">
        <f t="shared" si="8"/>
        <v>14.4</v>
      </c>
      <c r="T16" s="13">
        <f t="shared" si="9"/>
        <v>16</v>
      </c>
      <c r="U16" s="65"/>
      <c r="V16" s="72">
        <v>60</v>
      </c>
      <c r="W16" s="72">
        <v>40</v>
      </c>
      <c r="X16" s="72">
        <v>30</v>
      </c>
      <c r="AA16" s="77"/>
    </row>
    <row r="17" spans="1:27" ht="21.9" customHeight="1">
      <c r="A17" s="7">
        <f t="shared" si="5"/>
        <v>56</v>
      </c>
      <c r="B17" s="8">
        <f t="shared" si="0"/>
        <v>63</v>
      </c>
      <c r="C17" s="8">
        <v>8</v>
      </c>
      <c r="D17" s="52" t="str">
        <f>CONCATENATE(V17," * ",W17," * ",X17)</f>
        <v>60 * 40 * 30</v>
      </c>
      <c r="E17" s="9">
        <f>V17*W17*X17*C17/1000000</f>
        <v>0.57599999999999996</v>
      </c>
      <c r="F17" s="119"/>
      <c r="G17" s="119"/>
      <c r="H17" s="10"/>
      <c r="I17" s="10"/>
      <c r="J17" s="10"/>
      <c r="K17" s="10"/>
      <c r="L17" s="10"/>
      <c r="M17" s="10">
        <v>24</v>
      </c>
      <c r="N17" s="8">
        <f t="shared" si="1"/>
        <v>24</v>
      </c>
      <c r="O17" s="8">
        <f>N17*C17</f>
        <v>192</v>
      </c>
      <c r="P17" s="11">
        <v>0.82499999999999996</v>
      </c>
      <c r="Q17" s="9">
        <f t="shared" si="3"/>
        <v>19.799999999999997</v>
      </c>
      <c r="R17" s="9">
        <f t="shared" si="4"/>
        <v>21.4</v>
      </c>
      <c r="S17" s="12">
        <f t="shared" si="8"/>
        <v>158.39999999999998</v>
      </c>
      <c r="T17" s="13">
        <f t="shared" si="9"/>
        <v>171.2</v>
      </c>
      <c r="U17" s="65"/>
      <c r="V17" s="72">
        <v>60</v>
      </c>
      <c r="W17" s="72">
        <v>40</v>
      </c>
      <c r="X17" s="72">
        <v>30</v>
      </c>
      <c r="Y17" s="1">
        <v>21.4</v>
      </c>
      <c r="Z17" s="1">
        <f>Y17-1.6</f>
        <v>19.799999999999997</v>
      </c>
      <c r="AA17" s="77">
        <f>Z17/N17</f>
        <v>0.82499999999999984</v>
      </c>
    </row>
    <row r="18" spans="1:27" ht="21.9" hidden="1" customHeight="1">
      <c r="A18" s="7">
        <f t="shared" si="5"/>
        <v>64</v>
      </c>
      <c r="B18" s="8">
        <f t="shared" si="0"/>
        <v>63</v>
      </c>
      <c r="C18" s="8"/>
      <c r="D18" s="52" t="str">
        <f>CONCATENATE(V18," * ",W18," * ",X18)</f>
        <v>60 * 40 * 30</v>
      </c>
      <c r="E18" s="9">
        <f>V18*W18*X18*C18/1000000</f>
        <v>0</v>
      </c>
      <c r="F18" s="119"/>
      <c r="G18" s="119"/>
      <c r="H18" s="10"/>
      <c r="I18" s="10"/>
      <c r="J18" s="10"/>
      <c r="K18" s="10"/>
      <c r="L18" s="10"/>
      <c r="M18" s="10">
        <v>13</v>
      </c>
      <c r="N18" s="8">
        <f t="shared" si="1"/>
        <v>13</v>
      </c>
      <c r="O18" s="8">
        <f>N18*C18</f>
        <v>0</v>
      </c>
      <c r="P18" s="11">
        <v>0.82499999999999996</v>
      </c>
      <c r="Q18" s="9">
        <f t="shared" si="3"/>
        <v>10.725</v>
      </c>
      <c r="R18" s="9">
        <f t="shared" si="4"/>
        <v>12.324999999999999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  <c r="AA18" s="77"/>
    </row>
    <row r="19" spans="1:27" s="6" customFormat="1" ht="21.9" customHeight="1">
      <c r="A19" s="128" t="s">
        <v>24</v>
      </c>
      <c r="B19" s="129"/>
      <c r="C19" s="14">
        <f>SUM(C7:C18)</f>
        <v>63</v>
      </c>
      <c r="D19" s="14"/>
      <c r="E19" s="15">
        <f>SUM(E7:E18)</f>
        <v>4.5359999999999996</v>
      </c>
      <c r="F19" s="14"/>
      <c r="G19" s="14"/>
      <c r="H19" s="14">
        <f>SUMPRODUCT(H7:H18,$C$7:$C$18)</f>
        <v>252</v>
      </c>
      <c r="I19" s="14">
        <f>SUMPRODUCT(I7:I18,$C$7:$C$18)</f>
        <v>308</v>
      </c>
      <c r="J19" s="14">
        <f>SUMPRODUCT(J7:J18,$C$7:$C$18)</f>
        <v>448</v>
      </c>
      <c r="K19" s="14">
        <f t="shared" ref="K19:L19" si="10">SUMPRODUCT(K7:K18,$C$7:$C$18)</f>
        <v>240</v>
      </c>
      <c r="L19" s="14">
        <f t="shared" si="10"/>
        <v>210</v>
      </c>
      <c r="M19" s="14">
        <f>SUMPRODUCT(M7:M18,$C$7:$C$18)</f>
        <v>192</v>
      </c>
      <c r="N19" s="14" t="s">
        <v>0</v>
      </c>
      <c r="O19" s="14">
        <f>SUM(O7:O18)</f>
        <v>1650</v>
      </c>
      <c r="P19" s="15"/>
      <c r="Q19" s="15"/>
      <c r="R19" s="15"/>
      <c r="S19" s="15">
        <f>SUM(S7:S18)</f>
        <v>1253.8720000000003</v>
      </c>
      <c r="T19" s="50">
        <f>SUM(T7:T18)</f>
        <v>1354.6720000000003</v>
      </c>
      <c r="U19" s="66"/>
      <c r="V19" s="5"/>
      <c r="W19" s="5"/>
      <c r="X19" s="5"/>
      <c r="AA19" s="78"/>
    </row>
    <row r="20" spans="1:27" s="6" customFormat="1" ht="30" customHeight="1">
      <c r="A20" s="120" t="s">
        <v>12</v>
      </c>
      <c r="B20" s="121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7" ht="21.9" customHeight="1">
      <c r="A21" s="7">
        <f>B18+1</f>
        <v>64</v>
      </c>
      <c r="B21" s="8">
        <f t="shared" ref="B21:B32" si="12">C21+A21-1</f>
        <v>97</v>
      </c>
      <c r="C21" s="8">
        <v>34</v>
      </c>
      <c r="D21" s="52" t="str">
        <f>CONCATENATE(V21," * ",W21," * ",X21)</f>
        <v>60 * 40 * 30</v>
      </c>
      <c r="E21" s="9">
        <f>V21*W21*X21*C21/1000000</f>
        <v>2.448</v>
      </c>
      <c r="F21" s="118" t="s">
        <v>39</v>
      </c>
      <c r="G21" s="118" t="s">
        <v>50</v>
      </c>
      <c r="H21" s="10">
        <v>28</v>
      </c>
      <c r="I21" s="10"/>
      <c r="J21" s="10"/>
      <c r="K21" s="10"/>
      <c r="L21" s="10"/>
      <c r="M21" s="10"/>
      <c r="N21" s="8">
        <f>SUM(H21:M21)</f>
        <v>28</v>
      </c>
      <c r="O21" s="8">
        <f>N21*C21</f>
        <v>952</v>
      </c>
      <c r="P21" s="11">
        <v>0.72499999999999998</v>
      </c>
      <c r="Q21" s="9">
        <f t="shared" ref="Q21:Q32" si="13">P21*N21</f>
        <v>20.3</v>
      </c>
      <c r="R21" s="9">
        <f t="shared" ref="R21:R32" si="14">Q21+1.6</f>
        <v>21.900000000000002</v>
      </c>
      <c r="S21" s="12">
        <f>+Q21*C21</f>
        <v>690.2</v>
      </c>
      <c r="T21" s="13">
        <f>+R21*C21</f>
        <v>744.6</v>
      </c>
      <c r="U21" s="65"/>
      <c r="V21" s="72">
        <v>60</v>
      </c>
      <c r="W21" s="72">
        <v>40</v>
      </c>
      <c r="X21" s="72">
        <v>30</v>
      </c>
      <c r="Y21" s="1">
        <v>21.9</v>
      </c>
      <c r="Z21" s="1">
        <f>Y21-1.6</f>
        <v>20.299999999999997</v>
      </c>
      <c r="AA21" s="77">
        <f>Z21/N21</f>
        <v>0.72499999999999987</v>
      </c>
    </row>
    <row r="22" spans="1:27" ht="21.9" hidden="1" customHeight="1">
      <c r="A22" s="7">
        <f>B21+1</f>
        <v>98</v>
      </c>
      <c r="B22" s="8">
        <f t="shared" si="12"/>
        <v>97</v>
      </c>
      <c r="C22" s="8"/>
      <c r="D22" s="52" t="str">
        <f>CONCATENATE(V22," * ",W22," * ",X22)</f>
        <v>60 * 40 * 30</v>
      </c>
      <c r="E22" s="9">
        <f>V22*W22*X22*C22/1000000</f>
        <v>0</v>
      </c>
      <c r="F22" s="119"/>
      <c r="G22" s="119"/>
      <c r="H22" s="10">
        <v>11</v>
      </c>
      <c r="I22" s="10"/>
      <c r="J22" s="10"/>
      <c r="K22" s="10"/>
      <c r="L22" s="10"/>
      <c r="M22" s="10"/>
      <c r="N22" s="8">
        <f t="shared" ref="N22:N32" si="15">SUM(H22:M22)</f>
        <v>11</v>
      </c>
      <c r="O22" s="8">
        <f t="shared" ref="O22:O32" si="16">N22*C22</f>
        <v>0</v>
      </c>
      <c r="P22" s="11">
        <v>0.72499999999999998</v>
      </c>
      <c r="Q22" s="9">
        <f t="shared" si="13"/>
        <v>7.9749999999999996</v>
      </c>
      <c r="R22" s="9">
        <f t="shared" si="14"/>
        <v>9.5749999999999993</v>
      </c>
      <c r="S22" s="12">
        <f>+Q22*C22</f>
        <v>0</v>
      </c>
      <c r="T22" s="13">
        <f>+R22*C22</f>
        <v>0</v>
      </c>
      <c r="U22" s="65"/>
      <c r="V22" s="72">
        <v>60</v>
      </c>
      <c r="W22" s="72">
        <v>40</v>
      </c>
      <c r="X22" s="72">
        <v>30</v>
      </c>
      <c r="AA22" s="77"/>
    </row>
    <row r="23" spans="1:27" ht="21.9" customHeight="1">
      <c r="A23" s="7">
        <f t="shared" ref="A23:A32" si="17">B22+1</f>
        <v>98</v>
      </c>
      <c r="B23" s="8">
        <f t="shared" si="12"/>
        <v>136</v>
      </c>
      <c r="C23" s="8">
        <v>39</v>
      </c>
      <c r="D23" s="52" t="str">
        <f t="shared" ref="D23:D32" si="18">CONCATENATE(V23," * ",W23," * ",X23)</f>
        <v>60 * 40 * 30</v>
      </c>
      <c r="E23" s="9">
        <f t="shared" ref="E23:E32" si="19">V23*W23*X23*C23/1000000</f>
        <v>2.8079999999999998</v>
      </c>
      <c r="F23" s="119"/>
      <c r="G23" s="119"/>
      <c r="H23" s="10"/>
      <c r="I23" s="10">
        <v>28</v>
      </c>
      <c r="J23" s="10"/>
      <c r="K23" s="10"/>
      <c r="L23" s="10"/>
      <c r="M23" s="10"/>
      <c r="N23" s="8">
        <f t="shared" si="15"/>
        <v>28</v>
      </c>
      <c r="O23" s="8">
        <f t="shared" si="16"/>
        <v>1092</v>
      </c>
      <c r="P23" s="11">
        <v>0.73899999999999999</v>
      </c>
      <c r="Q23" s="9">
        <f t="shared" si="13"/>
        <v>20.692</v>
      </c>
      <c r="R23" s="9">
        <f t="shared" si="14"/>
        <v>22.292000000000002</v>
      </c>
      <c r="S23" s="12">
        <f t="shared" ref="S23:S32" si="20">+Q23*C23</f>
        <v>806.98800000000006</v>
      </c>
      <c r="T23" s="13">
        <f t="shared" ref="T23:T32" si="21">+R23*C23</f>
        <v>869.38800000000003</v>
      </c>
      <c r="U23" s="65"/>
      <c r="V23" s="72">
        <v>60</v>
      </c>
      <c r="W23" s="72">
        <v>40</v>
      </c>
      <c r="X23" s="72">
        <v>30</v>
      </c>
      <c r="Y23" s="1">
        <v>22.3</v>
      </c>
      <c r="Z23" s="1">
        <f>Y23-1.6</f>
        <v>20.7</v>
      </c>
      <c r="AA23" s="77">
        <f>Z23/N23</f>
        <v>0.73928571428571421</v>
      </c>
    </row>
    <row r="24" spans="1:27" ht="21.9" hidden="1" customHeight="1">
      <c r="A24" s="7">
        <f t="shared" si="17"/>
        <v>137</v>
      </c>
      <c r="B24" s="8">
        <f t="shared" si="12"/>
        <v>136</v>
      </c>
      <c r="C24" s="8"/>
      <c r="D24" s="52" t="str">
        <f t="shared" si="18"/>
        <v>60 * 40 * 30</v>
      </c>
      <c r="E24" s="9">
        <f t="shared" si="19"/>
        <v>0</v>
      </c>
      <c r="F24" s="119"/>
      <c r="G24" s="119"/>
      <c r="H24" s="10"/>
      <c r="I24" s="10">
        <v>1</v>
      </c>
      <c r="J24" s="10"/>
      <c r="K24" s="10"/>
      <c r="L24" s="10"/>
      <c r="M24" s="10"/>
      <c r="N24" s="8">
        <f t="shared" si="15"/>
        <v>1</v>
      </c>
      <c r="O24" s="8">
        <f t="shared" si="16"/>
        <v>0</v>
      </c>
      <c r="P24" s="11">
        <v>0.73899999999999999</v>
      </c>
      <c r="Q24" s="9">
        <f t="shared" si="13"/>
        <v>0.73899999999999999</v>
      </c>
      <c r="R24" s="9">
        <f t="shared" si="14"/>
        <v>2.339</v>
      </c>
      <c r="S24" s="12">
        <f t="shared" si="20"/>
        <v>0</v>
      </c>
      <c r="T24" s="13">
        <f t="shared" si="21"/>
        <v>0</v>
      </c>
      <c r="U24" s="65"/>
      <c r="V24" s="72">
        <v>60</v>
      </c>
      <c r="W24" s="72">
        <v>40</v>
      </c>
      <c r="X24" s="72">
        <v>30</v>
      </c>
      <c r="AA24" s="77"/>
    </row>
    <row r="25" spans="1:27" ht="21.9" customHeight="1">
      <c r="A25" s="7">
        <f t="shared" si="17"/>
        <v>137</v>
      </c>
      <c r="B25" s="8">
        <f t="shared" si="12"/>
        <v>182</v>
      </c>
      <c r="C25" s="8">
        <v>46</v>
      </c>
      <c r="D25" s="52" t="str">
        <f t="shared" si="18"/>
        <v>60 * 40 * 30</v>
      </c>
      <c r="E25" s="9">
        <f t="shared" si="19"/>
        <v>3.3119999999999998</v>
      </c>
      <c r="F25" s="119"/>
      <c r="G25" s="119"/>
      <c r="H25" s="10"/>
      <c r="I25" s="10"/>
      <c r="J25" s="10">
        <v>28</v>
      </c>
      <c r="K25" s="10"/>
      <c r="L25" s="10"/>
      <c r="M25" s="10"/>
      <c r="N25" s="8">
        <f t="shared" si="15"/>
        <v>28</v>
      </c>
      <c r="O25" s="8">
        <f t="shared" si="16"/>
        <v>1288</v>
      </c>
      <c r="P25" s="11">
        <v>0.75900000000000001</v>
      </c>
      <c r="Q25" s="9">
        <f t="shared" si="13"/>
        <v>21.251999999999999</v>
      </c>
      <c r="R25" s="9">
        <f t="shared" si="14"/>
        <v>22.852</v>
      </c>
      <c r="S25" s="12">
        <f t="shared" si="20"/>
        <v>977.59199999999998</v>
      </c>
      <c r="T25" s="13">
        <f t="shared" si="21"/>
        <v>1051.192</v>
      </c>
      <c r="U25" s="65"/>
      <c r="V25" s="72">
        <v>60</v>
      </c>
      <c r="W25" s="72">
        <v>40</v>
      </c>
      <c r="X25" s="72">
        <v>30</v>
      </c>
      <c r="Y25" s="1">
        <v>22.85</v>
      </c>
      <c r="Z25" s="1">
        <f>Y25-1.6</f>
        <v>21.25</v>
      </c>
      <c r="AA25" s="77">
        <f>Z25/N25</f>
        <v>0.7589285714285714</v>
      </c>
    </row>
    <row r="26" spans="1:27" ht="21.9" hidden="1" customHeight="1">
      <c r="A26" s="7">
        <f t="shared" si="17"/>
        <v>183</v>
      </c>
      <c r="B26" s="8">
        <f t="shared" si="12"/>
        <v>182</v>
      </c>
      <c r="C26" s="8"/>
      <c r="D26" s="52" t="str">
        <f t="shared" si="18"/>
        <v>60 * 40 * 30</v>
      </c>
      <c r="E26" s="9">
        <f t="shared" si="19"/>
        <v>0</v>
      </c>
      <c r="F26" s="119"/>
      <c r="G26" s="119"/>
      <c r="H26" s="10"/>
      <c r="I26" s="10"/>
      <c r="J26" s="10">
        <v>3</v>
      </c>
      <c r="K26" s="10"/>
      <c r="L26" s="10"/>
      <c r="M26" s="10"/>
      <c r="N26" s="8">
        <f t="shared" si="15"/>
        <v>3</v>
      </c>
      <c r="O26" s="8">
        <f t="shared" si="16"/>
        <v>0</v>
      </c>
      <c r="P26" s="11">
        <v>0.75900000000000001</v>
      </c>
      <c r="Q26" s="9">
        <f t="shared" si="13"/>
        <v>2.2770000000000001</v>
      </c>
      <c r="R26" s="9">
        <f t="shared" si="14"/>
        <v>3.8770000000000002</v>
      </c>
      <c r="S26" s="12">
        <f t="shared" si="20"/>
        <v>0</v>
      </c>
      <c r="T26" s="13">
        <f t="shared" si="21"/>
        <v>0</v>
      </c>
      <c r="U26" s="65"/>
      <c r="V26" s="72">
        <v>60</v>
      </c>
      <c r="W26" s="72">
        <v>40</v>
      </c>
      <c r="X26" s="72">
        <v>30</v>
      </c>
      <c r="AA26" s="77"/>
    </row>
    <row r="27" spans="1:27" ht="21.9" customHeight="1">
      <c r="A27" s="7">
        <f t="shared" si="17"/>
        <v>183</v>
      </c>
      <c r="B27" s="8">
        <f t="shared" si="12"/>
        <v>220</v>
      </c>
      <c r="C27" s="8">
        <v>38</v>
      </c>
      <c r="D27" s="52" t="str">
        <f t="shared" si="18"/>
        <v>60 * 40 * 30</v>
      </c>
      <c r="E27" s="9">
        <f t="shared" si="19"/>
        <v>2.7360000000000002</v>
      </c>
      <c r="F27" s="119"/>
      <c r="G27" s="119"/>
      <c r="H27" s="10"/>
      <c r="I27" s="10"/>
      <c r="J27" s="10"/>
      <c r="K27" s="10">
        <v>24</v>
      </c>
      <c r="L27" s="10"/>
      <c r="M27" s="10"/>
      <c r="N27" s="8">
        <f t="shared" si="15"/>
        <v>24</v>
      </c>
      <c r="O27" s="8">
        <f t="shared" si="16"/>
        <v>912</v>
      </c>
      <c r="P27" s="11">
        <v>0.78300000000000003</v>
      </c>
      <c r="Q27" s="9">
        <f t="shared" si="13"/>
        <v>18.792000000000002</v>
      </c>
      <c r="R27" s="9">
        <f t="shared" si="14"/>
        <v>20.392000000000003</v>
      </c>
      <c r="S27" s="12">
        <f t="shared" si="20"/>
        <v>714.096</v>
      </c>
      <c r="T27" s="13">
        <f t="shared" si="21"/>
        <v>774.89600000000007</v>
      </c>
      <c r="U27" s="65"/>
      <c r="V27" s="72">
        <v>60</v>
      </c>
      <c r="W27" s="72">
        <v>40</v>
      </c>
      <c r="X27" s="72">
        <v>30</v>
      </c>
      <c r="Y27" s="1">
        <v>20.399999999999999</v>
      </c>
      <c r="Z27" s="1">
        <f>Y27-1.6</f>
        <v>18.799999999999997</v>
      </c>
      <c r="AA27" s="77">
        <f>Z27/N27</f>
        <v>0.78333333333333321</v>
      </c>
    </row>
    <row r="28" spans="1:27" ht="21.9" hidden="1" customHeight="1">
      <c r="A28" s="7">
        <f t="shared" si="17"/>
        <v>221</v>
      </c>
      <c r="B28" s="8">
        <f t="shared" si="12"/>
        <v>220</v>
      </c>
      <c r="C28" s="8"/>
      <c r="D28" s="52" t="str">
        <f t="shared" si="18"/>
        <v>60 * 40 * 30</v>
      </c>
      <c r="E28" s="9">
        <f t="shared" si="19"/>
        <v>0</v>
      </c>
      <c r="F28" s="119"/>
      <c r="G28" s="119"/>
      <c r="H28" s="10"/>
      <c r="I28" s="10"/>
      <c r="J28" s="10"/>
      <c r="K28" s="10">
        <v>2</v>
      </c>
      <c r="L28" s="10"/>
      <c r="M28" s="10"/>
      <c r="N28" s="8">
        <f t="shared" si="15"/>
        <v>2</v>
      </c>
      <c r="O28" s="8">
        <f t="shared" si="16"/>
        <v>0</v>
      </c>
      <c r="P28" s="11">
        <v>0.78300000000000003</v>
      </c>
      <c r="Q28" s="9">
        <f t="shared" si="13"/>
        <v>1.5660000000000001</v>
      </c>
      <c r="R28" s="9">
        <f t="shared" si="14"/>
        <v>3.1660000000000004</v>
      </c>
      <c r="S28" s="12">
        <f t="shared" si="20"/>
        <v>0</v>
      </c>
      <c r="T28" s="13">
        <f t="shared" si="21"/>
        <v>0</v>
      </c>
      <c r="U28" s="65"/>
      <c r="V28" s="72">
        <v>60</v>
      </c>
      <c r="W28" s="72">
        <v>40</v>
      </c>
      <c r="X28" s="72">
        <v>30</v>
      </c>
      <c r="AA28" s="77"/>
    </row>
    <row r="29" spans="1:27" ht="21.9" customHeight="1">
      <c r="A29" s="7">
        <f t="shared" si="17"/>
        <v>221</v>
      </c>
      <c r="B29" s="8">
        <f t="shared" si="12"/>
        <v>247</v>
      </c>
      <c r="C29" s="8">
        <v>27</v>
      </c>
      <c r="D29" s="52" t="str">
        <f t="shared" si="18"/>
        <v>60 * 40 * 30</v>
      </c>
      <c r="E29" s="9">
        <f t="shared" si="19"/>
        <v>1.944</v>
      </c>
      <c r="F29" s="119"/>
      <c r="G29" s="119"/>
      <c r="H29" s="10"/>
      <c r="I29" s="10"/>
      <c r="J29" s="10"/>
      <c r="K29" s="10"/>
      <c r="L29" s="10">
        <v>24</v>
      </c>
      <c r="M29" s="10"/>
      <c r="N29" s="8">
        <f t="shared" si="15"/>
        <v>24</v>
      </c>
      <c r="O29" s="8">
        <f>N29*C29</f>
        <v>648</v>
      </c>
      <c r="P29" s="11">
        <v>0.81299999999999994</v>
      </c>
      <c r="Q29" s="9">
        <f t="shared" si="13"/>
        <v>19.512</v>
      </c>
      <c r="R29" s="9">
        <f t="shared" si="14"/>
        <v>21.112000000000002</v>
      </c>
      <c r="S29" s="12">
        <f t="shared" si="20"/>
        <v>526.82400000000007</v>
      </c>
      <c r="T29" s="13">
        <f t="shared" si="21"/>
        <v>570.024</v>
      </c>
      <c r="U29" s="65"/>
      <c r="V29" s="72">
        <v>60</v>
      </c>
      <c r="W29" s="72">
        <v>40</v>
      </c>
      <c r="X29" s="72">
        <v>30</v>
      </c>
      <c r="Y29" s="1">
        <v>21.1</v>
      </c>
      <c r="Z29" s="1">
        <f>Y29-1.6</f>
        <v>19.5</v>
      </c>
      <c r="AA29" s="77">
        <f>Z29/N29</f>
        <v>0.8125</v>
      </c>
    </row>
    <row r="30" spans="1:27" ht="21.9" hidden="1" customHeight="1">
      <c r="A30" s="7">
        <f t="shared" si="17"/>
        <v>248</v>
      </c>
      <c r="B30" s="8">
        <f t="shared" si="12"/>
        <v>247</v>
      </c>
      <c r="C30" s="8"/>
      <c r="D30" s="52" t="str">
        <f t="shared" si="18"/>
        <v>60 * 40 * 30</v>
      </c>
      <c r="E30" s="9">
        <f t="shared" si="19"/>
        <v>0</v>
      </c>
      <c r="F30" s="119"/>
      <c r="G30" s="119"/>
      <c r="H30" s="10"/>
      <c r="I30" s="10"/>
      <c r="J30" s="10"/>
      <c r="K30" s="10"/>
      <c r="L30" s="10">
        <v>23</v>
      </c>
      <c r="M30" s="10"/>
      <c r="N30" s="8">
        <f t="shared" si="15"/>
        <v>23</v>
      </c>
      <c r="O30" s="8">
        <f>N30*C30</f>
        <v>0</v>
      </c>
      <c r="P30" s="11">
        <v>0.81299999999999994</v>
      </c>
      <c r="Q30" s="9">
        <f t="shared" si="13"/>
        <v>18.698999999999998</v>
      </c>
      <c r="R30" s="9">
        <f t="shared" si="14"/>
        <v>20.298999999999999</v>
      </c>
      <c r="S30" s="12">
        <f t="shared" si="20"/>
        <v>0</v>
      </c>
      <c r="T30" s="13">
        <f t="shared" si="21"/>
        <v>0</v>
      </c>
      <c r="U30" s="65"/>
      <c r="V30" s="72">
        <v>60</v>
      </c>
      <c r="W30" s="72">
        <v>40</v>
      </c>
      <c r="X30" s="72">
        <v>30</v>
      </c>
      <c r="AA30" s="77"/>
    </row>
    <row r="31" spans="1:27" ht="21.9" customHeight="1">
      <c r="A31" s="7">
        <f t="shared" si="17"/>
        <v>248</v>
      </c>
      <c r="B31" s="8">
        <f t="shared" si="12"/>
        <v>260</v>
      </c>
      <c r="C31" s="8">
        <v>13</v>
      </c>
      <c r="D31" s="52" t="str">
        <f t="shared" si="18"/>
        <v>60 * 40 * 30</v>
      </c>
      <c r="E31" s="9">
        <f t="shared" si="19"/>
        <v>0.93600000000000005</v>
      </c>
      <c r="F31" s="119"/>
      <c r="G31" s="119"/>
      <c r="H31" s="10"/>
      <c r="I31" s="10"/>
      <c r="J31" s="10"/>
      <c r="K31" s="10"/>
      <c r="L31" s="10"/>
      <c r="M31" s="10">
        <v>24</v>
      </c>
      <c r="N31" s="8">
        <f t="shared" si="15"/>
        <v>24</v>
      </c>
      <c r="O31" s="8">
        <f t="shared" si="16"/>
        <v>312</v>
      </c>
      <c r="P31" s="11">
        <v>0.83299999999999996</v>
      </c>
      <c r="Q31" s="9">
        <f t="shared" si="13"/>
        <v>19.991999999999997</v>
      </c>
      <c r="R31" s="9">
        <f t="shared" si="14"/>
        <v>21.591999999999999</v>
      </c>
      <c r="S31" s="12">
        <f t="shared" si="20"/>
        <v>259.89599999999996</v>
      </c>
      <c r="T31" s="13">
        <f t="shared" si="21"/>
        <v>280.69599999999997</v>
      </c>
      <c r="U31" s="65"/>
      <c r="V31" s="72">
        <v>60</v>
      </c>
      <c r="W31" s="72">
        <v>40</v>
      </c>
      <c r="X31" s="72">
        <v>30</v>
      </c>
      <c r="Y31" s="1">
        <v>21.6</v>
      </c>
      <c r="Z31" s="1">
        <f>Y31-1.6</f>
        <v>20</v>
      </c>
      <c r="AA31" s="77">
        <f>Z31/N31</f>
        <v>0.83333333333333337</v>
      </c>
    </row>
    <row r="32" spans="1:27" ht="21.9" hidden="1" customHeight="1">
      <c r="A32" s="7">
        <f t="shared" si="17"/>
        <v>261</v>
      </c>
      <c r="B32" s="8">
        <f t="shared" si="12"/>
        <v>260</v>
      </c>
      <c r="C32" s="8"/>
      <c r="D32" s="52" t="str">
        <f t="shared" si="18"/>
        <v>60 * 40 * 30</v>
      </c>
      <c r="E32" s="9">
        <f t="shared" si="19"/>
        <v>0</v>
      </c>
      <c r="F32" s="119"/>
      <c r="G32" s="119"/>
      <c r="H32" s="10"/>
      <c r="I32" s="10"/>
      <c r="J32" s="10"/>
      <c r="K32" s="10"/>
      <c r="L32" s="10"/>
      <c r="M32" s="10">
        <v>6</v>
      </c>
      <c r="N32" s="8">
        <f t="shared" si="15"/>
        <v>6</v>
      </c>
      <c r="O32" s="8">
        <f t="shared" si="16"/>
        <v>0</v>
      </c>
      <c r="P32" s="11">
        <v>0.83299999999999996</v>
      </c>
      <c r="Q32" s="9">
        <f t="shared" si="13"/>
        <v>4.9979999999999993</v>
      </c>
      <c r="R32" s="9">
        <f t="shared" si="14"/>
        <v>6.597999999999999</v>
      </c>
      <c r="S32" s="12">
        <f t="shared" si="20"/>
        <v>0</v>
      </c>
      <c r="T32" s="13">
        <f t="shared" si="21"/>
        <v>0</v>
      </c>
      <c r="U32" s="65"/>
      <c r="V32" s="72">
        <v>60</v>
      </c>
      <c r="W32" s="72">
        <v>40</v>
      </c>
      <c r="X32" s="72">
        <v>30</v>
      </c>
      <c r="AA32" s="77"/>
    </row>
    <row r="33" spans="1:24" s="6" customFormat="1" ht="21.9" customHeight="1">
      <c r="A33" s="128" t="s">
        <v>24</v>
      </c>
      <c r="B33" s="129"/>
      <c r="C33" s="14">
        <f>SUM(C21:C32)</f>
        <v>197</v>
      </c>
      <c r="D33" s="14"/>
      <c r="E33" s="15">
        <f>SUM(E21:E32)</f>
        <v>14.184000000000001</v>
      </c>
      <c r="F33" s="14"/>
      <c r="G33" s="14"/>
      <c r="H33" s="14">
        <f t="shared" ref="H33:M33" si="22">SUMPRODUCT(H21:H32,$C$21:$C$32)</f>
        <v>952</v>
      </c>
      <c r="I33" s="14">
        <f t="shared" si="22"/>
        <v>1092</v>
      </c>
      <c r="J33" s="14">
        <f t="shared" si="22"/>
        <v>1288</v>
      </c>
      <c r="K33" s="14">
        <f t="shared" si="22"/>
        <v>912</v>
      </c>
      <c r="L33" s="14">
        <f t="shared" si="22"/>
        <v>648</v>
      </c>
      <c r="M33" s="14">
        <f t="shared" si="22"/>
        <v>312</v>
      </c>
      <c r="N33" s="14" t="s">
        <v>0</v>
      </c>
      <c r="O33" s="14">
        <f>SUM(O21:O32)</f>
        <v>5204</v>
      </c>
      <c r="P33" s="15"/>
      <c r="Q33" s="15"/>
      <c r="R33" s="15"/>
      <c r="S33" s="15">
        <f>SUM(S21:S32)</f>
        <v>3975.5960000000005</v>
      </c>
      <c r="T33" s="50">
        <f>SUM(T21:T32)</f>
        <v>4290.7960000000003</v>
      </c>
      <c r="U33" s="66"/>
      <c r="V33" s="5"/>
      <c r="W33" s="5"/>
      <c r="X33" s="5"/>
    </row>
    <row r="34" spans="1:24" s="6" customFormat="1" ht="15.6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67"/>
      <c r="V34" s="5"/>
      <c r="W34" s="5"/>
      <c r="X34" s="5"/>
    </row>
    <row r="35" spans="1:24" s="19" customFormat="1" ht="20.100000000000001" customHeight="1">
      <c r="A35" s="132" t="s">
        <v>36</v>
      </c>
      <c r="B35" s="133"/>
      <c r="C35" s="17">
        <f>SUM(C33,C19)</f>
        <v>260</v>
      </c>
      <c r="D35" s="17" t="s">
        <v>37</v>
      </c>
      <c r="E35" s="18">
        <f>SUM(E33,E19)</f>
        <v>18.72</v>
      </c>
      <c r="F35" s="17"/>
      <c r="G35" s="17"/>
      <c r="H35" s="17">
        <f t="shared" ref="H35:M35" si="23">SUM(H33,H19)</f>
        <v>1204</v>
      </c>
      <c r="I35" s="17">
        <f t="shared" si="23"/>
        <v>1400</v>
      </c>
      <c r="J35" s="17">
        <f t="shared" si="23"/>
        <v>1736</v>
      </c>
      <c r="K35" s="17">
        <f t="shared" si="23"/>
        <v>1152</v>
      </c>
      <c r="L35" s="17">
        <f t="shared" si="23"/>
        <v>858</v>
      </c>
      <c r="M35" s="17">
        <f t="shared" si="23"/>
        <v>504</v>
      </c>
      <c r="N35" s="17"/>
      <c r="O35" s="17">
        <f>SUM(O33,O19)</f>
        <v>6854</v>
      </c>
      <c r="P35" s="17"/>
      <c r="Q35" s="17"/>
      <c r="R35" s="17"/>
      <c r="S35" s="18">
        <f>SUM(S33,S19)</f>
        <v>5229.4680000000008</v>
      </c>
      <c r="T35" s="18">
        <f>SUM(T33,T19)</f>
        <v>5645.4680000000008</v>
      </c>
      <c r="U35" s="68"/>
      <c r="V35" s="5"/>
      <c r="W35" s="5"/>
      <c r="X35" s="5"/>
    </row>
    <row r="36" spans="1:24" ht="30.75" customHeight="1" thickBot="1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3"/>
      <c r="U36" s="22"/>
    </row>
    <row r="37" spans="1:24" ht="24.9" customHeight="1" thickBot="1">
      <c r="A37" s="20"/>
      <c r="B37" s="21"/>
      <c r="C37" s="21"/>
      <c r="D37" s="24" t="s">
        <v>25</v>
      </c>
      <c r="E37" s="25"/>
      <c r="F37" s="25" t="s">
        <v>15</v>
      </c>
      <c r="G37" s="25"/>
      <c r="H37" s="26">
        <f t="shared" ref="H37:M37" si="24">+H6</f>
        <v>32</v>
      </c>
      <c r="I37" s="26">
        <f t="shared" si="24"/>
        <v>34</v>
      </c>
      <c r="J37" s="26">
        <f t="shared" si="24"/>
        <v>36</v>
      </c>
      <c r="K37" s="26">
        <f t="shared" si="24"/>
        <v>38</v>
      </c>
      <c r="L37" s="26">
        <f t="shared" si="24"/>
        <v>40</v>
      </c>
      <c r="M37" s="26">
        <f t="shared" si="24"/>
        <v>42</v>
      </c>
      <c r="N37" s="27" t="s">
        <v>26</v>
      </c>
      <c r="O37" s="73"/>
      <c r="P37" s="134"/>
      <c r="Q37" s="134"/>
      <c r="R37" s="135"/>
      <c r="S37" s="135"/>
      <c r="T37" s="136"/>
      <c r="U37" s="51"/>
    </row>
    <row r="38" spans="1:24" ht="24.9" customHeight="1">
      <c r="A38" s="20"/>
      <c r="B38" s="21"/>
      <c r="C38" s="21"/>
      <c r="D38" s="28" t="s">
        <v>27</v>
      </c>
      <c r="E38" s="29"/>
      <c r="F38" s="111" t="str">
        <f>+F7</f>
        <v>Germany</v>
      </c>
      <c r="G38" s="111" t="str">
        <f>+G7</f>
        <v>Bleach Indigo
 (EHBL)</v>
      </c>
      <c r="H38" s="29">
        <v>341</v>
      </c>
      <c r="I38" s="29">
        <v>356</v>
      </c>
      <c r="J38" s="29">
        <v>546</v>
      </c>
      <c r="K38" s="29">
        <v>290</v>
      </c>
      <c r="L38" s="29">
        <v>263</v>
      </c>
      <c r="M38" s="29">
        <v>253</v>
      </c>
      <c r="N38" s="30">
        <f>SUM(H38:M38)</f>
        <v>2049</v>
      </c>
      <c r="O38" s="74"/>
      <c r="P38" s="31" t="s">
        <v>28</v>
      </c>
      <c r="Q38" s="31" t="s">
        <v>29</v>
      </c>
      <c r="R38" s="31" t="s">
        <v>30</v>
      </c>
      <c r="S38" s="11" t="s">
        <v>31</v>
      </c>
      <c r="T38" s="32" t="s">
        <v>32</v>
      </c>
      <c r="U38" s="69"/>
    </row>
    <row r="39" spans="1:24" ht="24.75" customHeight="1">
      <c r="A39" s="20"/>
      <c r="B39" s="21"/>
      <c r="C39" s="21"/>
      <c r="D39" s="7" t="s">
        <v>33</v>
      </c>
      <c r="E39" s="8"/>
      <c r="F39" s="103"/>
      <c r="G39" s="103"/>
      <c r="H39" s="8">
        <f t="shared" ref="H39:M39" si="25">+H19</f>
        <v>252</v>
      </c>
      <c r="I39" s="8">
        <f t="shared" si="25"/>
        <v>308</v>
      </c>
      <c r="J39" s="8">
        <f t="shared" si="25"/>
        <v>448</v>
      </c>
      <c r="K39" s="8">
        <f t="shared" si="25"/>
        <v>240</v>
      </c>
      <c r="L39" s="8">
        <f t="shared" si="25"/>
        <v>210</v>
      </c>
      <c r="M39" s="8">
        <f t="shared" si="25"/>
        <v>192</v>
      </c>
      <c r="N39" s="33">
        <f>SUM(H39:M39)</f>
        <v>1650</v>
      </c>
      <c r="O39" s="74"/>
      <c r="P39" s="34" t="s">
        <v>51</v>
      </c>
      <c r="Q39" s="8">
        <f>N38</f>
        <v>2049</v>
      </c>
      <c r="R39" s="8">
        <f>N39</f>
        <v>1650</v>
      </c>
      <c r="S39" s="35">
        <f>R39-Q39</f>
        <v>-399</v>
      </c>
      <c r="T39" s="36">
        <f>S39/Q39</f>
        <v>-0.19472913616398244</v>
      </c>
      <c r="U39" s="70"/>
      <c r="V39" s="37"/>
    </row>
    <row r="40" spans="1:24" s="5" customFormat="1" ht="24.75" customHeight="1">
      <c r="A40" s="38"/>
      <c r="B40" s="16"/>
      <c r="C40" s="16"/>
      <c r="D40" s="39" t="s">
        <v>34</v>
      </c>
      <c r="E40" s="31"/>
      <c r="F40" s="103"/>
      <c r="G40" s="31" t="s">
        <v>35</v>
      </c>
      <c r="H40" s="40">
        <f>H39-H38</f>
        <v>-89</v>
      </c>
      <c r="I40" s="40">
        <f t="shared" ref="I40:M40" si="26">I39-I38</f>
        <v>-48</v>
      </c>
      <c r="J40" s="40">
        <f t="shared" si="26"/>
        <v>-98</v>
      </c>
      <c r="K40" s="40">
        <f t="shared" si="26"/>
        <v>-50</v>
      </c>
      <c r="L40" s="40">
        <f t="shared" si="26"/>
        <v>-53</v>
      </c>
      <c r="M40" s="40">
        <f t="shared" si="26"/>
        <v>-61</v>
      </c>
      <c r="N40" s="41">
        <f>N39-N38</f>
        <v>-399</v>
      </c>
      <c r="O40" s="42"/>
      <c r="P40" s="10" t="s">
        <v>52</v>
      </c>
      <c r="Q40" s="10">
        <f>N44</f>
        <v>6494</v>
      </c>
      <c r="R40" s="10">
        <f>N45</f>
        <v>5204</v>
      </c>
      <c r="S40" s="35">
        <f>R40-Q40</f>
        <v>-1290</v>
      </c>
      <c r="T40" s="36">
        <f>S40/Q40</f>
        <v>-0.19864490298737297</v>
      </c>
      <c r="U40" s="70"/>
    </row>
    <row r="41" spans="1:24" ht="24.75" customHeight="1" thickBot="1">
      <c r="A41" s="20"/>
      <c r="B41" s="16"/>
      <c r="C41" s="16"/>
      <c r="D41" s="55"/>
      <c r="E41" s="56"/>
      <c r="F41" s="56"/>
      <c r="G41" s="56" t="s">
        <v>32</v>
      </c>
      <c r="H41" s="75">
        <f>H40/H38</f>
        <v>-0.26099706744868034</v>
      </c>
      <c r="I41" s="75">
        <f t="shared" ref="I41:M41" si="27">I40/I38</f>
        <v>-0.1348314606741573</v>
      </c>
      <c r="J41" s="75">
        <f>J40/J38</f>
        <v>-0.17948717948717949</v>
      </c>
      <c r="K41" s="75">
        <f t="shared" si="27"/>
        <v>-0.17241379310344829</v>
      </c>
      <c r="L41" s="75">
        <f t="shared" si="27"/>
        <v>-0.20152091254752852</v>
      </c>
      <c r="M41" s="75">
        <f t="shared" si="27"/>
        <v>-0.24110671936758893</v>
      </c>
      <c r="N41" s="76">
        <f>N40/N38</f>
        <v>-0.19472913616398244</v>
      </c>
      <c r="O41" s="21"/>
      <c r="P41" s="43"/>
      <c r="Q41" s="43"/>
      <c r="R41" s="43"/>
      <c r="S41" s="35"/>
      <c r="T41" s="36"/>
      <c r="U41" s="70"/>
    </row>
    <row r="42" spans="1:24" ht="24.9" customHeight="1" thickBot="1">
      <c r="A42" s="20"/>
      <c r="B42" s="16"/>
      <c r="C42" s="16"/>
      <c r="D42" s="47"/>
      <c r="E42" s="47"/>
      <c r="F42" s="47"/>
      <c r="G42" s="47"/>
      <c r="H42" s="59"/>
      <c r="I42" s="59"/>
      <c r="J42" s="59"/>
      <c r="K42" s="59"/>
      <c r="L42" s="59"/>
      <c r="M42" s="59"/>
      <c r="N42" s="59"/>
      <c r="O42" s="53"/>
      <c r="P42" s="44" t="s">
        <v>45</v>
      </c>
      <c r="Q42" s="44">
        <f>SUM(Q39:Q41)</f>
        <v>8543</v>
      </c>
      <c r="R42" s="44">
        <f>SUM(R39:R41)</f>
        <v>6854</v>
      </c>
      <c r="S42" s="45">
        <f>+R42-Q42</f>
        <v>-1689</v>
      </c>
      <c r="T42" s="46">
        <f>+S42/Q42</f>
        <v>-0.19770572398454875</v>
      </c>
      <c r="U42" s="71"/>
    </row>
    <row r="43" spans="1:24" ht="24" customHeight="1" thickBot="1">
      <c r="A43" s="20"/>
      <c r="B43" s="21"/>
      <c r="C43" s="21"/>
      <c r="D43" s="24" t="s">
        <v>25</v>
      </c>
      <c r="E43" s="25"/>
      <c r="F43" s="25" t="s">
        <v>15</v>
      </c>
      <c r="G43" s="25"/>
      <c r="H43" s="26">
        <f t="shared" ref="H43:M43" si="28">H20</f>
        <v>32</v>
      </c>
      <c r="I43" s="26">
        <f t="shared" si="28"/>
        <v>34</v>
      </c>
      <c r="J43" s="26">
        <f t="shared" si="28"/>
        <v>36</v>
      </c>
      <c r="K43" s="26">
        <f t="shared" si="28"/>
        <v>38</v>
      </c>
      <c r="L43" s="26">
        <f t="shared" si="28"/>
        <v>40</v>
      </c>
      <c r="M43" s="26">
        <f t="shared" si="28"/>
        <v>42</v>
      </c>
      <c r="N43" s="27" t="s">
        <v>26</v>
      </c>
      <c r="T43" s="48"/>
    </row>
    <row r="44" spans="1:24" ht="24" customHeight="1">
      <c r="A44" s="60"/>
      <c r="D44" s="28" t="s">
        <v>27</v>
      </c>
      <c r="E44" s="29"/>
      <c r="F44" s="111" t="str">
        <f>F21</f>
        <v>Germany</v>
      </c>
      <c r="G44" s="111" t="str">
        <f>G21</f>
        <v>Medium Dark (EHMD)</v>
      </c>
      <c r="H44" s="29">
        <v>1187</v>
      </c>
      <c r="I44" s="29">
        <v>1373</v>
      </c>
      <c r="J44" s="29">
        <v>1599</v>
      </c>
      <c r="K44" s="29">
        <v>1130</v>
      </c>
      <c r="L44" s="29">
        <v>815</v>
      </c>
      <c r="M44" s="29">
        <v>390</v>
      </c>
      <c r="N44" s="30">
        <f>SUM(H44:M44)</f>
        <v>6494</v>
      </c>
      <c r="T44" s="48"/>
    </row>
    <row r="45" spans="1:24" ht="24" customHeight="1">
      <c r="A45" s="60"/>
      <c r="D45" s="7" t="s">
        <v>33</v>
      </c>
      <c r="E45" s="8"/>
      <c r="F45" s="103"/>
      <c r="G45" s="103"/>
      <c r="H45" s="8">
        <f>+H33</f>
        <v>952</v>
      </c>
      <c r="I45" s="8">
        <f t="shared" ref="I45:M45" si="29">+I33</f>
        <v>1092</v>
      </c>
      <c r="J45" s="8">
        <f t="shared" si="29"/>
        <v>1288</v>
      </c>
      <c r="K45" s="8">
        <f t="shared" si="29"/>
        <v>912</v>
      </c>
      <c r="L45" s="8">
        <f t="shared" si="29"/>
        <v>648</v>
      </c>
      <c r="M45" s="8">
        <f t="shared" si="29"/>
        <v>312</v>
      </c>
      <c r="N45" s="33">
        <f>SUM(H45:M45)</f>
        <v>5204</v>
      </c>
      <c r="T45" s="48"/>
    </row>
    <row r="46" spans="1:24" ht="24" customHeight="1">
      <c r="A46" s="60"/>
      <c r="D46" s="39" t="s">
        <v>34</v>
      </c>
      <c r="E46" s="31"/>
      <c r="F46" s="103"/>
      <c r="G46" s="31" t="s">
        <v>35</v>
      </c>
      <c r="H46" s="40">
        <f>H45-H44</f>
        <v>-235</v>
      </c>
      <c r="I46" s="40">
        <f t="shared" ref="I46:M46" si="30">I45-I44</f>
        <v>-281</v>
      </c>
      <c r="J46" s="40">
        <f t="shared" si="30"/>
        <v>-311</v>
      </c>
      <c r="K46" s="40">
        <f t="shared" si="30"/>
        <v>-218</v>
      </c>
      <c r="L46" s="40">
        <f t="shared" si="30"/>
        <v>-167</v>
      </c>
      <c r="M46" s="40">
        <f t="shared" si="30"/>
        <v>-78</v>
      </c>
      <c r="N46" s="41">
        <f>N45-N44</f>
        <v>-1290</v>
      </c>
      <c r="T46" s="48"/>
    </row>
    <row r="47" spans="1:24" ht="16.2" thickBot="1">
      <c r="A47" s="60"/>
      <c r="D47" s="55"/>
      <c r="E47" s="56"/>
      <c r="F47" s="56"/>
      <c r="G47" s="56" t="s">
        <v>32</v>
      </c>
      <c r="H47" s="57">
        <f>H46/H44</f>
        <v>-0.19797809604043809</v>
      </c>
      <c r="I47" s="57">
        <f t="shared" ref="I47:M47" si="31">I46/I44</f>
        <v>-0.2046613255644574</v>
      </c>
      <c r="J47" s="57">
        <f t="shared" si="31"/>
        <v>-0.19449656035021889</v>
      </c>
      <c r="K47" s="57">
        <f t="shared" si="31"/>
        <v>-0.1929203539823009</v>
      </c>
      <c r="L47" s="75">
        <f t="shared" si="31"/>
        <v>-0.20490797546012271</v>
      </c>
      <c r="M47" s="75">
        <f t="shared" si="31"/>
        <v>-0.2</v>
      </c>
      <c r="N47" s="58">
        <f>N46/N44</f>
        <v>-0.19864490298737297</v>
      </c>
      <c r="T47" s="48"/>
    </row>
    <row r="48" spans="1:24" ht="15" customHeight="1" thickBot="1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4"/>
    </row>
    <row r="50" ht="9" customHeight="1"/>
  </sheetData>
  <mergeCells count="41">
    <mergeCell ref="F44:F46"/>
    <mergeCell ref="G44:G45"/>
    <mergeCell ref="A33:B33"/>
    <mergeCell ref="A34:T34"/>
    <mergeCell ref="A35:B35"/>
    <mergeCell ref="P37:Q37"/>
    <mergeCell ref="R37:T37"/>
    <mergeCell ref="F38:F40"/>
    <mergeCell ref="G38:G39"/>
    <mergeCell ref="F21:F32"/>
    <mergeCell ref="G21:G32"/>
    <mergeCell ref="A5:C5"/>
    <mergeCell ref="D5:H5"/>
    <mergeCell ref="I5:K5"/>
    <mergeCell ref="A6:B6"/>
    <mergeCell ref="F7:F18"/>
    <mergeCell ref="G7:G18"/>
    <mergeCell ref="A19:B19"/>
    <mergeCell ref="A20:B20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0"/>
  <sheetViews>
    <sheetView view="pageBreakPreview" topLeftCell="A20" zoomScale="80" zoomScaleNormal="100" zoomScaleSheetLayoutView="80" workbookViewId="0">
      <selection activeCell="P44" sqref="P44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05" t="s">
        <v>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62"/>
    </row>
    <row r="2" spans="1:28" ht="33.75" customHeight="1">
      <c r="A2" s="110" t="s">
        <v>3</v>
      </c>
      <c r="B2" s="111"/>
      <c r="C2" s="111"/>
      <c r="D2" s="114">
        <f ca="1">TODAY()</f>
        <v>46274</v>
      </c>
      <c r="E2" s="114"/>
      <c r="F2" s="114"/>
      <c r="G2" s="114"/>
      <c r="H2" s="114"/>
      <c r="I2" s="144" t="s">
        <v>2</v>
      </c>
      <c r="J2" s="144"/>
      <c r="K2" s="144"/>
      <c r="L2" s="151" t="str">
        <f>CONCATENATE(G7," &amp; ",G21)</f>
        <v>Bleach Indigo
 (EHBL) &amp; Medium Dark (EHMD)</v>
      </c>
      <c r="M2" s="152"/>
      <c r="N2" s="153"/>
      <c r="O2" s="111" t="s">
        <v>27</v>
      </c>
      <c r="P2" s="111"/>
      <c r="Q2" s="111"/>
      <c r="R2" s="111">
        <f>+Q42</f>
        <v>8543</v>
      </c>
      <c r="S2" s="111"/>
      <c r="T2" s="112"/>
      <c r="U2" s="47"/>
    </row>
    <row r="3" spans="1:28" ht="24" customHeight="1">
      <c r="A3" s="113" t="s">
        <v>4</v>
      </c>
      <c r="B3" s="103"/>
      <c r="C3" s="103"/>
      <c r="D3" s="103" t="s">
        <v>53</v>
      </c>
      <c r="E3" s="103"/>
      <c r="F3" s="103"/>
      <c r="G3" s="103"/>
      <c r="H3" s="103"/>
      <c r="I3" s="103" t="s">
        <v>5</v>
      </c>
      <c r="J3" s="103"/>
      <c r="K3" s="103"/>
      <c r="L3" s="140" t="s">
        <v>55</v>
      </c>
      <c r="M3" s="141"/>
      <c r="N3" s="142"/>
      <c r="O3" s="103" t="s">
        <v>33</v>
      </c>
      <c r="P3" s="103"/>
      <c r="Q3" s="103"/>
      <c r="R3" s="103">
        <f>+R42</f>
        <v>4944</v>
      </c>
      <c r="S3" s="103"/>
      <c r="T3" s="104"/>
      <c r="U3" s="47"/>
    </row>
    <row r="4" spans="1:28" ht="18" customHeight="1">
      <c r="A4" s="113" t="s">
        <v>6</v>
      </c>
      <c r="B4" s="103"/>
      <c r="C4" s="103"/>
      <c r="D4" s="140">
        <v>500081425</v>
      </c>
      <c r="E4" s="141"/>
      <c r="F4" s="141"/>
      <c r="G4" s="141"/>
      <c r="H4" s="142"/>
      <c r="I4" s="103" t="s">
        <v>7</v>
      </c>
      <c r="J4" s="103"/>
      <c r="K4" s="103"/>
      <c r="L4" s="140" t="s">
        <v>54</v>
      </c>
      <c r="M4" s="141"/>
      <c r="N4" s="142"/>
      <c r="O4" s="103" t="s">
        <v>8</v>
      </c>
      <c r="P4" s="103"/>
      <c r="Q4" s="103"/>
      <c r="R4" s="117">
        <f>+S42</f>
        <v>-3599</v>
      </c>
      <c r="S4" s="103"/>
      <c r="T4" s="2">
        <f>(R4/R2)</f>
        <v>-0.42128058059229778</v>
      </c>
      <c r="U4" s="63"/>
    </row>
    <row r="5" spans="1:28" ht="18" customHeight="1">
      <c r="A5" s="113" t="s">
        <v>9</v>
      </c>
      <c r="B5" s="103"/>
      <c r="C5" s="103"/>
      <c r="D5" s="103" t="s">
        <v>48</v>
      </c>
      <c r="E5" s="103"/>
      <c r="F5" s="103"/>
      <c r="G5" s="103"/>
      <c r="H5" s="103"/>
      <c r="I5" s="103" t="s">
        <v>10</v>
      </c>
      <c r="J5" s="103"/>
      <c r="K5" s="103"/>
      <c r="L5" s="137">
        <f>S35</f>
        <v>3769.5319999999997</v>
      </c>
      <c r="M5" s="138"/>
      <c r="N5" s="139"/>
      <c r="O5" s="103" t="s">
        <v>11</v>
      </c>
      <c r="P5" s="103"/>
      <c r="Q5" s="103"/>
      <c r="R5" s="116">
        <f>+T35</f>
        <v>4068.732</v>
      </c>
      <c r="S5" s="103"/>
      <c r="T5" s="2"/>
      <c r="U5" s="63"/>
    </row>
    <row r="6" spans="1:28" s="6" customFormat="1" ht="30" customHeight="1">
      <c r="A6" s="120" t="s">
        <v>12</v>
      </c>
      <c r="B6" s="121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</row>
    <row r="7" spans="1:28" ht="21.9" customHeight="1">
      <c r="A7" s="7">
        <v>1</v>
      </c>
      <c r="B7" s="8">
        <f t="shared" ref="B7:B18" si="0">C7+A7-1</f>
        <v>4</v>
      </c>
      <c r="C7" s="8">
        <v>4</v>
      </c>
      <c r="D7" s="52" t="str">
        <f>CONCATENATE(V7," * ",W7," * ",X7)</f>
        <v>60 * 40 * 30</v>
      </c>
      <c r="E7" s="9">
        <f>V7*W7*X7*C7/1000000</f>
        <v>0.28799999999999998</v>
      </c>
      <c r="F7" s="118" t="s">
        <v>39</v>
      </c>
      <c r="G7" s="118" t="s">
        <v>49</v>
      </c>
      <c r="H7" s="10">
        <v>28</v>
      </c>
      <c r="I7" s="10"/>
      <c r="J7" s="10"/>
      <c r="K7" s="10"/>
      <c r="L7" s="10"/>
      <c r="M7" s="10"/>
      <c r="N7" s="8">
        <f>SUM(H7:M7)</f>
        <v>28</v>
      </c>
      <c r="O7" s="8">
        <f>N7*C7</f>
        <v>112</v>
      </c>
      <c r="P7" s="11">
        <v>0.70899999999999996</v>
      </c>
      <c r="Q7" s="9">
        <f>P7*N7</f>
        <v>19.852</v>
      </c>
      <c r="R7" s="9">
        <f>Q7+1.6</f>
        <v>21.452000000000002</v>
      </c>
      <c r="S7" s="12">
        <f>+Q7*C7</f>
        <v>79.408000000000001</v>
      </c>
      <c r="T7" s="13">
        <f>+R7*C7</f>
        <v>85.808000000000007</v>
      </c>
      <c r="U7" s="65"/>
      <c r="V7" s="72">
        <v>60</v>
      </c>
      <c r="W7" s="72">
        <v>40</v>
      </c>
      <c r="X7" s="72">
        <v>30</v>
      </c>
      <c r="Y7" s="1">
        <v>21.45</v>
      </c>
      <c r="Z7" s="1">
        <f>Y7-1.6</f>
        <v>19.849999999999998</v>
      </c>
      <c r="AA7" s="77">
        <f>Z7/N7</f>
        <v>0.70892857142857135</v>
      </c>
      <c r="AB7" s="77"/>
    </row>
    <row r="8" spans="1:28" ht="21.9" hidden="1" customHeight="1">
      <c r="A8" s="7">
        <f>B7+1</f>
        <v>5</v>
      </c>
      <c r="B8" s="8">
        <f t="shared" si="0"/>
        <v>4</v>
      </c>
      <c r="C8" s="8"/>
      <c r="D8" s="52" t="str">
        <f>CONCATENATE(V8," * ",W8," * ",X8)</f>
        <v>60 * 40 * 30</v>
      </c>
      <c r="E8" s="9">
        <f>V8*W8*X8*C8/1000000</f>
        <v>0</v>
      </c>
      <c r="F8" s="119"/>
      <c r="G8" s="119"/>
      <c r="H8" s="10">
        <v>5</v>
      </c>
      <c r="I8" s="10"/>
      <c r="J8" s="10"/>
      <c r="K8" s="10"/>
      <c r="L8" s="10"/>
      <c r="M8" s="10"/>
      <c r="N8" s="8">
        <f t="shared" ref="N8:N18" si="1">SUM(H8:M8)</f>
        <v>5</v>
      </c>
      <c r="O8" s="8">
        <f t="shared" ref="O8:O16" si="2">N8*C8</f>
        <v>0</v>
      </c>
      <c r="P8" s="11">
        <v>0.70899999999999996</v>
      </c>
      <c r="Q8" s="9">
        <f t="shared" ref="Q8:Q18" si="3">P8*N8</f>
        <v>3.5449999999999999</v>
      </c>
      <c r="R8" s="9">
        <f t="shared" ref="R8:R18" si="4">Q8+1.6</f>
        <v>5.1449999999999996</v>
      </c>
      <c r="S8" s="12">
        <f>+Q8*C8</f>
        <v>0</v>
      </c>
      <c r="T8" s="13">
        <f>+R8*C8</f>
        <v>0</v>
      </c>
      <c r="U8" s="65"/>
      <c r="V8" s="72">
        <v>60</v>
      </c>
      <c r="W8" s="72">
        <v>40</v>
      </c>
      <c r="X8" s="72">
        <v>30</v>
      </c>
      <c r="AA8" s="77"/>
      <c r="AB8" s="77"/>
    </row>
    <row r="9" spans="1:28" ht="21.9" customHeight="1">
      <c r="A9" s="7">
        <f t="shared" ref="A9:A18" si="5">B8+1</f>
        <v>5</v>
      </c>
      <c r="B9" s="8">
        <f t="shared" si="0"/>
        <v>8</v>
      </c>
      <c r="C9" s="8">
        <v>4</v>
      </c>
      <c r="D9" s="52" t="str">
        <f t="shared" ref="D9:D15" si="6">CONCATENATE(V9," * ",W9," * ",X9)</f>
        <v>60 * 40 * 30</v>
      </c>
      <c r="E9" s="9">
        <f t="shared" ref="E9:E15" si="7">V9*W9*X9*C9/1000000</f>
        <v>0.28799999999999998</v>
      </c>
      <c r="F9" s="119"/>
      <c r="G9" s="119"/>
      <c r="H9" s="10"/>
      <c r="I9" s="10">
        <v>28</v>
      </c>
      <c r="J9" s="10"/>
      <c r="K9" s="10"/>
      <c r="L9" s="10"/>
      <c r="M9" s="10"/>
      <c r="N9" s="8">
        <f t="shared" si="1"/>
        <v>28</v>
      </c>
      <c r="O9" s="8">
        <f t="shared" si="2"/>
        <v>112</v>
      </c>
      <c r="P9" s="11">
        <v>0.72899999999999998</v>
      </c>
      <c r="Q9" s="9">
        <f t="shared" si="3"/>
        <v>20.411999999999999</v>
      </c>
      <c r="R9" s="9">
        <f t="shared" si="4"/>
        <v>22.012</v>
      </c>
      <c r="S9" s="12">
        <f t="shared" ref="S9:S18" si="8">+Q9*C9</f>
        <v>81.647999999999996</v>
      </c>
      <c r="T9" s="13">
        <f t="shared" ref="T9:T18" si="9">+R9*C9</f>
        <v>88.048000000000002</v>
      </c>
      <c r="U9" s="65"/>
      <c r="V9" s="72">
        <v>60</v>
      </c>
      <c r="W9" s="72">
        <v>40</v>
      </c>
      <c r="X9" s="72">
        <v>30</v>
      </c>
      <c r="Y9" s="1">
        <v>22</v>
      </c>
      <c r="Z9" s="1">
        <f>Y9-1.6</f>
        <v>20.399999999999999</v>
      </c>
      <c r="AA9" s="77">
        <f>Z9/N9</f>
        <v>0.72857142857142854</v>
      </c>
      <c r="AB9" s="77"/>
    </row>
    <row r="10" spans="1:28" ht="21.9" hidden="1" customHeight="1">
      <c r="A10" s="7">
        <f t="shared" si="5"/>
        <v>9</v>
      </c>
      <c r="B10" s="8">
        <f t="shared" si="0"/>
        <v>8</v>
      </c>
      <c r="C10" s="8"/>
      <c r="D10" s="52" t="str">
        <f t="shared" si="6"/>
        <v>60 * 40 * 30</v>
      </c>
      <c r="E10" s="9">
        <f t="shared" si="7"/>
        <v>0</v>
      </c>
      <c r="F10" s="119"/>
      <c r="G10" s="119"/>
      <c r="H10" s="10"/>
      <c r="I10" s="10">
        <v>20</v>
      </c>
      <c r="J10" s="10"/>
      <c r="K10" s="10"/>
      <c r="L10" s="10"/>
      <c r="M10" s="10"/>
      <c r="N10" s="8">
        <f t="shared" si="1"/>
        <v>20</v>
      </c>
      <c r="O10" s="8">
        <f t="shared" si="2"/>
        <v>0</v>
      </c>
      <c r="P10" s="11">
        <v>0.72899999999999998</v>
      </c>
      <c r="Q10" s="9">
        <f t="shared" si="3"/>
        <v>14.58</v>
      </c>
      <c r="R10" s="9">
        <f t="shared" si="4"/>
        <v>16.18</v>
      </c>
      <c r="S10" s="12">
        <f t="shared" si="8"/>
        <v>0</v>
      </c>
      <c r="T10" s="13">
        <f t="shared" si="9"/>
        <v>0</v>
      </c>
      <c r="U10" s="65"/>
      <c r="V10" s="72">
        <v>60</v>
      </c>
      <c r="W10" s="72">
        <v>40</v>
      </c>
      <c r="X10" s="72">
        <v>30</v>
      </c>
      <c r="AA10" s="77"/>
      <c r="AB10" s="77"/>
    </row>
    <row r="11" spans="1:28" ht="21.9" customHeight="1">
      <c r="A11" s="7">
        <f t="shared" si="5"/>
        <v>9</v>
      </c>
      <c r="B11" s="8">
        <f t="shared" si="0"/>
        <v>15</v>
      </c>
      <c r="C11" s="8">
        <v>7</v>
      </c>
      <c r="D11" s="52" t="str">
        <f t="shared" si="6"/>
        <v>60 * 40 * 30</v>
      </c>
      <c r="E11" s="9">
        <f t="shared" si="7"/>
        <v>0.504</v>
      </c>
      <c r="F11" s="119"/>
      <c r="G11" s="119"/>
      <c r="H11" s="10"/>
      <c r="I11" s="10"/>
      <c r="J11" s="10">
        <v>28</v>
      </c>
      <c r="K11" s="10"/>
      <c r="L11" s="10"/>
      <c r="M11" s="10"/>
      <c r="N11" s="8">
        <f t="shared" si="1"/>
        <v>28</v>
      </c>
      <c r="O11" s="8">
        <f t="shared" si="2"/>
        <v>196</v>
      </c>
      <c r="P11" s="11">
        <v>0.754</v>
      </c>
      <c r="Q11" s="9">
        <f t="shared" si="3"/>
        <v>21.112000000000002</v>
      </c>
      <c r="R11" s="9">
        <f t="shared" si="4"/>
        <v>22.712000000000003</v>
      </c>
      <c r="S11" s="12">
        <f t="shared" si="8"/>
        <v>147.78400000000002</v>
      </c>
      <c r="T11" s="13">
        <f t="shared" si="9"/>
        <v>158.98400000000004</v>
      </c>
      <c r="U11" s="65"/>
      <c r="V11" s="72">
        <v>60</v>
      </c>
      <c r="W11" s="72">
        <v>40</v>
      </c>
      <c r="X11" s="72">
        <v>30</v>
      </c>
      <c r="Y11" s="1">
        <v>22.7</v>
      </c>
      <c r="Z11" s="1">
        <f>Y11-1.6</f>
        <v>21.099999999999998</v>
      </c>
      <c r="AA11" s="77">
        <f>Z11/N11</f>
        <v>0.75357142857142845</v>
      </c>
      <c r="AB11" s="77"/>
    </row>
    <row r="12" spans="1:28" ht="21.9" hidden="1" customHeight="1">
      <c r="A12" s="7">
        <f t="shared" si="5"/>
        <v>16</v>
      </c>
      <c r="B12" s="8">
        <f t="shared" si="0"/>
        <v>15</v>
      </c>
      <c r="C12" s="8"/>
      <c r="D12" s="52" t="str">
        <f t="shared" si="6"/>
        <v>60 * 40 * 30</v>
      </c>
      <c r="E12" s="9">
        <f t="shared" si="7"/>
        <v>0</v>
      </c>
      <c r="F12" s="119"/>
      <c r="G12" s="119"/>
      <c r="H12" s="10"/>
      <c r="I12" s="10"/>
      <c r="J12" s="10">
        <v>14</v>
      </c>
      <c r="K12" s="10"/>
      <c r="L12" s="10"/>
      <c r="M12" s="10"/>
      <c r="N12" s="8">
        <f t="shared" si="1"/>
        <v>14</v>
      </c>
      <c r="O12" s="8">
        <f t="shared" si="2"/>
        <v>0</v>
      </c>
      <c r="P12" s="11">
        <v>0.754</v>
      </c>
      <c r="Q12" s="9">
        <f t="shared" si="3"/>
        <v>10.556000000000001</v>
      </c>
      <c r="R12" s="9">
        <f t="shared" si="4"/>
        <v>12.156000000000001</v>
      </c>
      <c r="S12" s="12">
        <f t="shared" si="8"/>
        <v>0</v>
      </c>
      <c r="T12" s="13">
        <f t="shared" si="9"/>
        <v>0</v>
      </c>
      <c r="U12" s="65"/>
      <c r="V12" s="72">
        <v>60</v>
      </c>
      <c r="W12" s="72">
        <v>40</v>
      </c>
      <c r="X12" s="72">
        <v>30</v>
      </c>
      <c r="AA12" s="77"/>
      <c r="AB12" s="77"/>
    </row>
    <row r="13" spans="1:28" ht="21.9" customHeight="1">
      <c r="A13" s="7">
        <f t="shared" si="5"/>
        <v>16</v>
      </c>
      <c r="B13" s="8">
        <f t="shared" si="0"/>
        <v>19</v>
      </c>
      <c r="C13" s="8">
        <v>4</v>
      </c>
      <c r="D13" s="52" t="str">
        <f t="shared" si="6"/>
        <v>60 * 40 * 30</v>
      </c>
      <c r="E13" s="9">
        <f t="shared" si="7"/>
        <v>0.28799999999999998</v>
      </c>
      <c r="F13" s="119"/>
      <c r="G13" s="119"/>
      <c r="H13" s="10"/>
      <c r="I13" s="10"/>
      <c r="J13" s="10"/>
      <c r="K13" s="10">
        <v>24</v>
      </c>
      <c r="L13" s="10"/>
      <c r="M13" s="10"/>
      <c r="N13" s="8">
        <f t="shared" si="1"/>
        <v>24</v>
      </c>
      <c r="O13" s="8">
        <f t="shared" si="2"/>
        <v>96</v>
      </c>
      <c r="P13" s="11">
        <v>0.77700000000000002</v>
      </c>
      <c r="Q13" s="9">
        <f t="shared" si="3"/>
        <v>18.648</v>
      </c>
      <c r="R13" s="9">
        <f t="shared" si="4"/>
        <v>20.248000000000001</v>
      </c>
      <c r="S13" s="12">
        <f t="shared" si="8"/>
        <v>74.591999999999999</v>
      </c>
      <c r="T13" s="13">
        <f t="shared" si="9"/>
        <v>80.992000000000004</v>
      </c>
      <c r="U13" s="65"/>
      <c r="V13" s="72">
        <v>60</v>
      </c>
      <c r="W13" s="72">
        <v>40</v>
      </c>
      <c r="X13" s="72">
        <v>30</v>
      </c>
      <c r="Y13" s="1">
        <v>20.25</v>
      </c>
      <c r="Z13" s="1">
        <f>Y13-1.6</f>
        <v>18.649999999999999</v>
      </c>
      <c r="AA13" s="77">
        <f>Z13/N13</f>
        <v>0.77708333333333324</v>
      </c>
      <c r="AB13" s="77"/>
    </row>
    <row r="14" spans="1:28" ht="21.9" hidden="1" customHeight="1">
      <c r="A14" s="7">
        <f t="shared" si="5"/>
        <v>20</v>
      </c>
      <c r="B14" s="8">
        <f t="shared" si="0"/>
        <v>19</v>
      </c>
      <c r="C14" s="8"/>
      <c r="D14" s="52" t="str">
        <f t="shared" si="6"/>
        <v>60 * 40 * 30</v>
      </c>
      <c r="E14" s="9">
        <f t="shared" si="7"/>
        <v>0</v>
      </c>
      <c r="F14" s="119"/>
      <c r="G14" s="119"/>
      <c r="H14" s="10"/>
      <c r="I14" s="10"/>
      <c r="J14" s="10"/>
      <c r="K14" s="10">
        <v>2</v>
      </c>
      <c r="L14" s="10"/>
      <c r="M14" s="10"/>
      <c r="N14" s="8">
        <f t="shared" si="1"/>
        <v>2</v>
      </c>
      <c r="O14" s="8">
        <f t="shared" si="2"/>
        <v>0</v>
      </c>
      <c r="P14" s="11">
        <v>0.77700000000000002</v>
      </c>
      <c r="Q14" s="9">
        <f t="shared" si="3"/>
        <v>1.554</v>
      </c>
      <c r="R14" s="9">
        <f t="shared" si="4"/>
        <v>3.1539999999999999</v>
      </c>
      <c r="S14" s="12">
        <f t="shared" si="8"/>
        <v>0</v>
      </c>
      <c r="T14" s="13">
        <f t="shared" si="9"/>
        <v>0</v>
      </c>
      <c r="U14" s="65"/>
      <c r="V14" s="72">
        <v>60</v>
      </c>
      <c r="W14" s="72">
        <v>40</v>
      </c>
      <c r="X14" s="72">
        <v>30</v>
      </c>
      <c r="AA14" s="77"/>
    </row>
    <row r="15" spans="1:28" ht="21.9" customHeight="1">
      <c r="A15" s="7">
        <f t="shared" si="5"/>
        <v>20</v>
      </c>
      <c r="B15" s="8">
        <f t="shared" si="0"/>
        <v>21</v>
      </c>
      <c r="C15" s="8">
        <v>2</v>
      </c>
      <c r="D15" s="52" t="str">
        <f t="shared" si="6"/>
        <v>60 * 40 * 30</v>
      </c>
      <c r="E15" s="9">
        <f t="shared" si="7"/>
        <v>0.14399999999999999</v>
      </c>
      <c r="F15" s="119"/>
      <c r="G15" s="119"/>
      <c r="H15" s="10"/>
      <c r="I15" s="10"/>
      <c r="J15" s="10"/>
      <c r="K15" s="10"/>
      <c r="L15" s="10">
        <v>24</v>
      </c>
      <c r="M15" s="10"/>
      <c r="N15" s="8">
        <f t="shared" si="1"/>
        <v>24</v>
      </c>
      <c r="O15" s="8">
        <f t="shared" si="2"/>
        <v>48</v>
      </c>
      <c r="P15" s="11">
        <v>0.8</v>
      </c>
      <c r="Q15" s="9">
        <f t="shared" si="3"/>
        <v>19.200000000000003</v>
      </c>
      <c r="R15" s="9">
        <f t="shared" si="4"/>
        <v>20.800000000000004</v>
      </c>
      <c r="S15" s="12">
        <f t="shared" si="8"/>
        <v>38.400000000000006</v>
      </c>
      <c r="T15" s="13">
        <f t="shared" si="9"/>
        <v>41.600000000000009</v>
      </c>
      <c r="U15" s="65"/>
      <c r="V15" s="72">
        <v>60</v>
      </c>
      <c r="W15" s="72">
        <v>40</v>
      </c>
      <c r="X15" s="72">
        <v>30</v>
      </c>
      <c r="Y15" s="1">
        <v>20.8</v>
      </c>
      <c r="Z15" s="1">
        <f>Y15-1.6</f>
        <v>19.2</v>
      </c>
      <c r="AA15" s="77">
        <f>Z15/N15</f>
        <v>0.79999999999999993</v>
      </c>
    </row>
    <row r="16" spans="1:28" ht="21.75" hidden="1" customHeight="1">
      <c r="A16" s="7">
        <f t="shared" si="5"/>
        <v>22</v>
      </c>
      <c r="B16" s="8">
        <f t="shared" si="0"/>
        <v>21</v>
      </c>
      <c r="C16" s="8"/>
      <c r="D16" s="52" t="str">
        <f>CONCATENATE(V16," * ",W16," * ",X16)</f>
        <v>60 * 40 * 30</v>
      </c>
      <c r="E16" s="9">
        <f>V16*W16*X16*C16/1000000</f>
        <v>0</v>
      </c>
      <c r="F16" s="119"/>
      <c r="G16" s="119"/>
      <c r="H16" s="10"/>
      <c r="I16" s="10"/>
      <c r="J16" s="10"/>
      <c r="K16" s="10"/>
      <c r="L16" s="10">
        <v>23</v>
      </c>
      <c r="M16" s="10"/>
      <c r="N16" s="8">
        <f t="shared" si="1"/>
        <v>23</v>
      </c>
      <c r="O16" s="8">
        <f t="shared" si="2"/>
        <v>0</v>
      </c>
      <c r="P16" s="11">
        <v>0.8</v>
      </c>
      <c r="Q16" s="9">
        <f t="shared" si="3"/>
        <v>18.400000000000002</v>
      </c>
      <c r="R16" s="9">
        <f t="shared" si="4"/>
        <v>20.000000000000004</v>
      </c>
      <c r="S16" s="12">
        <f t="shared" si="8"/>
        <v>0</v>
      </c>
      <c r="T16" s="13">
        <f t="shared" si="9"/>
        <v>0</v>
      </c>
      <c r="U16" s="65"/>
      <c r="V16" s="72">
        <v>60</v>
      </c>
      <c r="W16" s="72">
        <v>40</v>
      </c>
      <c r="X16" s="72">
        <v>30</v>
      </c>
      <c r="AA16" s="77"/>
    </row>
    <row r="17" spans="1:27" ht="21.9" customHeight="1">
      <c r="A17" s="7">
        <f t="shared" si="5"/>
        <v>22</v>
      </c>
      <c r="B17" s="8">
        <f t="shared" si="0"/>
        <v>24</v>
      </c>
      <c r="C17" s="8">
        <v>3</v>
      </c>
      <c r="D17" s="52" t="str">
        <f>CONCATENATE(V17," * ",W17," * ",X17)</f>
        <v>60 * 40 * 30</v>
      </c>
      <c r="E17" s="9">
        <f>V17*W17*X17*C17/1000000</f>
        <v>0.216</v>
      </c>
      <c r="F17" s="119"/>
      <c r="G17" s="119"/>
      <c r="H17" s="10"/>
      <c r="I17" s="10"/>
      <c r="J17" s="10"/>
      <c r="K17" s="10"/>
      <c r="L17" s="10"/>
      <c r="M17" s="10">
        <v>24</v>
      </c>
      <c r="N17" s="8">
        <f t="shared" si="1"/>
        <v>24</v>
      </c>
      <c r="O17" s="8">
        <f>N17*C17</f>
        <v>72</v>
      </c>
      <c r="P17" s="11">
        <v>0.82499999999999996</v>
      </c>
      <c r="Q17" s="9">
        <f t="shared" si="3"/>
        <v>19.799999999999997</v>
      </c>
      <c r="R17" s="9">
        <f t="shared" si="4"/>
        <v>21.4</v>
      </c>
      <c r="S17" s="12">
        <f t="shared" si="8"/>
        <v>59.399999999999991</v>
      </c>
      <c r="T17" s="13">
        <f t="shared" si="9"/>
        <v>64.199999999999989</v>
      </c>
      <c r="U17" s="65"/>
      <c r="V17" s="72">
        <v>60</v>
      </c>
      <c r="W17" s="72">
        <v>40</v>
      </c>
      <c r="X17" s="72">
        <v>30</v>
      </c>
      <c r="Y17" s="1">
        <v>21.4</v>
      </c>
      <c r="Z17" s="1">
        <f>Y17-1.6</f>
        <v>19.799999999999997</v>
      </c>
      <c r="AA17" s="77">
        <f>Z17/N17</f>
        <v>0.82499999999999984</v>
      </c>
    </row>
    <row r="18" spans="1:27" ht="21.9" hidden="1" customHeight="1">
      <c r="A18" s="7">
        <f t="shared" si="5"/>
        <v>25</v>
      </c>
      <c r="B18" s="8">
        <f t="shared" si="0"/>
        <v>24</v>
      </c>
      <c r="C18" s="8"/>
      <c r="D18" s="52" t="str">
        <f>CONCATENATE(V18," * ",W18," * ",X18)</f>
        <v>60 * 40 * 30</v>
      </c>
      <c r="E18" s="9">
        <f>V18*W18*X18*C18/1000000</f>
        <v>0</v>
      </c>
      <c r="F18" s="119"/>
      <c r="G18" s="119"/>
      <c r="H18" s="10"/>
      <c r="I18" s="10"/>
      <c r="J18" s="10"/>
      <c r="K18" s="10"/>
      <c r="L18" s="10"/>
      <c r="M18" s="10">
        <v>13</v>
      </c>
      <c r="N18" s="8">
        <f t="shared" si="1"/>
        <v>13</v>
      </c>
      <c r="O18" s="8">
        <f>N18*C18</f>
        <v>0</v>
      </c>
      <c r="P18" s="11">
        <v>0.82499999999999996</v>
      </c>
      <c r="Q18" s="9">
        <f t="shared" si="3"/>
        <v>10.725</v>
      </c>
      <c r="R18" s="9">
        <f t="shared" si="4"/>
        <v>12.324999999999999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  <c r="AA18" s="77"/>
    </row>
    <row r="19" spans="1:27" s="6" customFormat="1" ht="21.9" customHeight="1">
      <c r="A19" s="128" t="s">
        <v>24</v>
      </c>
      <c r="B19" s="129"/>
      <c r="C19" s="14">
        <f>SUM(C7:C18)</f>
        <v>24</v>
      </c>
      <c r="D19" s="14"/>
      <c r="E19" s="15">
        <f>SUM(E7:E18)</f>
        <v>1.728</v>
      </c>
      <c r="F19" s="14"/>
      <c r="G19" s="14"/>
      <c r="H19" s="14">
        <f>SUMPRODUCT(H7:H18,$C$7:$C$18)</f>
        <v>112</v>
      </c>
      <c r="I19" s="14">
        <f>SUMPRODUCT(I7:I18,$C$7:$C$18)</f>
        <v>112</v>
      </c>
      <c r="J19" s="14">
        <f>SUMPRODUCT(J7:J18,$C$7:$C$18)</f>
        <v>196</v>
      </c>
      <c r="K19" s="14">
        <f t="shared" ref="K19:L19" si="10">SUMPRODUCT(K7:K18,$C$7:$C$18)</f>
        <v>96</v>
      </c>
      <c r="L19" s="14">
        <f t="shared" si="10"/>
        <v>48</v>
      </c>
      <c r="M19" s="14">
        <f>SUMPRODUCT(M7:M18,$C$7:$C$18)</f>
        <v>72</v>
      </c>
      <c r="N19" s="14" t="s">
        <v>0</v>
      </c>
      <c r="O19" s="14">
        <f>SUM(O7:O18)</f>
        <v>636</v>
      </c>
      <c r="P19" s="15"/>
      <c r="Q19" s="15"/>
      <c r="R19" s="15"/>
      <c r="S19" s="15">
        <f>SUM(S7:S18)</f>
        <v>481.23199999999997</v>
      </c>
      <c r="T19" s="50">
        <f>SUM(T7:T18)</f>
        <v>519.63200000000006</v>
      </c>
      <c r="U19" s="66"/>
      <c r="V19" s="5"/>
      <c r="W19" s="5"/>
      <c r="X19" s="5"/>
      <c r="AA19" s="78"/>
    </row>
    <row r="20" spans="1:27" s="6" customFormat="1" ht="30" customHeight="1">
      <c r="A20" s="120" t="s">
        <v>12</v>
      </c>
      <c r="B20" s="121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7" ht="21.9" customHeight="1">
      <c r="A21" s="7">
        <f>B18+1</f>
        <v>25</v>
      </c>
      <c r="B21" s="8">
        <f t="shared" ref="B21:B32" si="12">C21+A21-1</f>
        <v>52</v>
      </c>
      <c r="C21" s="8">
        <v>28</v>
      </c>
      <c r="D21" s="52" t="str">
        <f>CONCATENATE(V21," * ",W21," * ",X21)</f>
        <v>60 * 40 * 30</v>
      </c>
      <c r="E21" s="9">
        <f>V21*W21*X21*C21/1000000</f>
        <v>2.016</v>
      </c>
      <c r="F21" s="118" t="s">
        <v>39</v>
      </c>
      <c r="G21" s="118" t="s">
        <v>50</v>
      </c>
      <c r="H21" s="10">
        <v>28</v>
      </c>
      <c r="I21" s="10"/>
      <c r="J21" s="10"/>
      <c r="K21" s="10"/>
      <c r="L21" s="10"/>
      <c r="M21" s="10"/>
      <c r="N21" s="8">
        <f>SUM(H21:M21)</f>
        <v>28</v>
      </c>
      <c r="O21" s="8">
        <f>N21*C21</f>
        <v>784</v>
      </c>
      <c r="P21" s="11">
        <v>0.72499999999999998</v>
      </c>
      <c r="Q21" s="9">
        <f t="shared" ref="Q21:Q32" si="13">P21*N21</f>
        <v>20.3</v>
      </c>
      <c r="R21" s="9">
        <f t="shared" ref="R21:R32" si="14">Q21+1.6</f>
        <v>21.900000000000002</v>
      </c>
      <c r="S21" s="12">
        <f>+Q21*C21</f>
        <v>568.4</v>
      </c>
      <c r="T21" s="13">
        <f>+R21*C21</f>
        <v>613.20000000000005</v>
      </c>
      <c r="U21" s="65"/>
      <c r="V21" s="72">
        <v>60</v>
      </c>
      <c r="W21" s="72">
        <v>40</v>
      </c>
      <c r="X21" s="72">
        <v>30</v>
      </c>
      <c r="Y21" s="1">
        <v>21.9</v>
      </c>
      <c r="Z21" s="1">
        <f>Y21-1.6</f>
        <v>20.299999999999997</v>
      </c>
      <c r="AA21" s="77">
        <f>Z21/N21</f>
        <v>0.72499999999999987</v>
      </c>
    </row>
    <row r="22" spans="1:27" ht="21.9" hidden="1" customHeight="1">
      <c r="A22" s="7">
        <f>B21+1</f>
        <v>53</v>
      </c>
      <c r="B22" s="8">
        <f t="shared" si="12"/>
        <v>52</v>
      </c>
      <c r="C22" s="8"/>
      <c r="D22" s="52" t="str">
        <f>CONCATENATE(V22," * ",W22," * ",X22)</f>
        <v>60 * 40 * 30</v>
      </c>
      <c r="E22" s="9">
        <f>V22*W22*X22*C22/1000000</f>
        <v>0</v>
      </c>
      <c r="F22" s="119"/>
      <c r="G22" s="119"/>
      <c r="H22" s="10">
        <v>11</v>
      </c>
      <c r="I22" s="10"/>
      <c r="J22" s="10"/>
      <c r="K22" s="10"/>
      <c r="L22" s="10"/>
      <c r="M22" s="10"/>
      <c r="N22" s="8">
        <f t="shared" ref="N22:N32" si="15">SUM(H22:M22)</f>
        <v>11</v>
      </c>
      <c r="O22" s="8">
        <f t="shared" ref="O22:O32" si="16">N22*C22</f>
        <v>0</v>
      </c>
      <c r="P22" s="11">
        <v>0.72499999999999998</v>
      </c>
      <c r="Q22" s="9">
        <f t="shared" si="13"/>
        <v>7.9749999999999996</v>
      </c>
      <c r="R22" s="9">
        <f t="shared" si="14"/>
        <v>9.5749999999999993</v>
      </c>
      <c r="S22" s="12">
        <f>+Q22*C22</f>
        <v>0</v>
      </c>
      <c r="T22" s="13">
        <f>+R22*C22</f>
        <v>0</v>
      </c>
      <c r="U22" s="65"/>
      <c r="V22" s="72">
        <v>60</v>
      </c>
      <c r="W22" s="72">
        <v>40</v>
      </c>
      <c r="X22" s="72">
        <v>30</v>
      </c>
      <c r="AA22" s="77"/>
    </row>
    <row r="23" spans="1:27" ht="21.9" customHeight="1">
      <c r="A23" s="7">
        <f t="shared" ref="A23:A32" si="17">B22+1</f>
        <v>53</v>
      </c>
      <c r="B23" s="8">
        <f t="shared" si="12"/>
        <v>86</v>
      </c>
      <c r="C23" s="8">
        <v>34</v>
      </c>
      <c r="D23" s="52" t="str">
        <f t="shared" ref="D23:D32" si="18">CONCATENATE(V23," * ",W23," * ",X23)</f>
        <v>60 * 40 * 30</v>
      </c>
      <c r="E23" s="9">
        <f t="shared" ref="E23:E32" si="19">V23*W23*X23*C23/1000000</f>
        <v>2.448</v>
      </c>
      <c r="F23" s="119"/>
      <c r="G23" s="119"/>
      <c r="H23" s="10"/>
      <c r="I23" s="10">
        <v>28</v>
      </c>
      <c r="J23" s="10"/>
      <c r="K23" s="10"/>
      <c r="L23" s="10"/>
      <c r="M23" s="10"/>
      <c r="N23" s="8">
        <f t="shared" si="15"/>
        <v>28</v>
      </c>
      <c r="O23" s="8">
        <f t="shared" si="16"/>
        <v>952</v>
      </c>
      <c r="P23" s="11">
        <v>0.73899999999999999</v>
      </c>
      <c r="Q23" s="9">
        <f t="shared" si="13"/>
        <v>20.692</v>
      </c>
      <c r="R23" s="9">
        <f t="shared" si="14"/>
        <v>22.292000000000002</v>
      </c>
      <c r="S23" s="12">
        <f t="shared" ref="S23:S32" si="20">+Q23*C23</f>
        <v>703.52800000000002</v>
      </c>
      <c r="T23" s="13">
        <f t="shared" ref="T23:T32" si="21">+R23*C23</f>
        <v>757.92800000000011</v>
      </c>
      <c r="U23" s="65"/>
      <c r="V23" s="72">
        <v>60</v>
      </c>
      <c r="W23" s="72">
        <v>40</v>
      </c>
      <c r="X23" s="72">
        <v>30</v>
      </c>
      <c r="Y23" s="1">
        <v>22.3</v>
      </c>
      <c r="Z23" s="1">
        <f>Y23-1.6</f>
        <v>20.7</v>
      </c>
      <c r="AA23" s="77">
        <f>Z23/N23</f>
        <v>0.73928571428571421</v>
      </c>
    </row>
    <row r="24" spans="1:27" ht="21.9" hidden="1" customHeight="1">
      <c r="A24" s="7">
        <f t="shared" si="17"/>
        <v>87</v>
      </c>
      <c r="B24" s="8">
        <f t="shared" si="12"/>
        <v>86</v>
      </c>
      <c r="C24" s="8"/>
      <c r="D24" s="52" t="str">
        <f t="shared" si="18"/>
        <v>60 * 40 * 30</v>
      </c>
      <c r="E24" s="9">
        <f t="shared" si="19"/>
        <v>0</v>
      </c>
      <c r="F24" s="119"/>
      <c r="G24" s="119"/>
      <c r="H24" s="10"/>
      <c r="I24" s="10">
        <v>1</v>
      </c>
      <c r="J24" s="10"/>
      <c r="K24" s="10"/>
      <c r="L24" s="10"/>
      <c r="M24" s="10"/>
      <c r="N24" s="8">
        <f t="shared" si="15"/>
        <v>1</v>
      </c>
      <c r="O24" s="8">
        <f t="shared" si="16"/>
        <v>0</v>
      </c>
      <c r="P24" s="11">
        <v>0.73899999999999999</v>
      </c>
      <c r="Q24" s="9">
        <f t="shared" si="13"/>
        <v>0.73899999999999999</v>
      </c>
      <c r="R24" s="9">
        <f t="shared" si="14"/>
        <v>2.339</v>
      </c>
      <c r="S24" s="12">
        <f t="shared" si="20"/>
        <v>0</v>
      </c>
      <c r="T24" s="13">
        <f t="shared" si="21"/>
        <v>0</v>
      </c>
      <c r="U24" s="65"/>
      <c r="V24" s="72">
        <v>60</v>
      </c>
      <c r="W24" s="72">
        <v>40</v>
      </c>
      <c r="X24" s="72">
        <v>30</v>
      </c>
      <c r="AA24" s="77"/>
    </row>
    <row r="25" spans="1:27" ht="21.9" customHeight="1">
      <c r="A25" s="7">
        <f t="shared" si="17"/>
        <v>87</v>
      </c>
      <c r="B25" s="8">
        <f t="shared" si="12"/>
        <v>123</v>
      </c>
      <c r="C25" s="8">
        <v>37</v>
      </c>
      <c r="D25" s="52" t="str">
        <f t="shared" si="18"/>
        <v>60 * 40 * 30</v>
      </c>
      <c r="E25" s="9">
        <f t="shared" si="19"/>
        <v>2.6640000000000001</v>
      </c>
      <c r="F25" s="119"/>
      <c r="G25" s="119"/>
      <c r="H25" s="10"/>
      <c r="I25" s="10"/>
      <c r="J25" s="10">
        <v>28</v>
      </c>
      <c r="K25" s="10"/>
      <c r="L25" s="10"/>
      <c r="M25" s="10"/>
      <c r="N25" s="8">
        <f t="shared" si="15"/>
        <v>28</v>
      </c>
      <c r="O25" s="8">
        <f t="shared" si="16"/>
        <v>1036</v>
      </c>
      <c r="P25" s="11">
        <v>0.75900000000000001</v>
      </c>
      <c r="Q25" s="9">
        <f t="shared" si="13"/>
        <v>21.251999999999999</v>
      </c>
      <c r="R25" s="9">
        <f t="shared" si="14"/>
        <v>22.852</v>
      </c>
      <c r="S25" s="12">
        <f t="shared" si="20"/>
        <v>786.32399999999996</v>
      </c>
      <c r="T25" s="13">
        <f t="shared" si="21"/>
        <v>845.524</v>
      </c>
      <c r="U25" s="65"/>
      <c r="V25" s="72">
        <v>60</v>
      </c>
      <c r="W25" s="72">
        <v>40</v>
      </c>
      <c r="X25" s="72">
        <v>30</v>
      </c>
      <c r="Y25" s="1">
        <v>22.85</v>
      </c>
      <c r="Z25" s="1">
        <f>Y25-1.6</f>
        <v>21.25</v>
      </c>
      <c r="AA25" s="77">
        <f>Z25/N25</f>
        <v>0.7589285714285714</v>
      </c>
    </row>
    <row r="26" spans="1:27" ht="21.9" hidden="1" customHeight="1">
      <c r="A26" s="7">
        <f t="shared" si="17"/>
        <v>124</v>
      </c>
      <c r="B26" s="8">
        <f t="shared" si="12"/>
        <v>123</v>
      </c>
      <c r="C26" s="8"/>
      <c r="D26" s="52" t="str">
        <f t="shared" si="18"/>
        <v>60 * 40 * 30</v>
      </c>
      <c r="E26" s="9">
        <f t="shared" si="19"/>
        <v>0</v>
      </c>
      <c r="F26" s="119"/>
      <c r="G26" s="119"/>
      <c r="H26" s="10"/>
      <c r="I26" s="10"/>
      <c r="J26" s="10">
        <v>3</v>
      </c>
      <c r="K26" s="10"/>
      <c r="L26" s="10"/>
      <c r="M26" s="10"/>
      <c r="N26" s="8">
        <f t="shared" si="15"/>
        <v>3</v>
      </c>
      <c r="O26" s="8">
        <f t="shared" si="16"/>
        <v>0</v>
      </c>
      <c r="P26" s="11">
        <v>0.75900000000000001</v>
      </c>
      <c r="Q26" s="9">
        <f t="shared" si="13"/>
        <v>2.2770000000000001</v>
      </c>
      <c r="R26" s="9">
        <f t="shared" si="14"/>
        <v>3.8770000000000002</v>
      </c>
      <c r="S26" s="12">
        <f t="shared" si="20"/>
        <v>0</v>
      </c>
      <c r="T26" s="13">
        <f t="shared" si="21"/>
        <v>0</v>
      </c>
      <c r="U26" s="65"/>
      <c r="V26" s="72">
        <v>60</v>
      </c>
      <c r="W26" s="72">
        <v>40</v>
      </c>
      <c r="X26" s="72">
        <v>30</v>
      </c>
      <c r="AA26" s="77"/>
    </row>
    <row r="27" spans="1:27" ht="21.9" customHeight="1">
      <c r="A27" s="7">
        <f t="shared" si="17"/>
        <v>124</v>
      </c>
      <c r="B27" s="8">
        <f t="shared" si="12"/>
        <v>155</v>
      </c>
      <c r="C27" s="8">
        <v>32</v>
      </c>
      <c r="D27" s="52" t="str">
        <f t="shared" si="18"/>
        <v>60 * 40 * 30</v>
      </c>
      <c r="E27" s="9">
        <f t="shared" si="19"/>
        <v>2.3039999999999998</v>
      </c>
      <c r="F27" s="119"/>
      <c r="G27" s="119"/>
      <c r="H27" s="10"/>
      <c r="I27" s="10"/>
      <c r="J27" s="10"/>
      <c r="K27" s="10">
        <v>24</v>
      </c>
      <c r="L27" s="10"/>
      <c r="M27" s="10"/>
      <c r="N27" s="8">
        <f t="shared" si="15"/>
        <v>24</v>
      </c>
      <c r="O27" s="8">
        <f t="shared" si="16"/>
        <v>768</v>
      </c>
      <c r="P27" s="11">
        <v>0.78300000000000003</v>
      </c>
      <c r="Q27" s="9">
        <f t="shared" si="13"/>
        <v>18.792000000000002</v>
      </c>
      <c r="R27" s="9">
        <f t="shared" si="14"/>
        <v>20.392000000000003</v>
      </c>
      <c r="S27" s="12">
        <f t="shared" si="20"/>
        <v>601.34400000000005</v>
      </c>
      <c r="T27" s="13">
        <f t="shared" si="21"/>
        <v>652.5440000000001</v>
      </c>
      <c r="U27" s="65"/>
      <c r="V27" s="72">
        <v>60</v>
      </c>
      <c r="W27" s="72">
        <v>40</v>
      </c>
      <c r="X27" s="72">
        <v>30</v>
      </c>
      <c r="Y27" s="1">
        <v>20.399999999999999</v>
      </c>
      <c r="Z27" s="1">
        <f>Y27-1.6</f>
        <v>18.799999999999997</v>
      </c>
      <c r="AA27" s="77">
        <f>Z27/N27</f>
        <v>0.78333333333333321</v>
      </c>
    </row>
    <row r="28" spans="1:27" ht="21.9" hidden="1" customHeight="1">
      <c r="A28" s="7">
        <f t="shared" si="17"/>
        <v>156</v>
      </c>
      <c r="B28" s="8">
        <f t="shared" si="12"/>
        <v>155</v>
      </c>
      <c r="C28" s="8"/>
      <c r="D28" s="52" t="str">
        <f t="shared" si="18"/>
        <v>60 * 40 * 30</v>
      </c>
      <c r="E28" s="9">
        <f t="shared" si="19"/>
        <v>0</v>
      </c>
      <c r="F28" s="119"/>
      <c r="G28" s="119"/>
      <c r="H28" s="10"/>
      <c r="I28" s="10"/>
      <c r="J28" s="10"/>
      <c r="K28" s="10">
        <v>2</v>
      </c>
      <c r="L28" s="10"/>
      <c r="M28" s="10"/>
      <c r="N28" s="8">
        <f t="shared" si="15"/>
        <v>2</v>
      </c>
      <c r="O28" s="8">
        <f t="shared" si="16"/>
        <v>0</v>
      </c>
      <c r="P28" s="11">
        <v>0.78300000000000003</v>
      </c>
      <c r="Q28" s="9">
        <f t="shared" si="13"/>
        <v>1.5660000000000001</v>
      </c>
      <c r="R28" s="9">
        <f t="shared" si="14"/>
        <v>3.1660000000000004</v>
      </c>
      <c r="S28" s="12">
        <f t="shared" si="20"/>
        <v>0</v>
      </c>
      <c r="T28" s="13">
        <f t="shared" si="21"/>
        <v>0</v>
      </c>
      <c r="U28" s="65"/>
      <c r="V28" s="72">
        <v>60</v>
      </c>
      <c r="W28" s="72">
        <v>40</v>
      </c>
      <c r="X28" s="72">
        <v>30</v>
      </c>
      <c r="AA28" s="77"/>
    </row>
    <row r="29" spans="1:27" ht="21.9" customHeight="1">
      <c r="A29" s="7">
        <f t="shared" si="17"/>
        <v>156</v>
      </c>
      <c r="B29" s="8">
        <f t="shared" si="12"/>
        <v>178</v>
      </c>
      <c r="C29" s="8">
        <v>23</v>
      </c>
      <c r="D29" s="52" t="str">
        <f t="shared" si="18"/>
        <v>60 * 40 * 30</v>
      </c>
      <c r="E29" s="9">
        <f t="shared" si="19"/>
        <v>1.6559999999999999</v>
      </c>
      <c r="F29" s="119"/>
      <c r="G29" s="119"/>
      <c r="H29" s="10"/>
      <c r="I29" s="10"/>
      <c r="J29" s="10"/>
      <c r="K29" s="10"/>
      <c r="L29" s="10">
        <v>24</v>
      </c>
      <c r="M29" s="10"/>
      <c r="N29" s="8">
        <f t="shared" si="15"/>
        <v>24</v>
      </c>
      <c r="O29" s="8">
        <f>N29*C29</f>
        <v>552</v>
      </c>
      <c r="P29" s="11">
        <v>0.81299999999999994</v>
      </c>
      <c r="Q29" s="9">
        <f t="shared" si="13"/>
        <v>19.512</v>
      </c>
      <c r="R29" s="9">
        <f t="shared" si="14"/>
        <v>21.112000000000002</v>
      </c>
      <c r="S29" s="12">
        <f t="shared" si="20"/>
        <v>448.77600000000001</v>
      </c>
      <c r="T29" s="13">
        <f t="shared" si="21"/>
        <v>485.57600000000002</v>
      </c>
      <c r="U29" s="65"/>
      <c r="V29" s="72">
        <v>60</v>
      </c>
      <c r="W29" s="72">
        <v>40</v>
      </c>
      <c r="X29" s="72">
        <v>30</v>
      </c>
      <c r="Y29" s="1">
        <v>21.1</v>
      </c>
      <c r="Z29" s="1">
        <f>Y29-1.6</f>
        <v>19.5</v>
      </c>
      <c r="AA29" s="77">
        <f>Z29/N29</f>
        <v>0.8125</v>
      </c>
    </row>
    <row r="30" spans="1:27" ht="21.9" hidden="1" customHeight="1">
      <c r="A30" s="7">
        <f t="shared" si="17"/>
        <v>179</v>
      </c>
      <c r="B30" s="8">
        <f t="shared" si="12"/>
        <v>178</v>
      </c>
      <c r="C30" s="8"/>
      <c r="D30" s="52" t="str">
        <f t="shared" si="18"/>
        <v>60 * 40 * 30</v>
      </c>
      <c r="E30" s="9">
        <f t="shared" si="19"/>
        <v>0</v>
      </c>
      <c r="F30" s="119"/>
      <c r="G30" s="119"/>
      <c r="H30" s="10"/>
      <c r="I30" s="10"/>
      <c r="J30" s="10"/>
      <c r="K30" s="10"/>
      <c r="L30" s="10">
        <v>23</v>
      </c>
      <c r="M30" s="10"/>
      <c r="N30" s="8">
        <f t="shared" si="15"/>
        <v>23</v>
      </c>
      <c r="O30" s="8">
        <f>N30*C30</f>
        <v>0</v>
      </c>
      <c r="P30" s="11">
        <v>0.81299999999999994</v>
      </c>
      <c r="Q30" s="9">
        <f t="shared" si="13"/>
        <v>18.698999999999998</v>
      </c>
      <c r="R30" s="9">
        <f t="shared" si="14"/>
        <v>20.298999999999999</v>
      </c>
      <c r="S30" s="12">
        <f t="shared" si="20"/>
        <v>0</v>
      </c>
      <c r="T30" s="13">
        <f t="shared" si="21"/>
        <v>0</v>
      </c>
      <c r="U30" s="65"/>
      <c r="V30" s="72">
        <v>60</v>
      </c>
      <c r="W30" s="72">
        <v>40</v>
      </c>
      <c r="X30" s="72">
        <v>30</v>
      </c>
      <c r="AA30" s="77"/>
    </row>
    <row r="31" spans="1:27" ht="21.9" customHeight="1">
      <c r="A31" s="7">
        <f t="shared" si="17"/>
        <v>179</v>
      </c>
      <c r="B31" s="8">
        <f t="shared" si="12"/>
        <v>187</v>
      </c>
      <c r="C31" s="8">
        <v>9</v>
      </c>
      <c r="D31" s="52" t="str">
        <f t="shared" si="18"/>
        <v>60 * 40 * 30</v>
      </c>
      <c r="E31" s="9">
        <f t="shared" si="19"/>
        <v>0.64800000000000002</v>
      </c>
      <c r="F31" s="119"/>
      <c r="G31" s="119"/>
      <c r="H31" s="10"/>
      <c r="I31" s="10"/>
      <c r="J31" s="10"/>
      <c r="K31" s="10"/>
      <c r="L31" s="10"/>
      <c r="M31" s="10">
        <v>24</v>
      </c>
      <c r="N31" s="8">
        <f t="shared" si="15"/>
        <v>24</v>
      </c>
      <c r="O31" s="8">
        <f t="shared" si="16"/>
        <v>216</v>
      </c>
      <c r="P31" s="11">
        <v>0.83299999999999996</v>
      </c>
      <c r="Q31" s="9">
        <f t="shared" si="13"/>
        <v>19.991999999999997</v>
      </c>
      <c r="R31" s="9">
        <f t="shared" si="14"/>
        <v>21.591999999999999</v>
      </c>
      <c r="S31" s="12">
        <f t="shared" si="20"/>
        <v>179.92799999999997</v>
      </c>
      <c r="T31" s="13">
        <f t="shared" si="21"/>
        <v>194.32799999999997</v>
      </c>
      <c r="U31" s="65"/>
      <c r="V31" s="72">
        <v>60</v>
      </c>
      <c r="W31" s="72">
        <v>40</v>
      </c>
      <c r="X31" s="72">
        <v>30</v>
      </c>
      <c r="Y31" s="1">
        <v>21.6</v>
      </c>
      <c r="Z31" s="1">
        <f>Y31-1.6</f>
        <v>20</v>
      </c>
      <c r="AA31" s="77">
        <f>Z31/N31</f>
        <v>0.83333333333333337</v>
      </c>
    </row>
    <row r="32" spans="1:27" ht="21.9" hidden="1" customHeight="1">
      <c r="A32" s="7">
        <f t="shared" si="17"/>
        <v>188</v>
      </c>
      <c r="B32" s="8">
        <f t="shared" si="12"/>
        <v>187</v>
      </c>
      <c r="C32" s="8"/>
      <c r="D32" s="52" t="str">
        <f t="shared" si="18"/>
        <v>60 * 40 * 30</v>
      </c>
      <c r="E32" s="9">
        <f t="shared" si="19"/>
        <v>0</v>
      </c>
      <c r="F32" s="119"/>
      <c r="G32" s="119"/>
      <c r="H32" s="10"/>
      <c r="I32" s="10"/>
      <c r="J32" s="10"/>
      <c r="K32" s="10"/>
      <c r="L32" s="10"/>
      <c r="M32" s="10">
        <v>6</v>
      </c>
      <c r="N32" s="8">
        <f t="shared" si="15"/>
        <v>6</v>
      </c>
      <c r="O32" s="8">
        <f t="shared" si="16"/>
        <v>0</v>
      </c>
      <c r="P32" s="11">
        <v>0.83299999999999996</v>
      </c>
      <c r="Q32" s="9">
        <f t="shared" si="13"/>
        <v>4.9979999999999993</v>
      </c>
      <c r="R32" s="9">
        <f t="shared" si="14"/>
        <v>6.597999999999999</v>
      </c>
      <c r="S32" s="12">
        <f t="shared" si="20"/>
        <v>0</v>
      </c>
      <c r="T32" s="13">
        <f t="shared" si="21"/>
        <v>0</v>
      </c>
      <c r="U32" s="65"/>
      <c r="V32" s="72">
        <v>60</v>
      </c>
      <c r="W32" s="72">
        <v>40</v>
      </c>
      <c r="X32" s="72">
        <v>30</v>
      </c>
      <c r="AA32" s="77"/>
    </row>
    <row r="33" spans="1:24" s="6" customFormat="1" ht="21.9" customHeight="1">
      <c r="A33" s="128" t="s">
        <v>24</v>
      </c>
      <c r="B33" s="129"/>
      <c r="C33" s="14">
        <f>SUM(C21:C32)</f>
        <v>163</v>
      </c>
      <c r="D33" s="14"/>
      <c r="E33" s="15">
        <f>SUM(E21:E32)</f>
        <v>11.736000000000001</v>
      </c>
      <c r="F33" s="14"/>
      <c r="G33" s="14"/>
      <c r="H33" s="14">
        <f t="shared" ref="H33:M33" si="22">SUMPRODUCT(H21:H32,$C$21:$C$32)</f>
        <v>784</v>
      </c>
      <c r="I33" s="14">
        <f t="shared" si="22"/>
        <v>952</v>
      </c>
      <c r="J33" s="14">
        <f t="shared" si="22"/>
        <v>1036</v>
      </c>
      <c r="K33" s="14">
        <f t="shared" si="22"/>
        <v>768</v>
      </c>
      <c r="L33" s="14">
        <f t="shared" si="22"/>
        <v>552</v>
      </c>
      <c r="M33" s="14">
        <f t="shared" si="22"/>
        <v>216</v>
      </c>
      <c r="N33" s="14" t="s">
        <v>0</v>
      </c>
      <c r="O33" s="14">
        <f>SUM(O21:O32)</f>
        <v>4308</v>
      </c>
      <c r="P33" s="15"/>
      <c r="Q33" s="15"/>
      <c r="R33" s="15"/>
      <c r="S33" s="15">
        <f>SUM(S21:S32)</f>
        <v>3288.2999999999997</v>
      </c>
      <c r="T33" s="50">
        <f>SUM(T21:T32)</f>
        <v>3549.1</v>
      </c>
      <c r="U33" s="66"/>
      <c r="V33" s="5"/>
      <c r="W33" s="5"/>
      <c r="X33" s="5"/>
    </row>
    <row r="34" spans="1:24" s="6" customFormat="1" ht="15.6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67"/>
      <c r="V34" s="5"/>
      <c r="W34" s="5"/>
      <c r="X34" s="5"/>
    </row>
    <row r="35" spans="1:24" s="19" customFormat="1" ht="20.100000000000001" customHeight="1">
      <c r="A35" s="132" t="s">
        <v>36</v>
      </c>
      <c r="B35" s="133"/>
      <c r="C35" s="17">
        <f>SUM(C33,C19)</f>
        <v>187</v>
      </c>
      <c r="D35" s="17" t="s">
        <v>37</v>
      </c>
      <c r="E35" s="18">
        <f>SUM(E33,E19)</f>
        <v>13.464</v>
      </c>
      <c r="F35" s="17"/>
      <c r="G35" s="17"/>
      <c r="H35" s="17">
        <f t="shared" ref="H35:M35" si="23">SUM(H33,H19)</f>
        <v>896</v>
      </c>
      <c r="I35" s="17">
        <f t="shared" si="23"/>
        <v>1064</v>
      </c>
      <c r="J35" s="17">
        <f t="shared" si="23"/>
        <v>1232</v>
      </c>
      <c r="K35" s="17">
        <f t="shared" si="23"/>
        <v>864</v>
      </c>
      <c r="L35" s="17">
        <f t="shared" si="23"/>
        <v>600</v>
      </c>
      <c r="M35" s="17">
        <f t="shared" si="23"/>
        <v>288</v>
      </c>
      <c r="N35" s="17"/>
      <c r="O35" s="17">
        <f>SUM(O33,O19)</f>
        <v>4944</v>
      </c>
      <c r="P35" s="17"/>
      <c r="Q35" s="17"/>
      <c r="R35" s="17"/>
      <c r="S35" s="18">
        <f>SUM(S33,S19)</f>
        <v>3769.5319999999997</v>
      </c>
      <c r="T35" s="18">
        <f>SUM(T33,T19)</f>
        <v>4068.732</v>
      </c>
      <c r="U35" s="68"/>
      <c r="V35" s="5"/>
      <c r="W35" s="5"/>
      <c r="X35" s="5"/>
    </row>
    <row r="36" spans="1:24" ht="30.75" customHeight="1" thickBot="1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3"/>
      <c r="U36" s="22"/>
    </row>
    <row r="37" spans="1:24" ht="24.9" customHeight="1" thickBot="1">
      <c r="A37" s="20"/>
      <c r="B37" s="21"/>
      <c r="C37" s="21"/>
      <c r="D37" s="24" t="s">
        <v>25</v>
      </c>
      <c r="E37" s="25"/>
      <c r="F37" s="25" t="s">
        <v>15</v>
      </c>
      <c r="G37" s="25"/>
      <c r="H37" s="26">
        <f t="shared" ref="H37:M37" si="24">+H6</f>
        <v>32</v>
      </c>
      <c r="I37" s="26">
        <f t="shared" si="24"/>
        <v>34</v>
      </c>
      <c r="J37" s="26">
        <f t="shared" si="24"/>
        <v>36</v>
      </c>
      <c r="K37" s="26">
        <f t="shared" si="24"/>
        <v>38</v>
      </c>
      <c r="L37" s="26">
        <f t="shared" si="24"/>
        <v>40</v>
      </c>
      <c r="M37" s="26">
        <f t="shared" si="24"/>
        <v>42</v>
      </c>
      <c r="N37" s="27" t="s">
        <v>26</v>
      </c>
      <c r="O37" s="73"/>
      <c r="P37" s="134"/>
      <c r="Q37" s="134"/>
      <c r="R37" s="135"/>
      <c r="S37" s="135"/>
      <c r="T37" s="136"/>
      <c r="U37" s="51"/>
    </row>
    <row r="38" spans="1:24" ht="24.9" customHeight="1">
      <c r="A38" s="20"/>
      <c r="B38" s="21"/>
      <c r="C38" s="21"/>
      <c r="D38" s="28" t="s">
        <v>27</v>
      </c>
      <c r="E38" s="29"/>
      <c r="F38" s="111" t="str">
        <f>+F7</f>
        <v>Germany</v>
      </c>
      <c r="G38" s="111" t="str">
        <f>+G7</f>
        <v>Bleach Indigo
 (EHBL)</v>
      </c>
      <c r="H38" s="29">
        <v>341</v>
      </c>
      <c r="I38" s="29">
        <v>356</v>
      </c>
      <c r="J38" s="29">
        <v>546</v>
      </c>
      <c r="K38" s="29">
        <v>290</v>
      </c>
      <c r="L38" s="29">
        <v>263</v>
      </c>
      <c r="M38" s="29">
        <v>253</v>
      </c>
      <c r="N38" s="30">
        <f>SUM(H38:M38)</f>
        <v>2049</v>
      </c>
      <c r="O38" s="74"/>
      <c r="P38" s="31" t="s">
        <v>28</v>
      </c>
      <c r="Q38" s="31" t="s">
        <v>29</v>
      </c>
      <c r="R38" s="31" t="s">
        <v>30</v>
      </c>
      <c r="S38" s="11" t="s">
        <v>31</v>
      </c>
      <c r="T38" s="32" t="s">
        <v>32</v>
      </c>
      <c r="U38" s="69"/>
    </row>
    <row r="39" spans="1:24" ht="24.75" customHeight="1">
      <c r="A39" s="20"/>
      <c r="B39" s="21"/>
      <c r="C39" s="21"/>
      <c r="D39" s="7" t="s">
        <v>33</v>
      </c>
      <c r="E39" s="8"/>
      <c r="F39" s="103"/>
      <c r="G39" s="103"/>
      <c r="H39" s="8">
        <f t="shared" ref="H39:M39" si="25">+H19</f>
        <v>112</v>
      </c>
      <c r="I39" s="8">
        <f t="shared" si="25"/>
        <v>112</v>
      </c>
      <c r="J39" s="8">
        <f t="shared" si="25"/>
        <v>196</v>
      </c>
      <c r="K39" s="8">
        <f t="shared" si="25"/>
        <v>96</v>
      </c>
      <c r="L39" s="8">
        <f t="shared" si="25"/>
        <v>48</v>
      </c>
      <c r="M39" s="8">
        <f t="shared" si="25"/>
        <v>72</v>
      </c>
      <c r="N39" s="33">
        <f>SUM(H39:M39)</f>
        <v>636</v>
      </c>
      <c r="O39" s="74"/>
      <c r="P39" s="34" t="s">
        <v>51</v>
      </c>
      <c r="Q39" s="8">
        <f>N38</f>
        <v>2049</v>
      </c>
      <c r="R39" s="8">
        <f>N39</f>
        <v>636</v>
      </c>
      <c r="S39" s="35">
        <f>R39-Q39</f>
        <v>-1413</v>
      </c>
      <c r="T39" s="36">
        <f>S39/Q39</f>
        <v>-0.68960468521229867</v>
      </c>
      <c r="U39" s="70"/>
      <c r="V39" s="37"/>
    </row>
    <row r="40" spans="1:24" s="5" customFormat="1" ht="24.75" customHeight="1">
      <c r="A40" s="38"/>
      <c r="B40" s="16"/>
      <c r="C40" s="16"/>
      <c r="D40" s="39" t="s">
        <v>34</v>
      </c>
      <c r="E40" s="31"/>
      <c r="F40" s="103"/>
      <c r="G40" s="31" t="s">
        <v>35</v>
      </c>
      <c r="H40" s="40">
        <f>H39-H38</f>
        <v>-229</v>
      </c>
      <c r="I40" s="40">
        <f t="shared" ref="I40:M40" si="26">I39-I38</f>
        <v>-244</v>
      </c>
      <c r="J40" s="40">
        <f t="shared" si="26"/>
        <v>-350</v>
      </c>
      <c r="K40" s="40">
        <f t="shared" si="26"/>
        <v>-194</v>
      </c>
      <c r="L40" s="40">
        <f t="shared" si="26"/>
        <v>-215</v>
      </c>
      <c r="M40" s="40">
        <f t="shared" si="26"/>
        <v>-181</v>
      </c>
      <c r="N40" s="41">
        <f>N39-N38</f>
        <v>-1413</v>
      </c>
      <c r="O40" s="42"/>
      <c r="P40" s="10" t="s">
        <v>52</v>
      </c>
      <c r="Q40" s="10">
        <f>N44</f>
        <v>6494</v>
      </c>
      <c r="R40" s="10">
        <f>N45</f>
        <v>4308</v>
      </c>
      <c r="S40" s="35">
        <f>R40-Q40</f>
        <v>-2186</v>
      </c>
      <c r="T40" s="36">
        <f>S40/Q40</f>
        <v>-0.33661841700030798</v>
      </c>
      <c r="U40" s="70"/>
    </row>
    <row r="41" spans="1:24" ht="24.75" customHeight="1" thickBot="1">
      <c r="A41" s="20"/>
      <c r="B41" s="16"/>
      <c r="C41" s="16"/>
      <c r="D41" s="55"/>
      <c r="E41" s="56"/>
      <c r="F41" s="56"/>
      <c r="G41" s="56" t="s">
        <v>32</v>
      </c>
      <c r="H41" s="75">
        <f>H40/H38</f>
        <v>-0.67155425219941345</v>
      </c>
      <c r="I41" s="75">
        <f t="shared" ref="I41:M41" si="27">I40/I38</f>
        <v>-0.6853932584269663</v>
      </c>
      <c r="J41" s="75">
        <f>J40/J38</f>
        <v>-0.64102564102564108</v>
      </c>
      <c r="K41" s="75">
        <f t="shared" si="27"/>
        <v>-0.66896551724137931</v>
      </c>
      <c r="L41" s="75">
        <f t="shared" si="27"/>
        <v>-0.81749049429657794</v>
      </c>
      <c r="M41" s="75">
        <f t="shared" si="27"/>
        <v>-0.71541501976284583</v>
      </c>
      <c r="N41" s="76">
        <f>N40/N38</f>
        <v>-0.68960468521229867</v>
      </c>
      <c r="O41" s="21"/>
      <c r="P41" s="43"/>
      <c r="Q41" s="43"/>
      <c r="R41" s="43"/>
      <c r="S41" s="35"/>
      <c r="T41" s="36"/>
      <c r="U41" s="70"/>
    </row>
    <row r="42" spans="1:24" ht="24.9" customHeight="1" thickBot="1">
      <c r="A42" s="20"/>
      <c r="B42" s="16"/>
      <c r="C42" s="16"/>
      <c r="D42" s="47"/>
      <c r="E42" s="47"/>
      <c r="F42" s="47"/>
      <c r="G42" s="47"/>
      <c r="H42" s="59"/>
      <c r="I42" s="59"/>
      <c r="J42" s="59"/>
      <c r="K42" s="59"/>
      <c r="L42" s="59"/>
      <c r="M42" s="59"/>
      <c r="N42" s="59"/>
      <c r="O42" s="53"/>
      <c r="P42" s="44" t="s">
        <v>45</v>
      </c>
      <c r="Q42" s="44">
        <f>SUM(Q39:Q41)</f>
        <v>8543</v>
      </c>
      <c r="R42" s="44">
        <f>SUM(R39:R41)</f>
        <v>4944</v>
      </c>
      <c r="S42" s="45">
        <f>+R42-Q42</f>
        <v>-3599</v>
      </c>
      <c r="T42" s="46">
        <f>+S42/Q42</f>
        <v>-0.42128058059229778</v>
      </c>
      <c r="U42" s="71"/>
    </row>
    <row r="43" spans="1:24" ht="24" customHeight="1" thickBot="1">
      <c r="A43" s="20"/>
      <c r="B43" s="21"/>
      <c r="C43" s="21"/>
      <c r="D43" s="24" t="s">
        <v>25</v>
      </c>
      <c r="E43" s="25"/>
      <c r="F43" s="25" t="s">
        <v>15</v>
      </c>
      <c r="G43" s="25"/>
      <c r="H43" s="26">
        <f t="shared" ref="H43:M43" si="28">H20</f>
        <v>32</v>
      </c>
      <c r="I43" s="26">
        <f t="shared" si="28"/>
        <v>34</v>
      </c>
      <c r="J43" s="26">
        <f t="shared" si="28"/>
        <v>36</v>
      </c>
      <c r="K43" s="26">
        <f t="shared" si="28"/>
        <v>38</v>
      </c>
      <c r="L43" s="26">
        <f t="shared" si="28"/>
        <v>40</v>
      </c>
      <c r="M43" s="26">
        <f t="shared" si="28"/>
        <v>42</v>
      </c>
      <c r="N43" s="27" t="s">
        <v>26</v>
      </c>
      <c r="T43" s="48"/>
    </row>
    <row r="44" spans="1:24" ht="24" customHeight="1">
      <c r="A44" s="60"/>
      <c r="D44" s="28" t="s">
        <v>27</v>
      </c>
      <c r="E44" s="29"/>
      <c r="F44" s="111" t="str">
        <f>F21</f>
        <v>Germany</v>
      </c>
      <c r="G44" s="111" t="str">
        <f>G21</f>
        <v>Medium Dark (EHMD)</v>
      </c>
      <c r="H44" s="29">
        <v>1187</v>
      </c>
      <c r="I44" s="29">
        <v>1373</v>
      </c>
      <c r="J44" s="29">
        <v>1599</v>
      </c>
      <c r="K44" s="29">
        <v>1130</v>
      </c>
      <c r="L44" s="29">
        <v>815</v>
      </c>
      <c r="M44" s="29">
        <v>390</v>
      </c>
      <c r="N44" s="30">
        <f>SUM(H44:M44)</f>
        <v>6494</v>
      </c>
      <c r="T44" s="48"/>
    </row>
    <row r="45" spans="1:24" ht="24" customHeight="1">
      <c r="A45" s="60"/>
      <c r="D45" s="7" t="s">
        <v>33</v>
      </c>
      <c r="E45" s="8"/>
      <c r="F45" s="103"/>
      <c r="G45" s="103"/>
      <c r="H45" s="8">
        <f>+H33</f>
        <v>784</v>
      </c>
      <c r="I45" s="8">
        <f t="shared" ref="I45:M45" si="29">+I33</f>
        <v>952</v>
      </c>
      <c r="J45" s="8">
        <f t="shared" si="29"/>
        <v>1036</v>
      </c>
      <c r="K45" s="8">
        <f t="shared" si="29"/>
        <v>768</v>
      </c>
      <c r="L45" s="8">
        <f t="shared" si="29"/>
        <v>552</v>
      </c>
      <c r="M45" s="8">
        <f t="shared" si="29"/>
        <v>216</v>
      </c>
      <c r="N45" s="33">
        <f>SUM(H45:M45)</f>
        <v>4308</v>
      </c>
      <c r="T45" s="48"/>
    </row>
    <row r="46" spans="1:24" ht="24" customHeight="1">
      <c r="A46" s="60"/>
      <c r="D46" s="39" t="s">
        <v>34</v>
      </c>
      <c r="E46" s="31"/>
      <c r="F46" s="103"/>
      <c r="G46" s="31" t="s">
        <v>35</v>
      </c>
      <c r="H46" s="40">
        <f>H45-H44</f>
        <v>-403</v>
      </c>
      <c r="I46" s="40">
        <f t="shared" ref="I46:M46" si="30">I45-I44</f>
        <v>-421</v>
      </c>
      <c r="J46" s="40">
        <f t="shared" si="30"/>
        <v>-563</v>
      </c>
      <c r="K46" s="40">
        <f t="shared" si="30"/>
        <v>-362</v>
      </c>
      <c r="L46" s="40">
        <f t="shared" si="30"/>
        <v>-263</v>
      </c>
      <c r="M46" s="40">
        <f t="shared" si="30"/>
        <v>-174</v>
      </c>
      <c r="N46" s="41">
        <f>N45-N44</f>
        <v>-2186</v>
      </c>
      <c r="T46" s="48"/>
    </row>
    <row r="47" spans="1:24" ht="16.2" thickBot="1">
      <c r="A47" s="60"/>
      <c r="D47" s="55"/>
      <c r="E47" s="56"/>
      <c r="F47" s="56"/>
      <c r="G47" s="56" t="s">
        <v>32</v>
      </c>
      <c r="H47" s="57">
        <f>H46/H44</f>
        <v>-0.33951137320977254</v>
      </c>
      <c r="I47" s="57">
        <f t="shared" ref="I47:M47" si="31">I46/I44</f>
        <v>-0.30662782228696284</v>
      </c>
      <c r="J47" s="57">
        <f t="shared" si="31"/>
        <v>-0.35209505941213259</v>
      </c>
      <c r="K47" s="57">
        <f t="shared" si="31"/>
        <v>-0.32035398230088497</v>
      </c>
      <c r="L47" s="75">
        <f t="shared" si="31"/>
        <v>-0.32269938650306751</v>
      </c>
      <c r="M47" s="75">
        <f t="shared" si="31"/>
        <v>-0.44615384615384618</v>
      </c>
      <c r="N47" s="58">
        <f>N46/N44</f>
        <v>-0.33661841700030798</v>
      </c>
      <c r="T47" s="48"/>
    </row>
    <row r="48" spans="1:24" ht="15" customHeight="1" thickBot="1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4"/>
    </row>
    <row r="50" ht="9" customHeight="1"/>
  </sheetData>
  <mergeCells count="41"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F21:F32"/>
    <mergeCell ref="G21:G32"/>
    <mergeCell ref="A5:C5"/>
    <mergeCell ref="D5:H5"/>
    <mergeCell ref="I5:K5"/>
    <mergeCell ref="A6:B6"/>
    <mergeCell ref="F7:F18"/>
    <mergeCell ref="G7:G18"/>
    <mergeCell ref="A19:B19"/>
    <mergeCell ref="A20:B20"/>
    <mergeCell ref="F44:F46"/>
    <mergeCell ref="G44:G45"/>
    <mergeCell ref="A33:B33"/>
    <mergeCell ref="A34:T34"/>
    <mergeCell ref="A35:B35"/>
    <mergeCell ref="P37:Q37"/>
    <mergeCell ref="R37:T37"/>
    <mergeCell ref="F38:F40"/>
    <mergeCell ref="G38:G39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view="pageBreakPreview" topLeftCell="F32" zoomScale="80" zoomScaleNormal="100" zoomScaleSheetLayoutView="80" workbookViewId="0">
      <selection activeCell="P37" sqref="P37:Q37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16384" width="10.109375" style="1"/>
  </cols>
  <sheetData>
    <row r="1" spans="1:24" ht="30.75" customHeight="1" thickBot="1">
      <c r="A1" s="105" t="s">
        <v>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62"/>
    </row>
    <row r="2" spans="1:24" ht="33.75" customHeight="1">
      <c r="A2" s="110" t="s">
        <v>3</v>
      </c>
      <c r="B2" s="111"/>
      <c r="C2" s="111"/>
      <c r="D2" s="114">
        <f ca="1">TODAY()</f>
        <v>46274</v>
      </c>
      <c r="E2" s="114"/>
      <c r="F2" s="114"/>
      <c r="G2" s="114"/>
      <c r="H2" s="114"/>
      <c r="I2" s="144" t="s">
        <v>2</v>
      </c>
      <c r="J2" s="144"/>
      <c r="K2" s="144"/>
      <c r="L2" s="151" t="str">
        <f>CONCATENATE(G7," &amp; ",G21)</f>
        <v>Medium Indigo (EHV) &amp; Black (HHU)</v>
      </c>
      <c r="M2" s="152"/>
      <c r="N2" s="153"/>
      <c r="O2" s="111" t="s">
        <v>27</v>
      </c>
      <c r="P2" s="111"/>
      <c r="Q2" s="111"/>
      <c r="R2" s="111">
        <f>+Q42</f>
        <v>22808</v>
      </c>
      <c r="S2" s="111"/>
      <c r="T2" s="112"/>
      <c r="U2" s="47"/>
    </row>
    <row r="3" spans="1:24" ht="24" customHeight="1">
      <c r="A3" s="113" t="s">
        <v>4</v>
      </c>
      <c r="B3" s="103"/>
      <c r="C3" s="103"/>
      <c r="D3" s="103"/>
      <c r="E3" s="103"/>
      <c r="F3" s="103"/>
      <c r="G3" s="103"/>
      <c r="H3" s="103"/>
      <c r="I3" s="103" t="s">
        <v>5</v>
      </c>
      <c r="J3" s="103"/>
      <c r="K3" s="103"/>
      <c r="L3" s="140" t="s">
        <v>40</v>
      </c>
      <c r="M3" s="141"/>
      <c r="N3" s="142"/>
      <c r="O3" s="103" t="s">
        <v>33</v>
      </c>
      <c r="P3" s="103"/>
      <c r="Q3" s="103"/>
      <c r="R3" s="103">
        <f>+R42</f>
        <v>18250</v>
      </c>
      <c r="S3" s="103"/>
      <c r="T3" s="104"/>
      <c r="U3" s="47"/>
    </row>
    <row r="4" spans="1:24" ht="18" customHeight="1">
      <c r="A4" s="113" t="s">
        <v>6</v>
      </c>
      <c r="B4" s="103"/>
      <c r="C4" s="103"/>
      <c r="D4" s="140">
        <v>500080179</v>
      </c>
      <c r="E4" s="141"/>
      <c r="F4" s="141"/>
      <c r="G4" s="141"/>
      <c r="H4" s="142"/>
      <c r="I4" s="103" t="s">
        <v>7</v>
      </c>
      <c r="J4" s="103"/>
      <c r="K4" s="103"/>
      <c r="L4" s="154" t="s">
        <v>41</v>
      </c>
      <c r="M4" s="155"/>
      <c r="N4" s="156"/>
      <c r="O4" s="103" t="s">
        <v>8</v>
      </c>
      <c r="P4" s="103"/>
      <c r="Q4" s="103"/>
      <c r="R4" s="117">
        <f>+S42</f>
        <v>-4558</v>
      </c>
      <c r="S4" s="103"/>
      <c r="T4" s="2">
        <f>(R4/R2)</f>
        <v>-0.1998421606453876</v>
      </c>
      <c r="U4" s="63"/>
    </row>
    <row r="5" spans="1:24" ht="18" customHeight="1">
      <c r="A5" s="113" t="s">
        <v>9</v>
      </c>
      <c r="B5" s="103"/>
      <c r="C5" s="103"/>
      <c r="D5" s="103" t="s">
        <v>42</v>
      </c>
      <c r="E5" s="103"/>
      <c r="F5" s="103"/>
      <c r="G5" s="103"/>
      <c r="H5" s="103"/>
      <c r="I5" s="103" t="s">
        <v>10</v>
      </c>
      <c r="J5" s="103"/>
      <c r="K5" s="103"/>
      <c r="L5" s="137">
        <f>S35</f>
        <v>5531.2028787878789</v>
      </c>
      <c r="M5" s="138"/>
      <c r="N5" s="139"/>
      <c r="O5" s="103" t="s">
        <v>11</v>
      </c>
      <c r="P5" s="103"/>
      <c r="Q5" s="103"/>
      <c r="R5" s="116">
        <f>+T35</f>
        <v>6040.0028787878782</v>
      </c>
      <c r="S5" s="103"/>
      <c r="T5" s="2"/>
      <c r="U5" s="63"/>
    </row>
    <row r="6" spans="1:24" s="6" customFormat="1" ht="30" customHeight="1">
      <c r="A6" s="120" t="s">
        <v>12</v>
      </c>
      <c r="B6" s="121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</row>
    <row r="7" spans="1:24" ht="21.9" customHeight="1">
      <c r="A7" s="7">
        <v>1</v>
      </c>
      <c r="B7" s="8">
        <f t="shared" ref="B7:B18" si="0">C7+A7-1</f>
        <v>25</v>
      </c>
      <c r="C7" s="8">
        <v>25</v>
      </c>
      <c r="D7" s="52" t="str">
        <f>CONCATENATE(V7," * ",W7," * ",X7)</f>
        <v>60 * 40 * 30</v>
      </c>
      <c r="E7" s="9">
        <f>V7*W7*X7*C7/1000000</f>
        <v>1.8</v>
      </c>
      <c r="F7" s="118" t="s">
        <v>39</v>
      </c>
      <c r="G7" s="118" t="s">
        <v>43</v>
      </c>
      <c r="H7" s="10">
        <v>60</v>
      </c>
      <c r="I7" s="10"/>
      <c r="J7" s="10"/>
      <c r="K7" s="10"/>
      <c r="L7" s="10"/>
      <c r="M7" s="10"/>
      <c r="N7" s="8">
        <f>SUM(H7:M7)</f>
        <v>60</v>
      </c>
      <c r="O7" s="8">
        <f>N7*C7</f>
        <v>1500</v>
      </c>
      <c r="P7" s="11">
        <v>0.28166666666666662</v>
      </c>
      <c r="Q7" s="9">
        <f>P7*N7</f>
        <v>16.899999999999999</v>
      </c>
      <c r="R7" s="9">
        <f>Q7+1.6</f>
        <v>18.5</v>
      </c>
      <c r="S7" s="12">
        <f>+Q7*C7</f>
        <v>422.49999999999994</v>
      </c>
      <c r="T7" s="13">
        <f>+R7*C7</f>
        <v>462.5</v>
      </c>
      <c r="U7" s="65"/>
      <c r="V7" s="72">
        <v>60</v>
      </c>
      <c r="W7" s="72">
        <v>40</v>
      </c>
      <c r="X7" s="72">
        <v>30</v>
      </c>
    </row>
    <row r="8" spans="1:24" ht="21.9" customHeight="1">
      <c r="A8" s="7">
        <f>B7+1</f>
        <v>26</v>
      </c>
      <c r="B8" s="8">
        <f t="shared" si="0"/>
        <v>26</v>
      </c>
      <c r="C8" s="8">
        <v>1</v>
      </c>
      <c r="D8" s="52" t="str">
        <f>CONCATENATE(V8," * ",W8," * ",X8)</f>
        <v>60 * 40 * 30</v>
      </c>
      <c r="E8" s="9">
        <f>V8*W8*X8*C8/1000000</f>
        <v>7.1999999999999995E-2</v>
      </c>
      <c r="F8" s="119"/>
      <c r="G8" s="119"/>
      <c r="H8" s="10">
        <v>59</v>
      </c>
      <c r="I8" s="10"/>
      <c r="J8" s="10"/>
      <c r="K8" s="10"/>
      <c r="L8" s="10"/>
      <c r="M8" s="10"/>
      <c r="N8" s="8">
        <f t="shared" ref="N8:N18" si="1">SUM(H8:M8)</f>
        <v>59</v>
      </c>
      <c r="O8" s="8">
        <f t="shared" ref="O8:O16" si="2">N8*C8</f>
        <v>59</v>
      </c>
      <c r="P8" s="11">
        <v>0.28166666666666668</v>
      </c>
      <c r="Q8" s="9">
        <f t="shared" ref="Q8:Q18" si="3">P8*N8</f>
        <v>16.618333333333332</v>
      </c>
      <c r="R8" s="9">
        <f t="shared" ref="R8:R18" si="4">Q8+1.6</f>
        <v>18.218333333333334</v>
      </c>
      <c r="S8" s="12">
        <f>+Q8*C8</f>
        <v>16.618333333333332</v>
      </c>
      <c r="T8" s="13">
        <f>+R8*C8</f>
        <v>18.218333333333334</v>
      </c>
      <c r="U8" s="65"/>
      <c r="V8" s="72">
        <v>60</v>
      </c>
      <c r="W8" s="72">
        <v>40</v>
      </c>
      <c r="X8" s="72">
        <v>30</v>
      </c>
    </row>
    <row r="9" spans="1:24" ht="21.9" customHeight="1">
      <c r="A9" s="7">
        <f t="shared" ref="A9:A18" si="5">B8+1</f>
        <v>27</v>
      </c>
      <c r="B9" s="8">
        <f t="shared" si="0"/>
        <v>59</v>
      </c>
      <c r="C9" s="8">
        <v>33</v>
      </c>
      <c r="D9" s="52" t="str">
        <f t="shared" ref="D9:D15" si="6">CONCATENATE(V9," * ",W9," * ",X9)</f>
        <v>60 * 40 * 30</v>
      </c>
      <c r="E9" s="9">
        <f t="shared" ref="E9:E15" si="7">V9*W9*X9*C9/1000000</f>
        <v>2.3759999999999999</v>
      </c>
      <c r="F9" s="119"/>
      <c r="G9" s="119"/>
      <c r="H9" s="10"/>
      <c r="I9" s="10">
        <v>60</v>
      </c>
      <c r="J9" s="10"/>
      <c r="K9" s="10"/>
      <c r="L9" s="10"/>
      <c r="M9" s="10"/>
      <c r="N9" s="8">
        <f t="shared" si="1"/>
        <v>60</v>
      </c>
      <c r="O9" s="8">
        <f t="shared" si="2"/>
        <v>1980</v>
      </c>
      <c r="P9" s="11">
        <v>0.29499999999999998</v>
      </c>
      <c r="Q9" s="9">
        <f t="shared" si="3"/>
        <v>17.7</v>
      </c>
      <c r="R9" s="9">
        <f t="shared" si="4"/>
        <v>19.3</v>
      </c>
      <c r="S9" s="12">
        <f t="shared" ref="S9:S18" si="8">+Q9*C9</f>
        <v>584.1</v>
      </c>
      <c r="T9" s="13">
        <f t="shared" ref="T9:T18" si="9">+R9*C9</f>
        <v>636.9</v>
      </c>
      <c r="U9" s="65"/>
      <c r="V9" s="72">
        <v>60</v>
      </c>
      <c r="W9" s="72">
        <v>40</v>
      </c>
      <c r="X9" s="72">
        <v>30</v>
      </c>
    </row>
    <row r="10" spans="1:24" ht="21.9" customHeight="1">
      <c r="A10" s="7">
        <f t="shared" si="5"/>
        <v>60</v>
      </c>
      <c r="B10" s="8">
        <f t="shared" si="0"/>
        <v>60</v>
      </c>
      <c r="C10" s="8">
        <v>1</v>
      </c>
      <c r="D10" s="52" t="str">
        <f t="shared" si="6"/>
        <v>60 * 40 * 30</v>
      </c>
      <c r="E10" s="9">
        <f t="shared" si="7"/>
        <v>7.1999999999999995E-2</v>
      </c>
      <c r="F10" s="119"/>
      <c r="G10" s="119"/>
      <c r="H10" s="10"/>
      <c r="I10" s="10">
        <v>20</v>
      </c>
      <c r="J10" s="10"/>
      <c r="K10" s="10"/>
      <c r="L10" s="10"/>
      <c r="M10" s="10"/>
      <c r="N10" s="8">
        <f t="shared" si="1"/>
        <v>20</v>
      </c>
      <c r="O10" s="8">
        <f t="shared" si="2"/>
        <v>20</v>
      </c>
      <c r="P10" s="11">
        <v>0.29499999999999998</v>
      </c>
      <c r="Q10" s="9">
        <f t="shared" si="3"/>
        <v>5.8999999999999995</v>
      </c>
      <c r="R10" s="9">
        <f t="shared" si="4"/>
        <v>7.5</v>
      </c>
      <c r="S10" s="12">
        <f t="shared" si="8"/>
        <v>5.8999999999999995</v>
      </c>
      <c r="T10" s="13">
        <f t="shared" si="9"/>
        <v>7.5</v>
      </c>
      <c r="U10" s="65"/>
      <c r="V10" s="72">
        <v>60</v>
      </c>
      <c r="W10" s="72">
        <v>40</v>
      </c>
      <c r="X10" s="72">
        <v>30</v>
      </c>
    </row>
    <row r="11" spans="1:24" ht="21.9" customHeight="1">
      <c r="A11" s="7">
        <f t="shared" si="5"/>
        <v>61</v>
      </c>
      <c r="B11" s="8">
        <f t="shared" si="0"/>
        <v>105</v>
      </c>
      <c r="C11" s="8">
        <v>45</v>
      </c>
      <c r="D11" s="52" t="str">
        <f t="shared" si="6"/>
        <v>60 * 40 * 30</v>
      </c>
      <c r="E11" s="9">
        <f t="shared" si="7"/>
        <v>3.24</v>
      </c>
      <c r="F11" s="119"/>
      <c r="G11" s="119"/>
      <c r="H11" s="10"/>
      <c r="I11" s="10"/>
      <c r="J11" s="10">
        <v>60</v>
      </c>
      <c r="K11" s="10"/>
      <c r="L11" s="10"/>
      <c r="M11" s="10"/>
      <c r="N11" s="8">
        <f t="shared" si="1"/>
        <v>60</v>
      </c>
      <c r="O11" s="8">
        <f t="shared" si="2"/>
        <v>2700</v>
      </c>
      <c r="P11" s="11">
        <v>0.30666666666666664</v>
      </c>
      <c r="Q11" s="9">
        <f t="shared" si="3"/>
        <v>18.399999999999999</v>
      </c>
      <c r="R11" s="9">
        <f t="shared" si="4"/>
        <v>20</v>
      </c>
      <c r="S11" s="12">
        <f t="shared" si="8"/>
        <v>827.99999999999989</v>
      </c>
      <c r="T11" s="13">
        <f t="shared" si="9"/>
        <v>900</v>
      </c>
      <c r="U11" s="65"/>
      <c r="V11" s="72">
        <v>60</v>
      </c>
      <c r="W11" s="72">
        <v>40</v>
      </c>
      <c r="X11" s="72">
        <v>30</v>
      </c>
    </row>
    <row r="12" spans="1:24" ht="21.9" customHeight="1">
      <c r="A12" s="7">
        <f t="shared" si="5"/>
        <v>106</v>
      </c>
      <c r="B12" s="8">
        <f t="shared" si="0"/>
        <v>106</v>
      </c>
      <c r="C12" s="8">
        <v>1</v>
      </c>
      <c r="D12" s="52" t="str">
        <f t="shared" si="6"/>
        <v>60 * 40 * 30</v>
      </c>
      <c r="E12" s="9">
        <f t="shared" si="7"/>
        <v>7.1999999999999995E-2</v>
      </c>
      <c r="F12" s="119"/>
      <c r="G12" s="119"/>
      <c r="H12" s="10"/>
      <c r="I12" s="10"/>
      <c r="J12" s="10">
        <v>50</v>
      </c>
      <c r="K12" s="10"/>
      <c r="L12" s="10"/>
      <c r="M12" s="10"/>
      <c r="N12" s="8">
        <f t="shared" si="1"/>
        <v>50</v>
      </c>
      <c r="O12" s="8">
        <f t="shared" si="2"/>
        <v>50</v>
      </c>
      <c r="P12" s="11">
        <v>0.30666666666666664</v>
      </c>
      <c r="Q12" s="9">
        <f t="shared" si="3"/>
        <v>15.333333333333332</v>
      </c>
      <c r="R12" s="9">
        <f t="shared" si="4"/>
        <v>16.933333333333334</v>
      </c>
      <c r="S12" s="12">
        <f t="shared" si="8"/>
        <v>15.333333333333332</v>
      </c>
      <c r="T12" s="13">
        <f t="shared" si="9"/>
        <v>16.933333333333334</v>
      </c>
      <c r="U12" s="65"/>
      <c r="V12" s="72">
        <v>60</v>
      </c>
      <c r="W12" s="72">
        <v>40</v>
      </c>
      <c r="X12" s="72">
        <v>30</v>
      </c>
    </row>
    <row r="13" spans="1:24" ht="21.9" customHeight="1">
      <c r="A13" s="7">
        <f t="shared" si="5"/>
        <v>107</v>
      </c>
      <c r="B13" s="8">
        <f t="shared" si="0"/>
        <v>140</v>
      </c>
      <c r="C13" s="8">
        <v>34</v>
      </c>
      <c r="D13" s="52" t="str">
        <f t="shared" si="6"/>
        <v>60 * 40 * 30</v>
      </c>
      <c r="E13" s="9">
        <f t="shared" si="7"/>
        <v>2.448</v>
      </c>
      <c r="F13" s="119"/>
      <c r="G13" s="119"/>
      <c r="H13" s="10"/>
      <c r="I13" s="10"/>
      <c r="J13" s="10"/>
      <c r="K13" s="10">
        <v>55</v>
      </c>
      <c r="L13" s="10"/>
      <c r="M13" s="10"/>
      <c r="N13" s="8">
        <f t="shared" si="1"/>
        <v>55</v>
      </c>
      <c r="O13" s="8">
        <f t="shared" si="2"/>
        <v>1870</v>
      </c>
      <c r="P13" s="11">
        <v>0.32181818181818178</v>
      </c>
      <c r="Q13" s="9">
        <f t="shared" si="3"/>
        <v>17.7</v>
      </c>
      <c r="R13" s="9">
        <f t="shared" si="4"/>
        <v>19.3</v>
      </c>
      <c r="S13" s="12">
        <f t="shared" si="8"/>
        <v>601.79999999999995</v>
      </c>
      <c r="T13" s="13">
        <f t="shared" si="9"/>
        <v>656.2</v>
      </c>
      <c r="U13" s="65"/>
      <c r="V13" s="72">
        <v>60</v>
      </c>
      <c r="W13" s="72">
        <v>40</v>
      </c>
      <c r="X13" s="72">
        <v>30</v>
      </c>
    </row>
    <row r="14" spans="1:24" ht="21.9" customHeight="1">
      <c r="A14" s="7">
        <f t="shared" si="5"/>
        <v>141</v>
      </c>
      <c r="B14" s="8">
        <f t="shared" si="0"/>
        <v>141</v>
      </c>
      <c r="C14" s="8">
        <v>1</v>
      </c>
      <c r="D14" s="52" t="str">
        <f t="shared" si="6"/>
        <v>60 * 40 * 30</v>
      </c>
      <c r="E14" s="9">
        <f t="shared" si="7"/>
        <v>7.1999999999999995E-2</v>
      </c>
      <c r="F14" s="119"/>
      <c r="G14" s="119"/>
      <c r="H14" s="10"/>
      <c r="I14" s="10"/>
      <c r="J14" s="10"/>
      <c r="K14" s="10">
        <v>40</v>
      </c>
      <c r="L14" s="10"/>
      <c r="M14" s="10"/>
      <c r="N14" s="8">
        <f t="shared" si="1"/>
        <v>40</v>
      </c>
      <c r="O14" s="8">
        <f t="shared" si="2"/>
        <v>40</v>
      </c>
      <c r="P14" s="11">
        <v>0.32181818181818178</v>
      </c>
      <c r="Q14" s="9">
        <f t="shared" si="3"/>
        <v>12.872727272727271</v>
      </c>
      <c r="R14" s="9">
        <f t="shared" si="4"/>
        <v>14.472727272727271</v>
      </c>
      <c r="S14" s="12">
        <f t="shared" si="8"/>
        <v>12.872727272727271</v>
      </c>
      <c r="T14" s="13">
        <f t="shared" si="9"/>
        <v>14.472727272727271</v>
      </c>
      <c r="U14" s="65"/>
      <c r="V14" s="72">
        <v>60</v>
      </c>
      <c r="W14" s="72">
        <v>40</v>
      </c>
      <c r="X14" s="72">
        <v>30</v>
      </c>
    </row>
    <row r="15" spans="1:24" ht="21.9" customHeight="1">
      <c r="A15" s="7">
        <f t="shared" si="5"/>
        <v>142</v>
      </c>
      <c r="B15" s="8">
        <f t="shared" si="0"/>
        <v>159</v>
      </c>
      <c r="C15" s="8">
        <v>18</v>
      </c>
      <c r="D15" s="52" t="str">
        <f t="shared" si="6"/>
        <v>60 * 40 * 30</v>
      </c>
      <c r="E15" s="9">
        <f t="shared" si="7"/>
        <v>1.296</v>
      </c>
      <c r="F15" s="119"/>
      <c r="G15" s="119"/>
      <c r="H15" s="10"/>
      <c r="I15" s="10"/>
      <c r="J15" s="10"/>
      <c r="K15" s="10"/>
      <c r="L15" s="10">
        <v>55</v>
      </c>
      <c r="M15" s="10"/>
      <c r="N15" s="8">
        <f t="shared" si="1"/>
        <v>55</v>
      </c>
      <c r="O15" s="8">
        <f t="shared" si="2"/>
        <v>990</v>
      </c>
      <c r="P15" s="11">
        <v>0.33363636363636362</v>
      </c>
      <c r="Q15" s="9">
        <f t="shared" si="3"/>
        <v>18.349999999999998</v>
      </c>
      <c r="R15" s="9">
        <f t="shared" si="4"/>
        <v>19.95</v>
      </c>
      <c r="S15" s="12">
        <f t="shared" si="8"/>
        <v>330.29999999999995</v>
      </c>
      <c r="T15" s="13">
        <f t="shared" si="9"/>
        <v>359.09999999999997</v>
      </c>
      <c r="U15" s="65"/>
      <c r="V15" s="72">
        <v>60</v>
      </c>
      <c r="W15" s="72">
        <v>40</v>
      </c>
      <c r="X15" s="72">
        <v>30</v>
      </c>
    </row>
    <row r="16" spans="1:24" ht="21.75" hidden="1" customHeight="1">
      <c r="A16" s="7">
        <f t="shared" si="5"/>
        <v>160</v>
      </c>
      <c r="B16" s="8">
        <f t="shared" si="0"/>
        <v>159</v>
      </c>
      <c r="C16" s="8"/>
      <c r="D16" s="52" t="str">
        <f>CONCATENATE(V16," * ",W16," * ",X16)</f>
        <v>60 * 40 * 30</v>
      </c>
      <c r="E16" s="9">
        <f>V16*W16*X16*C16/1000000</f>
        <v>0</v>
      </c>
      <c r="F16" s="119"/>
      <c r="G16" s="119"/>
      <c r="H16" s="10"/>
      <c r="I16" s="10"/>
      <c r="J16" s="10"/>
      <c r="K16" s="10"/>
      <c r="L16" s="10">
        <v>4</v>
      </c>
      <c r="M16" s="10"/>
      <c r="N16" s="8">
        <f t="shared" si="1"/>
        <v>4</v>
      </c>
      <c r="O16" s="8">
        <f t="shared" si="2"/>
        <v>0</v>
      </c>
      <c r="P16" s="11">
        <v>0.33363636363636362</v>
      </c>
      <c r="Q16" s="9">
        <f t="shared" si="3"/>
        <v>1.3345454545454545</v>
      </c>
      <c r="R16" s="9">
        <f t="shared" si="4"/>
        <v>2.9345454545454546</v>
      </c>
      <c r="S16" s="12">
        <f t="shared" si="8"/>
        <v>0</v>
      </c>
      <c r="T16" s="13">
        <f t="shared" si="9"/>
        <v>0</v>
      </c>
      <c r="U16" s="65"/>
      <c r="V16" s="72">
        <v>60</v>
      </c>
      <c r="W16" s="72">
        <v>40</v>
      </c>
      <c r="X16" s="72">
        <v>30</v>
      </c>
    </row>
    <row r="17" spans="1:24" ht="21.9" customHeight="1">
      <c r="A17" s="7">
        <f t="shared" si="5"/>
        <v>160</v>
      </c>
      <c r="B17" s="8">
        <f t="shared" si="0"/>
        <v>172</v>
      </c>
      <c r="C17" s="8">
        <v>13</v>
      </c>
      <c r="D17" s="52" t="str">
        <f>CONCATENATE(V17," * ",W17," * ",X17)</f>
        <v>60 * 40 * 30</v>
      </c>
      <c r="E17" s="9">
        <f>V17*W17*X17*C17/1000000</f>
        <v>0.93600000000000005</v>
      </c>
      <c r="F17" s="119"/>
      <c r="G17" s="119"/>
      <c r="H17" s="10"/>
      <c r="I17" s="10"/>
      <c r="J17" s="10"/>
      <c r="K17" s="10"/>
      <c r="L17" s="10"/>
      <c r="M17" s="10">
        <v>55</v>
      </c>
      <c r="N17" s="8">
        <f t="shared" si="1"/>
        <v>55</v>
      </c>
      <c r="O17" s="8">
        <f>N17*C17</f>
        <v>715</v>
      </c>
      <c r="P17" s="11">
        <v>0.34636363636363632</v>
      </c>
      <c r="Q17" s="9">
        <f t="shared" si="3"/>
        <v>19.049999999999997</v>
      </c>
      <c r="R17" s="9">
        <f t="shared" si="4"/>
        <v>20.65</v>
      </c>
      <c r="S17" s="12">
        <f t="shared" si="8"/>
        <v>247.64999999999998</v>
      </c>
      <c r="T17" s="13">
        <f t="shared" si="9"/>
        <v>268.45</v>
      </c>
      <c r="U17" s="65"/>
      <c r="V17" s="72">
        <v>60</v>
      </c>
      <c r="W17" s="72">
        <v>40</v>
      </c>
      <c r="X17" s="72">
        <v>30</v>
      </c>
    </row>
    <row r="18" spans="1:24" ht="21.9" hidden="1" customHeight="1">
      <c r="A18" s="7">
        <f t="shared" si="5"/>
        <v>173</v>
      </c>
      <c r="B18" s="8">
        <f t="shared" si="0"/>
        <v>172</v>
      </c>
      <c r="C18" s="8"/>
      <c r="D18" s="52" t="str">
        <f>CONCATENATE(V18," * ",W18," * ",X18)</f>
        <v>60 * 40 * 30</v>
      </c>
      <c r="E18" s="9">
        <f>V18*W18*X18*C18/1000000</f>
        <v>0</v>
      </c>
      <c r="F18" s="119"/>
      <c r="G18" s="119"/>
      <c r="H18" s="10"/>
      <c r="I18" s="10"/>
      <c r="J18" s="10"/>
      <c r="K18" s="10"/>
      <c r="L18" s="10"/>
      <c r="M18" s="10"/>
      <c r="N18" s="8">
        <f t="shared" si="1"/>
        <v>0</v>
      </c>
      <c r="O18" s="8">
        <f>N18*C18</f>
        <v>0</v>
      </c>
      <c r="P18" s="11">
        <v>0.34636363636363626</v>
      </c>
      <c r="Q18" s="9">
        <f t="shared" si="3"/>
        <v>0</v>
      </c>
      <c r="R18" s="9">
        <f t="shared" si="4"/>
        <v>1.6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</row>
    <row r="19" spans="1:24" s="6" customFormat="1" ht="21.9" customHeight="1">
      <c r="A19" s="128" t="s">
        <v>24</v>
      </c>
      <c r="B19" s="129"/>
      <c r="C19" s="14">
        <f>SUM(C7:C18)</f>
        <v>172</v>
      </c>
      <c r="D19" s="14"/>
      <c r="E19" s="15">
        <f>SUM(E7:E18)</f>
        <v>12.383999999999999</v>
      </c>
      <c r="F19" s="14"/>
      <c r="G19" s="14"/>
      <c r="H19" s="14">
        <f>SUMPRODUCT(H7:H18,$C$7:$C$18)</f>
        <v>1559</v>
      </c>
      <c r="I19" s="14">
        <f>SUMPRODUCT(I7:I18,$C$7:$C$18)</f>
        <v>2000</v>
      </c>
      <c r="J19" s="14">
        <f>SUMPRODUCT(J7:J18,$C$7:$C$18)</f>
        <v>2750</v>
      </c>
      <c r="K19" s="14">
        <f t="shared" ref="K19:L19" si="10">SUMPRODUCT(K7:K18,$C$7:$C$18)</f>
        <v>1910</v>
      </c>
      <c r="L19" s="14">
        <f t="shared" si="10"/>
        <v>990</v>
      </c>
      <c r="M19" s="14">
        <f>SUMPRODUCT(M7:M18,$C$7:$C$18)</f>
        <v>715</v>
      </c>
      <c r="N19" s="14" t="s">
        <v>0</v>
      </c>
      <c r="O19" s="14">
        <f>SUM(O7:O18)</f>
        <v>9924</v>
      </c>
      <c r="P19" s="15"/>
      <c r="Q19" s="15"/>
      <c r="R19" s="15"/>
      <c r="S19" s="15">
        <f>SUM(S7:S18)</f>
        <v>3065.0743939393938</v>
      </c>
      <c r="T19" s="50">
        <f>SUM(T7:T18)</f>
        <v>3340.274393939394</v>
      </c>
      <c r="U19" s="66"/>
      <c r="V19" s="5"/>
      <c r="W19" s="5"/>
      <c r="X19" s="5"/>
    </row>
    <row r="20" spans="1:24" s="6" customFormat="1" ht="30" customHeight="1">
      <c r="A20" s="120" t="s">
        <v>12</v>
      </c>
      <c r="B20" s="121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</row>
    <row r="21" spans="1:24" ht="21.9" customHeight="1">
      <c r="A21" s="7">
        <f>B18+1</f>
        <v>173</v>
      </c>
      <c r="B21" s="8">
        <f t="shared" ref="B21:B32" si="12">C21+A21-1</f>
        <v>193</v>
      </c>
      <c r="C21" s="8">
        <v>21</v>
      </c>
      <c r="D21" s="52" t="str">
        <f>CONCATENATE(V21," * ",W21," * ",X21)</f>
        <v>60 * 40 * 30</v>
      </c>
      <c r="E21" s="9">
        <f>V21*W21*X21*C21/1000000</f>
        <v>1.512</v>
      </c>
      <c r="F21" s="118" t="s">
        <v>39</v>
      </c>
      <c r="G21" s="118" t="s">
        <v>44</v>
      </c>
      <c r="H21" s="10">
        <v>60</v>
      </c>
      <c r="I21" s="10"/>
      <c r="J21" s="10"/>
      <c r="K21" s="10"/>
      <c r="L21" s="10"/>
      <c r="M21" s="10"/>
      <c r="N21" s="8">
        <f>SUM(H21:M21)</f>
        <v>60</v>
      </c>
      <c r="O21" s="8">
        <f>N21*C21</f>
        <v>1260</v>
      </c>
      <c r="P21" s="11">
        <v>0.27083333333333331</v>
      </c>
      <c r="Q21" s="9">
        <f t="shared" ref="Q21:Q32" si="13">P21*N21</f>
        <v>16.25</v>
      </c>
      <c r="R21" s="9">
        <f t="shared" ref="R21:R32" si="14">Q21+1.6</f>
        <v>17.850000000000001</v>
      </c>
      <c r="S21" s="12">
        <f>+Q21*C21</f>
        <v>341.25</v>
      </c>
      <c r="T21" s="13">
        <f>+R21*C21</f>
        <v>374.85</v>
      </c>
      <c r="U21" s="65"/>
      <c r="V21" s="72">
        <v>60</v>
      </c>
      <c r="W21" s="72">
        <v>40</v>
      </c>
      <c r="X21" s="72">
        <v>30</v>
      </c>
    </row>
    <row r="22" spans="1:24" ht="21.9" customHeight="1">
      <c r="A22" s="7">
        <f>B21+1</f>
        <v>194</v>
      </c>
      <c r="B22" s="8">
        <f t="shared" si="12"/>
        <v>194</v>
      </c>
      <c r="C22" s="8">
        <v>1</v>
      </c>
      <c r="D22" s="52" t="str">
        <f>CONCATENATE(V22," * ",W22," * ",X22)</f>
        <v>60 * 40 * 30</v>
      </c>
      <c r="E22" s="9">
        <f>V22*W22*X22*C22/1000000</f>
        <v>7.1999999999999995E-2</v>
      </c>
      <c r="F22" s="119"/>
      <c r="G22" s="119"/>
      <c r="H22" s="10">
        <v>42</v>
      </c>
      <c r="I22" s="10"/>
      <c r="J22" s="10"/>
      <c r="K22" s="10"/>
      <c r="L22" s="10"/>
      <c r="M22" s="10"/>
      <c r="N22" s="8">
        <f t="shared" ref="N22:N32" si="15">SUM(H22:M22)</f>
        <v>42</v>
      </c>
      <c r="O22" s="8">
        <f t="shared" ref="O22:O32" si="16">N22*C22</f>
        <v>42</v>
      </c>
      <c r="P22" s="11">
        <v>0.27083333333333331</v>
      </c>
      <c r="Q22" s="9">
        <f t="shared" si="13"/>
        <v>11.375</v>
      </c>
      <c r="R22" s="9">
        <f t="shared" si="14"/>
        <v>12.975</v>
      </c>
      <c r="S22" s="12">
        <f>+Q22*C22</f>
        <v>11.375</v>
      </c>
      <c r="T22" s="13">
        <f>+R22*C22</f>
        <v>12.975</v>
      </c>
      <c r="U22" s="65"/>
      <c r="V22" s="72">
        <v>60</v>
      </c>
      <c r="W22" s="72">
        <v>40</v>
      </c>
      <c r="X22" s="72">
        <v>30</v>
      </c>
    </row>
    <row r="23" spans="1:24" ht="21.9" customHeight="1">
      <c r="A23" s="7">
        <f t="shared" ref="A23:A32" si="17">B22+1</f>
        <v>195</v>
      </c>
      <c r="B23" s="8">
        <f t="shared" si="12"/>
        <v>221</v>
      </c>
      <c r="C23" s="8">
        <v>27</v>
      </c>
      <c r="D23" s="52" t="str">
        <f t="shared" ref="D23:D32" si="18">CONCATENATE(V23," * ",W23," * ",X23)</f>
        <v>60 * 40 * 30</v>
      </c>
      <c r="E23" s="9">
        <f t="shared" ref="E23:E32" si="19">V23*W23*X23*C23/1000000</f>
        <v>1.944</v>
      </c>
      <c r="F23" s="119"/>
      <c r="G23" s="119"/>
      <c r="H23" s="10"/>
      <c r="I23" s="10">
        <v>60</v>
      </c>
      <c r="J23" s="10"/>
      <c r="K23" s="10"/>
      <c r="L23" s="10"/>
      <c r="M23" s="10"/>
      <c r="N23" s="8">
        <f t="shared" si="15"/>
        <v>60</v>
      </c>
      <c r="O23" s="8">
        <f t="shared" si="16"/>
        <v>1620</v>
      </c>
      <c r="P23" s="11">
        <v>0.28083333333333332</v>
      </c>
      <c r="Q23" s="9">
        <f t="shared" si="13"/>
        <v>16.849999999999998</v>
      </c>
      <c r="R23" s="9">
        <f t="shared" si="14"/>
        <v>18.45</v>
      </c>
      <c r="S23" s="12">
        <f t="shared" ref="S23:S32" si="20">+Q23*C23</f>
        <v>454.94999999999993</v>
      </c>
      <c r="T23" s="13">
        <f t="shared" ref="T23:T32" si="21">+R23*C23</f>
        <v>498.15</v>
      </c>
      <c r="U23" s="65"/>
      <c r="V23" s="72">
        <v>60</v>
      </c>
      <c r="W23" s="72">
        <v>40</v>
      </c>
      <c r="X23" s="72">
        <v>30</v>
      </c>
    </row>
    <row r="24" spans="1:24" ht="21.9" customHeight="1">
      <c r="A24" s="7">
        <f t="shared" si="17"/>
        <v>222</v>
      </c>
      <c r="B24" s="8">
        <f t="shared" si="12"/>
        <v>222</v>
      </c>
      <c r="C24" s="8">
        <v>1</v>
      </c>
      <c r="D24" s="52" t="str">
        <f t="shared" si="18"/>
        <v>60 * 40 * 30</v>
      </c>
      <c r="E24" s="9">
        <f t="shared" si="19"/>
        <v>7.1999999999999995E-2</v>
      </c>
      <c r="F24" s="119"/>
      <c r="G24" s="119"/>
      <c r="H24" s="10"/>
      <c r="I24" s="10">
        <v>50</v>
      </c>
      <c r="J24" s="10"/>
      <c r="K24" s="10"/>
      <c r="L24" s="10"/>
      <c r="M24" s="10"/>
      <c r="N24" s="8">
        <f t="shared" si="15"/>
        <v>50</v>
      </c>
      <c r="O24" s="8">
        <f t="shared" si="16"/>
        <v>50</v>
      </c>
      <c r="P24" s="11">
        <v>0.28083333333333332</v>
      </c>
      <c r="Q24" s="9">
        <f t="shared" si="13"/>
        <v>14.041666666666666</v>
      </c>
      <c r="R24" s="9">
        <f t="shared" si="14"/>
        <v>15.641666666666666</v>
      </c>
      <c r="S24" s="12">
        <f t="shared" si="20"/>
        <v>14.041666666666666</v>
      </c>
      <c r="T24" s="13">
        <f t="shared" si="21"/>
        <v>15.641666666666666</v>
      </c>
      <c r="U24" s="65"/>
      <c r="V24" s="72">
        <v>60</v>
      </c>
      <c r="W24" s="72">
        <v>40</v>
      </c>
      <c r="X24" s="72">
        <v>30</v>
      </c>
    </row>
    <row r="25" spans="1:24" ht="21.9" customHeight="1">
      <c r="A25" s="7">
        <f t="shared" si="17"/>
        <v>223</v>
      </c>
      <c r="B25" s="8">
        <f t="shared" si="12"/>
        <v>260</v>
      </c>
      <c r="C25" s="8">
        <v>38</v>
      </c>
      <c r="D25" s="52" t="str">
        <f t="shared" si="18"/>
        <v>60 * 40 * 30</v>
      </c>
      <c r="E25" s="9">
        <f t="shared" si="19"/>
        <v>2.7360000000000002</v>
      </c>
      <c r="F25" s="119"/>
      <c r="G25" s="119"/>
      <c r="H25" s="10"/>
      <c r="I25" s="10"/>
      <c r="J25" s="10">
        <v>60</v>
      </c>
      <c r="K25" s="10"/>
      <c r="L25" s="10"/>
      <c r="M25" s="10"/>
      <c r="N25" s="8">
        <f t="shared" si="15"/>
        <v>60</v>
      </c>
      <c r="O25" s="8">
        <f t="shared" si="16"/>
        <v>2280</v>
      </c>
      <c r="P25" s="11">
        <v>0.29499999999999998</v>
      </c>
      <c r="Q25" s="9">
        <f t="shared" si="13"/>
        <v>17.7</v>
      </c>
      <c r="R25" s="9">
        <f t="shared" si="14"/>
        <v>19.3</v>
      </c>
      <c r="S25" s="12">
        <f t="shared" si="20"/>
        <v>672.6</v>
      </c>
      <c r="T25" s="13">
        <f t="shared" si="21"/>
        <v>733.4</v>
      </c>
      <c r="U25" s="65"/>
      <c r="V25" s="72">
        <v>60</v>
      </c>
      <c r="W25" s="72">
        <v>40</v>
      </c>
      <c r="X25" s="72">
        <v>30</v>
      </c>
    </row>
    <row r="26" spans="1:24" ht="21.9" customHeight="1">
      <c r="A26" s="7">
        <f t="shared" si="17"/>
        <v>261</v>
      </c>
      <c r="B26" s="8">
        <f t="shared" si="12"/>
        <v>261</v>
      </c>
      <c r="C26" s="8">
        <v>1</v>
      </c>
      <c r="D26" s="52" t="str">
        <f t="shared" si="18"/>
        <v>60 * 40 * 30</v>
      </c>
      <c r="E26" s="9">
        <f t="shared" si="19"/>
        <v>7.1999999999999995E-2</v>
      </c>
      <c r="F26" s="119"/>
      <c r="G26" s="119"/>
      <c r="H26" s="10"/>
      <c r="I26" s="10"/>
      <c r="J26" s="10">
        <v>20</v>
      </c>
      <c r="K26" s="10"/>
      <c r="L26" s="10"/>
      <c r="M26" s="10"/>
      <c r="N26" s="8">
        <f t="shared" si="15"/>
        <v>20</v>
      </c>
      <c r="O26" s="8">
        <f t="shared" si="16"/>
        <v>20</v>
      </c>
      <c r="P26" s="11">
        <v>0.29500000000000004</v>
      </c>
      <c r="Q26" s="9">
        <f t="shared" si="13"/>
        <v>5.9</v>
      </c>
      <c r="R26" s="9">
        <f t="shared" si="14"/>
        <v>7.5</v>
      </c>
      <c r="S26" s="12">
        <f t="shared" si="20"/>
        <v>5.9</v>
      </c>
      <c r="T26" s="13">
        <f t="shared" si="21"/>
        <v>7.5</v>
      </c>
      <c r="U26" s="65"/>
      <c r="V26" s="72">
        <v>60</v>
      </c>
      <c r="W26" s="72">
        <v>40</v>
      </c>
      <c r="X26" s="72">
        <v>30</v>
      </c>
    </row>
    <row r="27" spans="1:24" ht="21.9" customHeight="1">
      <c r="A27" s="7">
        <f t="shared" si="17"/>
        <v>262</v>
      </c>
      <c r="B27" s="8">
        <f t="shared" si="12"/>
        <v>290</v>
      </c>
      <c r="C27" s="8">
        <v>29</v>
      </c>
      <c r="D27" s="52" t="str">
        <f t="shared" si="18"/>
        <v>60 * 40 * 30</v>
      </c>
      <c r="E27" s="9">
        <f t="shared" si="19"/>
        <v>2.0880000000000001</v>
      </c>
      <c r="F27" s="119"/>
      <c r="G27" s="119"/>
      <c r="H27" s="10"/>
      <c r="I27" s="10"/>
      <c r="J27" s="10"/>
      <c r="K27" s="10">
        <v>55</v>
      </c>
      <c r="L27" s="10"/>
      <c r="M27" s="10"/>
      <c r="N27" s="8">
        <f t="shared" si="15"/>
        <v>55</v>
      </c>
      <c r="O27" s="8">
        <f t="shared" si="16"/>
        <v>1595</v>
      </c>
      <c r="P27" s="11">
        <v>0.30545454545454542</v>
      </c>
      <c r="Q27" s="9">
        <f t="shared" si="13"/>
        <v>16.799999999999997</v>
      </c>
      <c r="R27" s="9">
        <f t="shared" si="14"/>
        <v>18.399999999999999</v>
      </c>
      <c r="S27" s="12">
        <f t="shared" si="20"/>
        <v>487.19999999999993</v>
      </c>
      <c r="T27" s="13">
        <f t="shared" si="21"/>
        <v>533.59999999999991</v>
      </c>
      <c r="U27" s="65"/>
      <c r="V27" s="72">
        <v>60</v>
      </c>
      <c r="W27" s="72">
        <v>40</v>
      </c>
      <c r="X27" s="72">
        <v>30</v>
      </c>
    </row>
    <row r="28" spans="1:24" ht="21.9" customHeight="1">
      <c r="A28" s="7">
        <f t="shared" si="17"/>
        <v>291</v>
      </c>
      <c r="B28" s="8">
        <f t="shared" si="12"/>
        <v>291</v>
      </c>
      <c r="C28" s="8">
        <v>1</v>
      </c>
      <c r="D28" s="52" t="str">
        <f t="shared" si="18"/>
        <v>60 * 40 * 30</v>
      </c>
      <c r="E28" s="9">
        <f t="shared" si="19"/>
        <v>7.1999999999999995E-2</v>
      </c>
      <c r="F28" s="119"/>
      <c r="G28" s="119"/>
      <c r="H28" s="10"/>
      <c r="I28" s="10"/>
      <c r="J28" s="10"/>
      <c r="K28" s="10">
        <v>10</v>
      </c>
      <c r="L28" s="10"/>
      <c r="M28" s="10"/>
      <c r="N28" s="8">
        <f t="shared" si="15"/>
        <v>10</v>
      </c>
      <c r="O28" s="8">
        <f t="shared" si="16"/>
        <v>10</v>
      </c>
      <c r="P28" s="11">
        <v>0.30545454545454542</v>
      </c>
      <c r="Q28" s="9">
        <f t="shared" si="13"/>
        <v>3.0545454545454542</v>
      </c>
      <c r="R28" s="9">
        <f t="shared" si="14"/>
        <v>4.6545454545454543</v>
      </c>
      <c r="S28" s="12">
        <f t="shared" si="20"/>
        <v>3.0545454545454542</v>
      </c>
      <c r="T28" s="13">
        <f t="shared" si="21"/>
        <v>4.6545454545454543</v>
      </c>
      <c r="U28" s="65"/>
      <c r="V28" s="72">
        <v>60</v>
      </c>
      <c r="W28" s="72">
        <v>40</v>
      </c>
      <c r="X28" s="72">
        <v>30</v>
      </c>
    </row>
    <row r="29" spans="1:24" ht="21.9" customHeight="1">
      <c r="A29" s="7">
        <f>B27+1</f>
        <v>291</v>
      </c>
      <c r="B29" s="8">
        <f t="shared" si="12"/>
        <v>305</v>
      </c>
      <c r="C29" s="8">
        <v>15</v>
      </c>
      <c r="D29" s="52" t="str">
        <f t="shared" si="18"/>
        <v>60 * 40 * 30</v>
      </c>
      <c r="E29" s="9">
        <f t="shared" si="19"/>
        <v>1.08</v>
      </c>
      <c r="F29" s="119"/>
      <c r="G29" s="119"/>
      <c r="H29" s="10"/>
      <c r="I29" s="10"/>
      <c r="J29" s="10"/>
      <c r="K29" s="10"/>
      <c r="L29" s="10">
        <v>55</v>
      </c>
      <c r="M29" s="10"/>
      <c r="N29" s="8">
        <f t="shared" si="15"/>
        <v>55</v>
      </c>
      <c r="O29" s="8">
        <f>N29*C29</f>
        <v>825</v>
      </c>
      <c r="P29" s="11">
        <v>0.32454545454545453</v>
      </c>
      <c r="Q29" s="9">
        <f t="shared" si="13"/>
        <v>17.849999999999998</v>
      </c>
      <c r="R29" s="9">
        <f t="shared" si="14"/>
        <v>19.45</v>
      </c>
      <c r="S29" s="12">
        <f t="shared" si="20"/>
        <v>267.74999999999994</v>
      </c>
      <c r="T29" s="13">
        <f t="shared" si="21"/>
        <v>291.75</v>
      </c>
      <c r="U29" s="65"/>
      <c r="V29" s="72">
        <v>60</v>
      </c>
      <c r="W29" s="72">
        <v>40</v>
      </c>
      <c r="X29" s="72">
        <v>30</v>
      </c>
    </row>
    <row r="30" spans="1:24" ht="21.9" customHeight="1">
      <c r="A30" s="7">
        <f t="shared" si="17"/>
        <v>306</v>
      </c>
      <c r="B30" s="8">
        <f t="shared" si="12"/>
        <v>306</v>
      </c>
      <c r="C30" s="8">
        <v>1</v>
      </c>
      <c r="D30" s="52" t="str">
        <f t="shared" si="18"/>
        <v>60 * 40 * 30</v>
      </c>
      <c r="E30" s="9">
        <f t="shared" si="19"/>
        <v>7.1999999999999995E-2</v>
      </c>
      <c r="F30" s="119"/>
      <c r="G30" s="119"/>
      <c r="H30" s="10"/>
      <c r="I30" s="10"/>
      <c r="J30" s="10"/>
      <c r="K30" s="10"/>
      <c r="L30" s="10">
        <v>20</v>
      </c>
      <c r="M30" s="10"/>
      <c r="N30" s="8">
        <f t="shared" si="15"/>
        <v>20</v>
      </c>
      <c r="O30" s="8">
        <f>N30*C30</f>
        <v>20</v>
      </c>
      <c r="P30" s="11">
        <v>0.32454545454545453</v>
      </c>
      <c r="Q30" s="9">
        <f t="shared" si="13"/>
        <v>6.4909090909090903</v>
      </c>
      <c r="R30" s="9">
        <f t="shared" si="14"/>
        <v>8.0909090909090899</v>
      </c>
      <c r="S30" s="12">
        <f t="shared" si="20"/>
        <v>6.4909090909090903</v>
      </c>
      <c r="T30" s="13">
        <f t="shared" si="21"/>
        <v>8.0909090909090899</v>
      </c>
      <c r="U30" s="65"/>
      <c r="V30" s="72">
        <v>60</v>
      </c>
      <c r="W30" s="72">
        <v>40</v>
      </c>
      <c r="X30" s="72">
        <v>30</v>
      </c>
    </row>
    <row r="31" spans="1:24" ht="21.9" customHeight="1">
      <c r="A31" s="7">
        <f t="shared" si="17"/>
        <v>307</v>
      </c>
      <c r="B31" s="8">
        <f t="shared" si="12"/>
        <v>316</v>
      </c>
      <c r="C31" s="8">
        <v>10</v>
      </c>
      <c r="D31" s="52" t="str">
        <f t="shared" si="18"/>
        <v>60 * 40 * 30</v>
      </c>
      <c r="E31" s="9">
        <f t="shared" si="19"/>
        <v>0.72</v>
      </c>
      <c r="F31" s="119"/>
      <c r="G31" s="119"/>
      <c r="H31" s="10"/>
      <c r="I31" s="10"/>
      <c r="J31" s="10"/>
      <c r="K31" s="10"/>
      <c r="L31" s="10"/>
      <c r="M31" s="10">
        <v>55</v>
      </c>
      <c r="N31" s="8">
        <f t="shared" si="15"/>
        <v>55</v>
      </c>
      <c r="O31" s="8">
        <f t="shared" si="16"/>
        <v>550</v>
      </c>
      <c r="P31" s="11">
        <v>0.33363636363636362</v>
      </c>
      <c r="Q31" s="9">
        <f t="shared" si="13"/>
        <v>18.349999999999998</v>
      </c>
      <c r="R31" s="9">
        <f t="shared" si="14"/>
        <v>19.95</v>
      </c>
      <c r="S31" s="12">
        <f t="shared" si="20"/>
        <v>183.49999999999997</v>
      </c>
      <c r="T31" s="13">
        <f t="shared" si="21"/>
        <v>199.5</v>
      </c>
      <c r="U31" s="65"/>
      <c r="V31" s="72">
        <v>60</v>
      </c>
      <c r="W31" s="72">
        <v>40</v>
      </c>
      <c r="X31" s="72">
        <v>30</v>
      </c>
    </row>
    <row r="32" spans="1:24" ht="21.9" customHeight="1">
      <c r="A32" s="7">
        <f t="shared" si="17"/>
        <v>317</v>
      </c>
      <c r="B32" s="8">
        <f t="shared" si="12"/>
        <v>317</v>
      </c>
      <c r="C32" s="8">
        <v>1</v>
      </c>
      <c r="D32" s="52" t="str">
        <f t="shared" si="18"/>
        <v>60 * 40 * 30</v>
      </c>
      <c r="E32" s="9">
        <f t="shared" si="19"/>
        <v>7.1999999999999995E-2</v>
      </c>
      <c r="F32" s="119"/>
      <c r="G32" s="119"/>
      <c r="H32" s="10"/>
      <c r="I32" s="10"/>
      <c r="J32" s="10"/>
      <c r="K32" s="10"/>
      <c r="L32" s="10"/>
      <c r="M32" s="10">
        <v>54</v>
      </c>
      <c r="N32" s="8">
        <f t="shared" si="15"/>
        <v>54</v>
      </c>
      <c r="O32" s="8">
        <f t="shared" si="16"/>
        <v>54</v>
      </c>
      <c r="P32" s="11">
        <v>0.33363636363636362</v>
      </c>
      <c r="Q32" s="9">
        <f t="shared" si="13"/>
        <v>18.016363636363636</v>
      </c>
      <c r="R32" s="9">
        <f t="shared" si="14"/>
        <v>19.616363636363637</v>
      </c>
      <c r="S32" s="12">
        <f t="shared" si="20"/>
        <v>18.016363636363636</v>
      </c>
      <c r="T32" s="13">
        <f t="shared" si="21"/>
        <v>19.616363636363637</v>
      </c>
      <c r="U32" s="65"/>
      <c r="V32" s="72">
        <v>60</v>
      </c>
      <c r="W32" s="72">
        <v>40</v>
      </c>
      <c r="X32" s="72">
        <v>30</v>
      </c>
    </row>
    <row r="33" spans="1:24" s="6" customFormat="1" ht="21.9" customHeight="1">
      <c r="A33" s="128" t="s">
        <v>24</v>
      </c>
      <c r="B33" s="129"/>
      <c r="C33" s="14">
        <f>SUM(C21:C32)</f>
        <v>146</v>
      </c>
      <c r="D33" s="14"/>
      <c r="E33" s="15">
        <f>SUM(E21:E32)</f>
        <v>10.511999999999999</v>
      </c>
      <c r="F33" s="14"/>
      <c r="G33" s="14"/>
      <c r="H33" s="14">
        <f t="shared" ref="H33:M33" si="22">SUMPRODUCT(H21:H32,$C$21:$C$32)</f>
        <v>1302</v>
      </c>
      <c r="I33" s="14">
        <f t="shared" si="22"/>
        <v>1670</v>
      </c>
      <c r="J33" s="14">
        <f t="shared" si="22"/>
        <v>2300</v>
      </c>
      <c r="K33" s="14">
        <f t="shared" si="22"/>
        <v>1605</v>
      </c>
      <c r="L33" s="14">
        <f t="shared" si="22"/>
        <v>845</v>
      </c>
      <c r="M33" s="14">
        <f t="shared" si="22"/>
        <v>604</v>
      </c>
      <c r="N33" s="14" t="s">
        <v>0</v>
      </c>
      <c r="O33" s="14">
        <f>SUM(O21:O32)</f>
        <v>8326</v>
      </c>
      <c r="P33" s="15"/>
      <c r="Q33" s="15"/>
      <c r="R33" s="15"/>
      <c r="S33" s="15">
        <f>SUM(S21:S32)</f>
        <v>2466.1284848484847</v>
      </c>
      <c r="T33" s="50">
        <f>SUM(T21:T32)</f>
        <v>2699.7284848484846</v>
      </c>
      <c r="U33" s="66"/>
      <c r="V33" s="5"/>
      <c r="W33" s="5"/>
      <c r="X33" s="5"/>
    </row>
    <row r="34" spans="1:24" s="6" customFormat="1" ht="15.6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67"/>
      <c r="V34" s="5"/>
      <c r="W34" s="5"/>
      <c r="X34" s="5"/>
    </row>
    <row r="35" spans="1:24" s="19" customFormat="1" ht="20.100000000000001" customHeight="1">
      <c r="A35" s="132" t="s">
        <v>36</v>
      </c>
      <c r="B35" s="133"/>
      <c r="C35" s="17">
        <f>SUM(C33,C19)</f>
        <v>318</v>
      </c>
      <c r="D35" s="17" t="s">
        <v>37</v>
      </c>
      <c r="E35" s="18">
        <f>SUM(E33,E19)</f>
        <v>22.895999999999997</v>
      </c>
      <c r="F35" s="17"/>
      <c r="G35" s="17"/>
      <c r="H35" s="17">
        <f t="shared" ref="H35:M35" si="23">SUM(H33,H19)</f>
        <v>2861</v>
      </c>
      <c r="I35" s="17">
        <f t="shared" si="23"/>
        <v>3670</v>
      </c>
      <c r="J35" s="17">
        <f t="shared" si="23"/>
        <v>5050</v>
      </c>
      <c r="K35" s="17">
        <f t="shared" si="23"/>
        <v>3515</v>
      </c>
      <c r="L35" s="17">
        <f t="shared" si="23"/>
        <v>1835</v>
      </c>
      <c r="M35" s="17">
        <f t="shared" si="23"/>
        <v>1319</v>
      </c>
      <c r="N35" s="17"/>
      <c r="O35" s="17">
        <f>SUM(O33,O19)</f>
        <v>18250</v>
      </c>
      <c r="P35" s="17"/>
      <c r="Q35" s="17"/>
      <c r="R35" s="17"/>
      <c r="S35" s="18">
        <f>SUM(S33,S19)</f>
        <v>5531.2028787878789</v>
      </c>
      <c r="T35" s="18">
        <f>SUM(T33,T19)</f>
        <v>6040.0028787878782</v>
      </c>
      <c r="U35" s="68"/>
      <c r="V35" s="5"/>
      <c r="W35" s="5"/>
      <c r="X35" s="5"/>
    </row>
    <row r="36" spans="1:24" ht="30.75" customHeight="1" thickBot="1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3"/>
      <c r="U36" s="22"/>
    </row>
    <row r="37" spans="1:24" ht="24.9" customHeight="1" thickBot="1">
      <c r="A37" s="20"/>
      <c r="B37" s="21"/>
      <c r="C37" s="21"/>
      <c r="D37" s="24" t="s">
        <v>25</v>
      </c>
      <c r="E37" s="25"/>
      <c r="F37" s="25" t="s">
        <v>15</v>
      </c>
      <c r="G37" s="25"/>
      <c r="H37" s="26">
        <f t="shared" ref="H37:M37" si="24">+H6</f>
        <v>32</v>
      </c>
      <c r="I37" s="26">
        <f t="shared" si="24"/>
        <v>34</v>
      </c>
      <c r="J37" s="26">
        <f t="shared" si="24"/>
        <v>36</v>
      </c>
      <c r="K37" s="26">
        <f t="shared" si="24"/>
        <v>38</v>
      </c>
      <c r="L37" s="26">
        <f t="shared" si="24"/>
        <v>40</v>
      </c>
      <c r="M37" s="26">
        <f t="shared" si="24"/>
        <v>42</v>
      </c>
      <c r="N37" s="27" t="s">
        <v>26</v>
      </c>
      <c r="O37" s="73"/>
      <c r="P37" s="134"/>
      <c r="Q37" s="134"/>
      <c r="R37" s="135"/>
      <c r="S37" s="135"/>
      <c r="T37" s="136"/>
      <c r="U37" s="51"/>
    </row>
    <row r="38" spans="1:24" ht="24.9" customHeight="1">
      <c r="A38" s="20"/>
      <c r="B38" s="21"/>
      <c r="C38" s="21"/>
      <c r="D38" s="28" t="s">
        <v>27</v>
      </c>
      <c r="E38" s="29"/>
      <c r="F38" s="111" t="str">
        <f>+F7</f>
        <v>Germany</v>
      </c>
      <c r="G38" s="111" t="str">
        <f>+G7</f>
        <v>Medium Indigo (EHV)</v>
      </c>
      <c r="H38" s="29">
        <v>1949</v>
      </c>
      <c r="I38" s="29">
        <v>2497</v>
      </c>
      <c r="J38" s="29">
        <v>3431</v>
      </c>
      <c r="K38" s="29">
        <v>2380</v>
      </c>
      <c r="L38" s="29">
        <v>1248</v>
      </c>
      <c r="M38" s="29">
        <v>899</v>
      </c>
      <c r="N38" s="30">
        <f>SUM(H38:M38)</f>
        <v>12404</v>
      </c>
      <c r="O38" s="74"/>
      <c r="P38" s="31" t="s">
        <v>28</v>
      </c>
      <c r="Q38" s="31" t="s">
        <v>29</v>
      </c>
      <c r="R38" s="31" t="s">
        <v>30</v>
      </c>
      <c r="S38" s="11" t="s">
        <v>31</v>
      </c>
      <c r="T38" s="32" t="s">
        <v>32</v>
      </c>
      <c r="U38" s="69"/>
    </row>
    <row r="39" spans="1:24" ht="24.75" customHeight="1">
      <c r="A39" s="20"/>
      <c r="B39" s="21"/>
      <c r="C39" s="21"/>
      <c r="D39" s="7" t="s">
        <v>33</v>
      </c>
      <c r="E39" s="8"/>
      <c r="F39" s="103"/>
      <c r="G39" s="103"/>
      <c r="H39" s="8">
        <f t="shared" ref="H39:M39" si="25">+H19</f>
        <v>1559</v>
      </c>
      <c r="I39" s="8">
        <f t="shared" si="25"/>
        <v>2000</v>
      </c>
      <c r="J39" s="8">
        <f t="shared" si="25"/>
        <v>2750</v>
      </c>
      <c r="K39" s="8">
        <f t="shared" si="25"/>
        <v>1910</v>
      </c>
      <c r="L39" s="8">
        <f t="shared" si="25"/>
        <v>990</v>
      </c>
      <c r="M39" s="8">
        <f t="shared" si="25"/>
        <v>715</v>
      </c>
      <c r="N39" s="33">
        <f>SUM(H39:M39)</f>
        <v>9924</v>
      </c>
      <c r="O39" s="74"/>
      <c r="P39" s="34" t="s">
        <v>46</v>
      </c>
      <c r="Q39" s="8">
        <f>N38</f>
        <v>12404</v>
      </c>
      <c r="R39" s="8">
        <f>N39</f>
        <v>9924</v>
      </c>
      <c r="S39" s="35">
        <f>R39-Q39</f>
        <v>-2480</v>
      </c>
      <c r="T39" s="36">
        <f>S39/Q39</f>
        <v>-0.19993550467591101</v>
      </c>
      <c r="U39" s="70"/>
      <c r="V39" s="37"/>
    </row>
    <row r="40" spans="1:24" s="5" customFormat="1" ht="24.75" customHeight="1">
      <c r="A40" s="38"/>
      <c r="B40" s="16"/>
      <c r="C40" s="16"/>
      <c r="D40" s="39" t="s">
        <v>34</v>
      </c>
      <c r="E40" s="31"/>
      <c r="F40" s="103"/>
      <c r="G40" s="31" t="s">
        <v>35</v>
      </c>
      <c r="H40" s="40">
        <f>H39-H38</f>
        <v>-390</v>
      </c>
      <c r="I40" s="40">
        <f t="shared" ref="I40:M40" si="26">I39-I38</f>
        <v>-497</v>
      </c>
      <c r="J40" s="40">
        <f t="shared" si="26"/>
        <v>-681</v>
      </c>
      <c r="K40" s="40">
        <f t="shared" si="26"/>
        <v>-470</v>
      </c>
      <c r="L40" s="40">
        <f t="shared" si="26"/>
        <v>-258</v>
      </c>
      <c r="M40" s="40">
        <f t="shared" si="26"/>
        <v>-184</v>
      </c>
      <c r="N40" s="41">
        <f>N39-N38</f>
        <v>-2480</v>
      </c>
      <c r="O40" s="42"/>
      <c r="P40" s="10" t="s">
        <v>47</v>
      </c>
      <c r="Q40" s="10">
        <f>N44</f>
        <v>10404</v>
      </c>
      <c r="R40" s="10">
        <f>N45</f>
        <v>8326</v>
      </c>
      <c r="S40" s="35">
        <f>R40-Q40</f>
        <v>-2078</v>
      </c>
      <c r="T40" s="36">
        <f>S40/Q40</f>
        <v>-0.19973087274125337</v>
      </c>
      <c r="U40" s="70"/>
    </row>
    <row r="41" spans="1:24" ht="24.75" customHeight="1" thickBot="1">
      <c r="A41" s="20"/>
      <c r="B41" s="16"/>
      <c r="C41" s="16"/>
      <c r="D41" s="55"/>
      <c r="E41" s="56"/>
      <c r="F41" s="56"/>
      <c r="G41" s="56" t="s">
        <v>32</v>
      </c>
      <c r="H41" s="75">
        <f>H40/H38</f>
        <v>-0.20010261672652643</v>
      </c>
      <c r="I41" s="75">
        <f t="shared" ref="I41:M41" si="27">I40/I38</f>
        <v>-0.19903884661593912</v>
      </c>
      <c r="J41" s="75">
        <f>J40/J38</f>
        <v>-0.19848440687846108</v>
      </c>
      <c r="K41" s="75">
        <f t="shared" si="27"/>
        <v>-0.19747899159663865</v>
      </c>
      <c r="L41" s="75">
        <f t="shared" si="27"/>
        <v>-0.20673076923076922</v>
      </c>
      <c r="M41" s="75">
        <f t="shared" si="27"/>
        <v>-0.20467185761957732</v>
      </c>
      <c r="N41" s="76">
        <f>N40/N38</f>
        <v>-0.19993550467591101</v>
      </c>
      <c r="O41" s="21"/>
      <c r="P41" s="43"/>
      <c r="Q41" s="43"/>
      <c r="R41" s="43"/>
      <c r="S41" s="35"/>
      <c r="T41" s="36"/>
      <c r="U41" s="70"/>
    </row>
    <row r="42" spans="1:24" ht="24.9" customHeight="1" thickBot="1">
      <c r="A42" s="20"/>
      <c r="B42" s="16"/>
      <c r="C42" s="16"/>
      <c r="D42" s="47"/>
      <c r="E42" s="47"/>
      <c r="F42" s="47"/>
      <c r="G42" s="47"/>
      <c r="H42" s="59">
        <f>H44*80%</f>
        <v>1303.2</v>
      </c>
      <c r="I42" s="59">
        <f t="shared" ref="I42:M42" si="28">I44*80%</f>
        <v>1677.6000000000001</v>
      </c>
      <c r="J42" s="59">
        <f t="shared" si="28"/>
        <v>2296.8000000000002</v>
      </c>
      <c r="K42" s="59">
        <f t="shared" si="28"/>
        <v>1600</v>
      </c>
      <c r="L42" s="59">
        <f t="shared" si="28"/>
        <v>838.40000000000009</v>
      </c>
      <c r="M42" s="59">
        <f t="shared" si="28"/>
        <v>607.20000000000005</v>
      </c>
      <c r="N42" s="59"/>
      <c r="O42" s="53"/>
      <c r="P42" s="44" t="s">
        <v>45</v>
      </c>
      <c r="Q42" s="44">
        <f>SUM(Q39:Q41)</f>
        <v>22808</v>
      </c>
      <c r="R42" s="44">
        <f>SUM(R39:R41)</f>
        <v>18250</v>
      </c>
      <c r="S42" s="45">
        <f>+R42-Q42</f>
        <v>-4558</v>
      </c>
      <c r="T42" s="46">
        <f>+S42/Q42</f>
        <v>-0.1998421606453876</v>
      </c>
      <c r="U42" s="71"/>
    </row>
    <row r="43" spans="1:24" ht="24" customHeight="1" thickBot="1">
      <c r="A43" s="20"/>
      <c r="B43" s="21"/>
      <c r="C43" s="21"/>
      <c r="D43" s="24" t="s">
        <v>25</v>
      </c>
      <c r="E43" s="25"/>
      <c r="F43" s="25" t="s">
        <v>15</v>
      </c>
      <c r="G43" s="25"/>
      <c r="H43" s="26">
        <f t="shared" ref="H43:M43" si="29">H20</f>
        <v>32</v>
      </c>
      <c r="I43" s="26">
        <f t="shared" si="29"/>
        <v>34</v>
      </c>
      <c r="J43" s="26">
        <f t="shared" si="29"/>
        <v>36</v>
      </c>
      <c r="K43" s="26">
        <f t="shared" si="29"/>
        <v>38</v>
      </c>
      <c r="L43" s="26">
        <f t="shared" si="29"/>
        <v>40</v>
      </c>
      <c r="M43" s="26">
        <f t="shared" si="29"/>
        <v>42</v>
      </c>
      <c r="N43" s="27" t="s">
        <v>26</v>
      </c>
      <c r="T43" s="48"/>
    </row>
    <row r="44" spans="1:24" ht="24" customHeight="1">
      <c r="A44" s="60"/>
      <c r="D44" s="28" t="s">
        <v>27</v>
      </c>
      <c r="E44" s="29"/>
      <c r="F44" s="111" t="str">
        <f>F21</f>
        <v>Germany</v>
      </c>
      <c r="G44" s="111" t="str">
        <f>G21</f>
        <v>Black (HHU)</v>
      </c>
      <c r="H44" s="29">
        <v>1629</v>
      </c>
      <c r="I44" s="29">
        <v>2097</v>
      </c>
      <c r="J44" s="29">
        <v>2871</v>
      </c>
      <c r="K44" s="29">
        <v>2000</v>
      </c>
      <c r="L44" s="29">
        <v>1048</v>
      </c>
      <c r="M44" s="29">
        <v>759</v>
      </c>
      <c r="N44" s="30">
        <f>SUM(H44:M44)</f>
        <v>10404</v>
      </c>
      <c r="T44" s="48"/>
    </row>
    <row r="45" spans="1:24" ht="24" customHeight="1">
      <c r="A45" s="60"/>
      <c r="D45" s="7" t="s">
        <v>33</v>
      </c>
      <c r="E45" s="8"/>
      <c r="F45" s="103"/>
      <c r="G45" s="103"/>
      <c r="H45" s="8">
        <f>+H33</f>
        <v>1302</v>
      </c>
      <c r="I45" s="8">
        <f t="shared" ref="I45:M45" si="30">+I33</f>
        <v>1670</v>
      </c>
      <c r="J45" s="8">
        <f t="shared" si="30"/>
        <v>2300</v>
      </c>
      <c r="K45" s="8">
        <f t="shared" si="30"/>
        <v>1605</v>
      </c>
      <c r="L45" s="8">
        <f t="shared" si="30"/>
        <v>845</v>
      </c>
      <c r="M45" s="8">
        <f t="shared" si="30"/>
        <v>604</v>
      </c>
      <c r="N45" s="33">
        <f>SUM(H45:M45)</f>
        <v>8326</v>
      </c>
      <c r="T45" s="48"/>
    </row>
    <row r="46" spans="1:24" ht="24" customHeight="1">
      <c r="A46" s="60"/>
      <c r="D46" s="39" t="s">
        <v>34</v>
      </c>
      <c r="E46" s="31"/>
      <c r="F46" s="103"/>
      <c r="G46" s="31" t="s">
        <v>35</v>
      </c>
      <c r="H46" s="40">
        <f>H45-H44</f>
        <v>-327</v>
      </c>
      <c r="I46" s="40">
        <f t="shared" ref="I46:M46" si="31">I45-I44</f>
        <v>-427</v>
      </c>
      <c r="J46" s="40">
        <f t="shared" si="31"/>
        <v>-571</v>
      </c>
      <c r="K46" s="40">
        <f t="shared" si="31"/>
        <v>-395</v>
      </c>
      <c r="L46" s="40">
        <f t="shared" si="31"/>
        <v>-203</v>
      </c>
      <c r="M46" s="40">
        <f t="shared" si="31"/>
        <v>-155</v>
      </c>
      <c r="N46" s="41">
        <f>N45-N44</f>
        <v>-2078</v>
      </c>
      <c r="T46" s="48"/>
    </row>
    <row r="47" spans="1:24" ht="16.2" thickBot="1">
      <c r="A47" s="60"/>
      <c r="D47" s="55"/>
      <c r="E47" s="56"/>
      <c r="F47" s="56"/>
      <c r="G47" s="56" t="s">
        <v>32</v>
      </c>
      <c r="H47" s="57">
        <f>H46/H44</f>
        <v>-0.20073664825046039</v>
      </c>
      <c r="I47" s="57">
        <f t="shared" ref="I47:M47" si="32">I46/I44</f>
        <v>-0.20362422508345254</v>
      </c>
      <c r="J47" s="57">
        <f t="shared" si="32"/>
        <v>-0.19888540578195751</v>
      </c>
      <c r="K47" s="57">
        <f t="shared" si="32"/>
        <v>-0.19750000000000001</v>
      </c>
      <c r="L47" s="75">
        <f t="shared" si="32"/>
        <v>-0.19370229007633588</v>
      </c>
      <c r="M47" s="75">
        <f t="shared" si="32"/>
        <v>-0.20421607378129117</v>
      </c>
      <c r="N47" s="58">
        <f>N46/N44</f>
        <v>-0.19973087274125337</v>
      </c>
      <c r="T47" s="48"/>
    </row>
    <row r="48" spans="1:24" ht="15" customHeight="1" thickBot="1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4"/>
    </row>
    <row r="50" ht="9" customHeight="1"/>
  </sheetData>
  <mergeCells count="41">
    <mergeCell ref="F44:F46"/>
    <mergeCell ref="G44:G45"/>
    <mergeCell ref="A33:B33"/>
    <mergeCell ref="A34:T34"/>
    <mergeCell ref="A35:B35"/>
    <mergeCell ref="P37:Q37"/>
    <mergeCell ref="R37:T37"/>
    <mergeCell ref="F38:F40"/>
    <mergeCell ref="G38:G39"/>
    <mergeCell ref="F21:F32"/>
    <mergeCell ref="G21:G32"/>
    <mergeCell ref="A5:C5"/>
    <mergeCell ref="D5:H5"/>
    <mergeCell ref="I5:K5"/>
    <mergeCell ref="A6:B6"/>
    <mergeCell ref="F7:F18"/>
    <mergeCell ref="G7:G18"/>
    <mergeCell ref="A19:B19"/>
    <mergeCell ref="A20:B20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7"/>
  <sheetViews>
    <sheetView view="pageBreakPreview" zoomScale="70" zoomScaleNormal="100" zoomScaleSheetLayoutView="70" workbookViewId="0">
      <selection activeCell="J9" sqref="J9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16384" width="10.109375" style="1"/>
  </cols>
  <sheetData>
    <row r="1" spans="1:24" ht="30.75" customHeight="1" thickBot="1">
      <c r="A1" s="105" t="s">
        <v>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62"/>
    </row>
    <row r="2" spans="1:24" ht="33.75" customHeight="1">
      <c r="A2" s="110" t="s">
        <v>3</v>
      </c>
      <c r="B2" s="111"/>
      <c r="C2" s="111"/>
      <c r="D2" s="114">
        <f ca="1">TODAY()</f>
        <v>46274</v>
      </c>
      <c r="E2" s="114"/>
      <c r="F2" s="114"/>
      <c r="G2" s="114"/>
      <c r="H2" s="114"/>
      <c r="I2" s="144" t="s">
        <v>2</v>
      </c>
      <c r="J2" s="144"/>
      <c r="K2" s="144"/>
      <c r="L2" s="151" t="str">
        <f>CONCATENATE(G7," &amp; ",G21)</f>
        <v>Medium Indigo (EHV) &amp; Black (HHU)</v>
      </c>
      <c r="M2" s="152"/>
      <c r="N2" s="153"/>
      <c r="O2" s="111" t="s">
        <v>27</v>
      </c>
      <c r="P2" s="111"/>
      <c r="Q2" s="111"/>
      <c r="R2" s="111">
        <f>+Q39</f>
        <v>15638</v>
      </c>
      <c r="S2" s="111"/>
      <c r="T2" s="112"/>
      <c r="U2" s="47"/>
    </row>
    <row r="3" spans="1:24" ht="24" customHeight="1">
      <c r="A3" s="113" t="s">
        <v>4</v>
      </c>
      <c r="B3" s="103"/>
      <c r="C3" s="103"/>
      <c r="D3" s="103"/>
      <c r="E3" s="103"/>
      <c r="F3" s="103"/>
      <c r="G3" s="103"/>
      <c r="H3" s="103"/>
      <c r="I3" s="103" t="s">
        <v>5</v>
      </c>
      <c r="J3" s="103"/>
      <c r="K3" s="103"/>
      <c r="L3" s="140" t="s">
        <v>40</v>
      </c>
      <c r="M3" s="141"/>
      <c r="N3" s="142"/>
      <c r="O3" s="103" t="s">
        <v>33</v>
      </c>
      <c r="P3" s="103"/>
      <c r="Q3" s="103"/>
      <c r="R3" s="103">
        <f>+R39</f>
        <v>12390</v>
      </c>
      <c r="S3" s="103"/>
      <c r="T3" s="104"/>
      <c r="U3" s="47"/>
    </row>
    <row r="4" spans="1:24" ht="18" customHeight="1">
      <c r="A4" s="113" t="s">
        <v>6</v>
      </c>
      <c r="B4" s="103"/>
      <c r="C4" s="103"/>
      <c r="D4" s="140">
        <v>500080178</v>
      </c>
      <c r="E4" s="141"/>
      <c r="F4" s="141"/>
      <c r="G4" s="141"/>
      <c r="H4" s="142"/>
      <c r="I4" s="103" t="s">
        <v>7</v>
      </c>
      <c r="J4" s="103"/>
      <c r="K4" s="103"/>
      <c r="L4" s="154" t="s">
        <v>41</v>
      </c>
      <c r="M4" s="155"/>
      <c r="N4" s="156"/>
      <c r="O4" s="103" t="s">
        <v>8</v>
      </c>
      <c r="P4" s="103"/>
      <c r="Q4" s="103"/>
      <c r="R4" s="117">
        <f>+S39</f>
        <v>-3248</v>
      </c>
      <c r="S4" s="103"/>
      <c r="T4" s="2">
        <f>(R4/R2)</f>
        <v>-0.20769919427036707</v>
      </c>
      <c r="U4" s="63"/>
    </row>
    <row r="5" spans="1:24" ht="18" customHeight="1">
      <c r="A5" s="113" t="s">
        <v>9</v>
      </c>
      <c r="B5" s="103"/>
      <c r="C5" s="103"/>
      <c r="D5" s="103" t="s">
        <v>42</v>
      </c>
      <c r="E5" s="103"/>
      <c r="F5" s="103"/>
      <c r="G5" s="103"/>
      <c r="H5" s="103"/>
      <c r="I5" s="103" t="s">
        <v>10</v>
      </c>
      <c r="J5" s="103"/>
      <c r="K5" s="103"/>
      <c r="L5" s="137">
        <f>S32</f>
        <v>3764.0034848484847</v>
      </c>
      <c r="M5" s="138"/>
      <c r="N5" s="139"/>
      <c r="O5" s="103" t="s">
        <v>11</v>
      </c>
      <c r="P5" s="103"/>
      <c r="Q5" s="103"/>
      <c r="R5" s="116">
        <f>+T32</f>
        <v>4112.8034848484849</v>
      </c>
      <c r="S5" s="103"/>
      <c r="T5" s="2"/>
      <c r="U5" s="63"/>
    </row>
    <row r="6" spans="1:24" s="6" customFormat="1" ht="30" customHeight="1">
      <c r="A6" s="120" t="s">
        <v>12</v>
      </c>
      <c r="B6" s="121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</row>
    <row r="7" spans="1:24" ht="21.9" customHeight="1">
      <c r="A7" s="7">
        <v>1</v>
      </c>
      <c r="B7" s="8">
        <f t="shared" ref="B7:B18" si="0">C7+A7-1</f>
        <v>17</v>
      </c>
      <c r="C7" s="8">
        <v>17</v>
      </c>
      <c r="D7" s="52" t="str">
        <f>CONCATENATE(V7," * ",W7," * ",X7)</f>
        <v>60 * 40 * 30</v>
      </c>
      <c r="E7" s="9">
        <f>V7*W7*X7*C7/1000000</f>
        <v>1.224</v>
      </c>
      <c r="F7" s="118" t="s">
        <v>39</v>
      </c>
      <c r="G7" s="118" t="s">
        <v>43</v>
      </c>
      <c r="H7" s="10">
        <v>60</v>
      </c>
      <c r="I7" s="10"/>
      <c r="J7" s="10"/>
      <c r="K7" s="10"/>
      <c r="L7" s="10"/>
      <c r="M7" s="10"/>
      <c r="N7" s="8">
        <f>SUM(H7:M7)</f>
        <v>60</v>
      </c>
      <c r="O7" s="8">
        <f>N7*C7</f>
        <v>1020</v>
      </c>
      <c r="P7" s="11">
        <v>0.28166666666666662</v>
      </c>
      <c r="Q7" s="9">
        <f>P7*N7</f>
        <v>16.899999999999999</v>
      </c>
      <c r="R7" s="9">
        <f>Q7+1.6</f>
        <v>18.5</v>
      </c>
      <c r="S7" s="12">
        <f>+Q7*C7</f>
        <v>287.29999999999995</v>
      </c>
      <c r="T7" s="13">
        <f>+R7*C7</f>
        <v>314.5</v>
      </c>
      <c r="U7" s="65"/>
      <c r="V7" s="72">
        <v>60</v>
      </c>
      <c r="W7" s="72">
        <v>40</v>
      </c>
      <c r="X7" s="72">
        <v>30</v>
      </c>
    </row>
    <row r="8" spans="1:24" ht="21.9" customHeight="1">
      <c r="A8" s="7">
        <f>B7+1</f>
        <v>18</v>
      </c>
      <c r="B8" s="8">
        <f t="shared" si="0"/>
        <v>18</v>
      </c>
      <c r="C8" s="8">
        <v>1</v>
      </c>
      <c r="D8" s="52" t="str">
        <f>CONCATENATE(V8," * ",W8," * ",X8)</f>
        <v>60 * 40 * 20</v>
      </c>
      <c r="E8" s="9">
        <f>V8*W8*X8*C8/1000000</f>
        <v>4.8000000000000001E-2</v>
      </c>
      <c r="F8" s="119"/>
      <c r="G8" s="119"/>
      <c r="H8" s="10">
        <v>25</v>
      </c>
      <c r="I8" s="10"/>
      <c r="J8" s="10"/>
      <c r="K8" s="10"/>
      <c r="L8" s="10"/>
      <c r="M8" s="10"/>
      <c r="N8" s="8">
        <f t="shared" ref="N8:N18" si="1">SUM(H8:M8)</f>
        <v>25</v>
      </c>
      <c r="O8" s="8">
        <f t="shared" ref="O8:O16" si="2">N8*C8</f>
        <v>25</v>
      </c>
      <c r="P8" s="11">
        <v>0.28166666666666668</v>
      </c>
      <c r="Q8" s="9">
        <f t="shared" ref="Q8:Q18" si="3">P8*N8</f>
        <v>7.041666666666667</v>
      </c>
      <c r="R8" s="9">
        <f t="shared" ref="R8:R18" si="4">Q8+1.6</f>
        <v>8.6416666666666675</v>
      </c>
      <c r="S8" s="12">
        <f>+Q8*C8</f>
        <v>7.041666666666667</v>
      </c>
      <c r="T8" s="13">
        <f>+R8*C8</f>
        <v>8.6416666666666675</v>
      </c>
      <c r="U8" s="65"/>
      <c r="V8" s="72">
        <v>60</v>
      </c>
      <c r="W8" s="72">
        <v>40</v>
      </c>
      <c r="X8" s="72">
        <v>20</v>
      </c>
    </row>
    <row r="9" spans="1:24" ht="21.9" customHeight="1">
      <c r="A9" s="7">
        <f t="shared" ref="A9:A18" si="5">B8+1</f>
        <v>19</v>
      </c>
      <c r="B9" s="8">
        <f t="shared" si="0"/>
        <v>43</v>
      </c>
      <c r="C9" s="8">
        <v>25</v>
      </c>
      <c r="D9" s="52" t="str">
        <f t="shared" ref="D9:D15" si="6">CONCATENATE(V9," * ",W9," * ",X9)</f>
        <v>60 * 40 * 30</v>
      </c>
      <c r="E9" s="9">
        <f t="shared" ref="E9:E15" si="7">V9*W9*X9*C9/1000000</f>
        <v>1.8</v>
      </c>
      <c r="F9" s="119"/>
      <c r="G9" s="119"/>
      <c r="H9" s="10"/>
      <c r="I9" s="10">
        <v>60</v>
      </c>
      <c r="J9" s="10"/>
      <c r="K9" s="10"/>
      <c r="L9" s="10"/>
      <c r="M9" s="10"/>
      <c r="N9" s="8">
        <f t="shared" si="1"/>
        <v>60</v>
      </c>
      <c r="O9" s="8">
        <f t="shared" si="2"/>
        <v>1500</v>
      </c>
      <c r="P9" s="11">
        <v>0.29499999999999998</v>
      </c>
      <c r="Q9" s="9">
        <f t="shared" si="3"/>
        <v>17.7</v>
      </c>
      <c r="R9" s="9">
        <f t="shared" si="4"/>
        <v>19.3</v>
      </c>
      <c r="S9" s="12">
        <f t="shared" ref="S9:S18" si="8">+Q9*C9</f>
        <v>442.5</v>
      </c>
      <c r="T9" s="13">
        <f t="shared" ref="T9:T18" si="9">+R9*C9</f>
        <v>482.5</v>
      </c>
      <c r="U9" s="65"/>
      <c r="V9" s="72">
        <v>60</v>
      </c>
      <c r="W9" s="72">
        <v>40</v>
      </c>
      <c r="X9" s="72">
        <v>30</v>
      </c>
    </row>
    <row r="10" spans="1:24" ht="21.9" customHeight="1">
      <c r="A10" s="7">
        <f t="shared" si="5"/>
        <v>44</v>
      </c>
      <c r="B10" s="8">
        <f t="shared" si="0"/>
        <v>44</v>
      </c>
      <c r="C10" s="8">
        <v>1</v>
      </c>
      <c r="D10" s="52" t="str">
        <f t="shared" si="6"/>
        <v>60 * 40 * 30</v>
      </c>
      <c r="E10" s="9">
        <f t="shared" si="7"/>
        <v>7.1999999999999995E-2</v>
      </c>
      <c r="F10" s="119"/>
      <c r="G10" s="119"/>
      <c r="H10" s="10"/>
      <c r="I10" s="10">
        <v>48</v>
      </c>
      <c r="J10" s="10"/>
      <c r="K10" s="10"/>
      <c r="L10" s="10"/>
      <c r="M10" s="10"/>
      <c r="N10" s="8">
        <f t="shared" si="1"/>
        <v>48</v>
      </c>
      <c r="O10" s="8">
        <f t="shared" si="2"/>
        <v>48</v>
      </c>
      <c r="P10" s="11">
        <v>0.29499999999999998</v>
      </c>
      <c r="Q10" s="9">
        <f t="shared" si="3"/>
        <v>14.16</v>
      </c>
      <c r="R10" s="9">
        <f t="shared" si="4"/>
        <v>15.76</v>
      </c>
      <c r="S10" s="12">
        <f t="shared" si="8"/>
        <v>14.16</v>
      </c>
      <c r="T10" s="13">
        <f t="shared" si="9"/>
        <v>15.76</v>
      </c>
      <c r="U10" s="65"/>
      <c r="V10" s="72">
        <v>60</v>
      </c>
      <c r="W10" s="72">
        <v>40</v>
      </c>
      <c r="X10" s="72">
        <v>30</v>
      </c>
    </row>
    <row r="11" spans="1:24" ht="21.9" customHeight="1">
      <c r="A11" s="7">
        <f t="shared" si="5"/>
        <v>45</v>
      </c>
      <c r="B11" s="8">
        <f t="shared" si="0"/>
        <v>75</v>
      </c>
      <c r="C11" s="8">
        <v>31</v>
      </c>
      <c r="D11" s="52" t="str">
        <f t="shared" si="6"/>
        <v>60 * 40 * 30</v>
      </c>
      <c r="E11" s="9">
        <f t="shared" si="7"/>
        <v>2.2320000000000002</v>
      </c>
      <c r="F11" s="119"/>
      <c r="G11" s="119"/>
      <c r="H11" s="10"/>
      <c r="I11" s="10"/>
      <c r="J11" s="10">
        <v>60</v>
      </c>
      <c r="K11" s="10"/>
      <c r="L11" s="10"/>
      <c r="M11" s="10"/>
      <c r="N11" s="8">
        <f t="shared" si="1"/>
        <v>60</v>
      </c>
      <c r="O11" s="8">
        <f t="shared" si="2"/>
        <v>1860</v>
      </c>
      <c r="P11" s="11">
        <v>0.30666666666666664</v>
      </c>
      <c r="Q11" s="9">
        <f t="shared" si="3"/>
        <v>18.399999999999999</v>
      </c>
      <c r="R11" s="9">
        <f t="shared" si="4"/>
        <v>20</v>
      </c>
      <c r="S11" s="12">
        <f t="shared" si="8"/>
        <v>570.4</v>
      </c>
      <c r="T11" s="13">
        <f t="shared" si="9"/>
        <v>620</v>
      </c>
      <c r="U11" s="65"/>
      <c r="V11" s="72">
        <v>60</v>
      </c>
      <c r="W11" s="72">
        <v>40</v>
      </c>
      <c r="X11" s="72">
        <v>30</v>
      </c>
    </row>
    <row r="12" spans="1:24" ht="21.9" customHeight="1">
      <c r="A12" s="7">
        <f t="shared" si="5"/>
        <v>76</v>
      </c>
      <c r="B12" s="8">
        <f t="shared" si="0"/>
        <v>76</v>
      </c>
      <c r="C12" s="8">
        <v>1</v>
      </c>
      <c r="D12" s="52" t="str">
        <f t="shared" si="6"/>
        <v>60 * 40 * 20</v>
      </c>
      <c r="E12" s="9">
        <f t="shared" si="7"/>
        <v>4.8000000000000001E-2</v>
      </c>
      <c r="F12" s="119"/>
      <c r="G12" s="119"/>
      <c r="H12" s="10"/>
      <c r="I12" s="10"/>
      <c r="J12" s="10">
        <v>28</v>
      </c>
      <c r="K12" s="10"/>
      <c r="L12" s="10"/>
      <c r="M12" s="10"/>
      <c r="N12" s="8">
        <f t="shared" si="1"/>
        <v>28</v>
      </c>
      <c r="O12" s="8">
        <f t="shared" si="2"/>
        <v>28</v>
      </c>
      <c r="P12" s="11">
        <v>0.30666666666666664</v>
      </c>
      <c r="Q12" s="9">
        <f t="shared" si="3"/>
        <v>8.586666666666666</v>
      </c>
      <c r="R12" s="9">
        <f t="shared" si="4"/>
        <v>10.186666666666666</v>
      </c>
      <c r="S12" s="12">
        <f t="shared" si="8"/>
        <v>8.586666666666666</v>
      </c>
      <c r="T12" s="13">
        <f t="shared" si="9"/>
        <v>10.186666666666666</v>
      </c>
      <c r="U12" s="65"/>
      <c r="V12" s="72">
        <v>60</v>
      </c>
      <c r="W12" s="72">
        <v>40</v>
      </c>
      <c r="X12" s="72">
        <v>20</v>
      </c>
    </row>
    <row r="13" spans="1:24" ht="21.9" customHeight="1">
      <c r="A13" s="7">
        <f t="shared" si="5"/>
        <v>77</v>
      </c>
      <c r="B13" s="8">
        <f t="shared" si="0"/>
        <v>101</v>
      </c>
      <c r="C13" s="8">
        <v>25</v>
      </c>
      <c r="D13" s="52" t="str">
        <f t="shared" si="6"/>
        <v>60 * 40 * 30</v>
      </c>
      <c r="E13" s="9">
        <f t="shared" si="7"/>
        <v>1.8</v>
      </c>
      <c r="F13" s="119"/>
      <c r="G13" s="119"/>
      <c r="H13" s="10"/>
      <c r="I13" s="10"/>
      <c r="J13" s="10"/>
      <c r="K13" s="10">
        <v>55</v>
      </c>
      <c r="L13" s="10"/>
      <c r="M13" s="10"/>
      <c r="N13" s="8">
        <f t="shared" si="1"/>
        <v>55</v>
      </c>
      <c r="O13" s="8">
        <f t="shared" si="2"/>
        <v>1375</v>
      </c>
      <c r="P13" s="11">
        <v>0.32181818181818178</v>
      </c>
      <c r="Q13" s="9">
        <f t="shared" si="3"/>
        <v>17.7</v>
      </c>
      <c r="R13" s="9">
        <f t="shared" si="4"/>
        <v>19.3</v>
      </c>
      <c r="S13" s="12">
        <f t="shared" si="8"/>
        <v>442.5</v>
      </c>
      <c r="T13" s="13">
        <f t="shared" si="9"/>
        <v>482.5</v>
      </c>
      <c r="U13" s="65"/>
      <c r="V13" s="72">
        <v>60</v>
      </c>
      <c r="W13" s="72">
        <v>40</v>
      </c>
      <c r="X13" s="72">
        <v>30</v>
      </c>
    </row>
    <row r="14" spans="1:24" ht="21.9" customHeight="1">
      <c r="A14" s="7">
        <f t="shared" si="5"/>
        <v>102</v>
      </c>
      <c r="B14" s="8">
        <f t="shared" si="0"/>
        <v>102</v>
      </c>
      <c r="C14" s="8">
        <v>1</v>
      </c>
      <c r="D14" s="52" t="str">
        <f t="shared" si="6"/>
        <v>60 * 40 * 10</v>
      </c>
      <c r="E14" s="9">
        <f t="shared" si="7"/>
        <v>2.4E-2</v>
      </c>
      <c r="F14" s="119"/>
      <c r="G14" s="119"/>
      <c r="H14" s="10"/>
      <c r="I14" s="10"/>
      <c r="J14" s="10"/>
      <c r="K14" s="10">
        <v>11</v>
      </c>
      <c r="L14" s="10"/>
      <c r="M14" s="10"/>
      <c r="N14" s="8">
        <f t="shared" si="1"/>
        <v>11</v>
      </c>
      <c r="O14" s="8">
        <f t="shared" si="2"/>
        <v>11</v>
      </c>
      <c r="P14" s="11">
        <v>0.32181818181818178</v>
      </c>
      <c r="Q14" s="9">
        <f t="shared" si="3"/>
        <v>3.5399999999999996</v>
      </c>
      <c r="R14" s="9">
        <f t="shared" si="4"/>
        <v>5.14</v>
      </c>
      <c r="S14" s="12">
        <f t="shared" si="8"/>
        <v>3.5399999999999996</v>
      </c>
      <c r="T14" s="13">
        <f t="shared" si="9"/>
        <v>5.14</v>
      </c>
      <c r="U14" s="65"/>
      <c r="V14" s="72">
        <v>60</v>
      </c>
      <c r="W14" s="72">
        <v>40</v>
      </c>
      <c r="X14" s="72">
        <v>10</v>
      </c>
    </row>
    <row r="15" spans="1:24" ht="21.9" customHeight="1">
      <c r="A15" s="7">
        <f t="shared" si="5"/>
        <v>103</v>
      </c>
      <c r="B15" s="8">
        <f t="shared" si="0"/>
        <v>115</v>
      </c>
      <c r="C15" s="8">
        <v>13</v>
      </c>
      <c r="D15" s="52" t="str">
        <f t="shared" si="6"/>
        <v>60 * 40 * 30</v>
      </c>
      <c r="E15" s="9">
        <f t="shared" si="7"/>
        <v>0.93600000000000005</v>
      </c>
      <c r="F15" s="119"/>
      <c r="G15" s="119"/>
      <c r="H15" s="10"/>
      <c r="I15" s="10"/>
      <c r="J15" s="10"/>
      <c r="K15" s="10"/>
      <c r="L15" s="10">
        <v>55</v>
      </c>
      <c r="M15" s="10"/>
      <c r="N15" s="8">
        <f t="shared" si="1"/>
        <v>55</v>
      </c>
      <c r="O15" s="8">
        <f t="shared" si="2"/>
        <v>715</v>
      </c>
      <c r="P15" s="11">
        <v>0.33363636363636362</v>
      </c>
      <c r="Q15" s="9">
        <f t="shared" si="3"/>
        <v>18.349999999999998</v>
      </c>
      <c r="R15" s="9">
        <f t="shared" si="4"/>
        <v>19.95</v>
      </c>
      <c r="S15" s="12">
        <f t="shared" si="8"/>
        <v>238.54999999999998</v>
      </c>
      <c r="T15" s="13">
        <f t="shared" si="9"/>
        <v>259.34999999999997</v>
      </c>
      <c r="U15" s="65"/>
      <c r="V15" s="72">
        <v>60</v>
      </c>
      <c r="W15" s="72">
        <v>40</v>
      </c>
      <c r="X15" s="72">
        <v>30</v>
      </c>
    </row>
    <row r="16" spans="1:24" ht="21.75" customHeight="1">
      <c r="A16" s="7">
        <f t="shared" si="5"/>
        <v>116</v>
      </c>
      <c r="B16" s="8">
        <f t="shared" si="0"/>
        <v>116</v>
      </c>
      <c r="C16" s="8">
        <v>1</v>
      </c>
      <c r="D16" s="52" t="str">
        <f>CONCATENATE(V16," * ",W16," * ",X16)</f>
        <v>60 * 40 * 30</v>
      </c>
      <c r="E16" s="9">
        <f>V16*W16*X16*C16/1000000</f>
        <v>7.1999999999999995E-2</v>
      </c>
      <c r="F16" s="119"/>
      <c r="G16" s="119"/>
      <c r="H16" s="10"/>
      <c r="I16" s="10"/>
      <c r="J16" s="10"/>
      <c r="K16" s="10"/>
      <c r="L16" s="10">
        <v>48</v>
      </c>
      <c r="M16" s="10"/>
      <c r="N16" s="8">
        <f t="shared" si="1"/>
        <v>48</v>
      </c>
      <c r="O16" s="8">
        <f t="shared" si="2"/>
        <v>48</v>
      </c>
      <c r="P16" s="11">
        <v>0.33363636363636362</v>
      </c>
      <c r="Q16" s="9">
        <f t="shared" si="3"/>
        <v>16.014545454545456</v>
      </c>
      <c r="R16" s="9">
        <f t="shared" si="4"/>
        <v>17.614545454545457</v>
      </c>
      <c r="S16" s="12">
        <f t="shared" si="8"/>
        <v>16.014545454545456</v>
      </c>
      <c r="T16" s="13">
        <f t="shared" si="9"/>
        <v>17.614545454545457</v>
      </c>
      <c r="U16" s="65"/>
      <c r="V16" s="72">
        <v>60</v>
      </c>
      <c r="W16" s="72">
        <v>40</v>
      </c>
      <c r="X16" s="72">
        <v>30</v>
      </c>
    </row>
    <row r="17" spans="1:24" ht="21.9" customHeight="1">
      <c r="A17" s="7">
        <f t="shared" si="5"/>
        <v>117</v>
      </c>
      <c r="B17" s="8">
        <f t="shared" si="0"/>
        <v>125</v>
      </c>
      <c r="C17" s="8">
        <v>9</v>
      </c>
      <c r="D17" s="52" t="str">
        <f>CONCATENATE(V17," * ",W17," * ",X17)</f>
        <v>60 * 40 * 30</v>
      </c>
      <c r="E17" s="9">
        <f>V17*W17*X17*C17/1000000</f>
        <v>0.64800000000000002</v>
      </c>
      <c r="F17" s="119"/>
      <c r="G17" s="119"/>
      <c r="H17" s="10"/>
      <c r="I17" s="10"/>
      <c r="J17" s="10"/>
      <c r="K17" s="10"/>
      <c r="L17" s="10"/>
      <c r="M17" s="10">
        <v>55</v>
      </c>
      <c r="N17" s="8">
        <f t="shared" si="1"/>
        <v>55</v>
      </c>
      <c r="O17" s="8">
        <f>N17*C17</f>
        <v>495</v>
      </c>
      <c r="P17" s="11">
        <v>0.34636363636363632</v>
      </c>
      <c r="Q17" s="9">
        <f t="shared" si="3"/>
        <v>19.049999999999997</v>
      </c>
      <c r="R17" s="9">
        <f t="shared" si="4"/>
        <v>20.65</v>
      </c>
      <c r="S17" s="12">
        <f t="shared" si="8"/>
        <v>171.45</v>
      </c>
      <c r="T17" s="13">
        <f t="shared" si="9"/>
        <v>185.85</v>
      </c>
      <c r="U17" s="65"/>
      <c r="V17" s="72">
        <v>60</v>
      </c>
      <c r="W17" s="72">
        <v>40</v>
      </c>
      <c r="X17" s="72">
        <v>30</v>
      </c>
    </row>
    <row r="18" spans="1:24" ht="21.9" customHeight="1">
      <c r="A18" s="7">
        <f t="shared" si="5"/>
        <v>126</v>
      </c>
      <c r="B18" s="8">
        <f t="shared" si="0"/>
        <v>126</v>
      </c>
      <c r="C18" s="8">
        <v>1</v>
      </c>
      <c r="D18" s="52" t="str">
        <f>CONCATENATE(V18," * ",W18," * ",X18)</f>
        <v>60 * 40 * 20</v>
      </c>
      <c r="E18" s="9">
        <f>V18*W18*X18*C18/1000000</f>
        <v>4.8000000000000001E-2</v>
      </c>
      <c r="F18" s="119"/>
      <c r="G18" s="119"/>
      <c r="H18" s="10"/>
      <c r="I18" s="10"/>
      <c r="J18" s="10"/>
      <c r="K18" s="10"/>
      <c r="L18" s="10"/>
      <c r="M18" s="10">
        <v>30</v>
      </c>
      <c r="N18" s="8">
        <f t="shared" si="1"/>
        <v>30</v>
      </c>
      <c r="O18" s="8">
        <f>N18*C18</f>
        <v>30</v>
      </c>
      <c r="P18" s="11">
        <v>0.34636363636363626</v>
      </c>
      <c r="Q18" s="9">
        <f t="shared" si="3"/>
        <v>10.390909090909087</v>
      </c>
      <c r="R18" s="9">
        <f t="shared" si="4"/>
        <v>11.990909090909087</v>
      </c>
      <c r="S18" s="12">
        <f t="shared" si="8"/>
        <v>10.390909090909087</v>
      </c>
      <c r="T18" s="13">
        <f t="shared" si="9"/>
        <v>11.990909090909087</v>
      </c>
      <c r="U18" s="65"/>
      <c r="V18" s="72">
        <v>60</v>
      </c>
      <c r="W18" s="72">
        <v>40</v>
      </c>
      <c r="X18" s="72">
        <v>20</v>
      </c>
    </row>
    <row r="19" spans="1:24" s="6" customFormat="1" ht="21.9" customHeight="1">
      <c r="A19" s="128" t="s">
        <v>24</v>
      </c>
      <c r="B19" s="129"/>
      <c r="C19" s="14">
        <f>SUM(C7:C18)</f>
        <v>126</v>
      </c>
      <c r="D19" s="14"/>
      <c r="E19" s="15">
        <f>SUM(E7:E18)</f>
        <v>8.952</v>
      </c>
      <c r="F19" s="14"/>
      <c r="G19" s="14"/>
      <c r="H19" s="14">
        <f>SUMPRODUCT(H7:H18,$C$7:$C$18)</f>
        <v>1045</v>
      </c>
      <c r="I19" s="14">
        <f>SUMPRODUCT(I7:I18,$C$7:$C$18)</f>
        <v>1548</v>
      </c>
      <c r="J19" s="14">
        <f>SUMPRODUCT(J7:J18,$C$7:$C$18)</f>
        <v>1888</v>
      </c>
      <c r="K19" s="14">
        <f t="shared" ref="K19:L19" si="10">SUMPRODUCT(K7:K18,$C$7:$C$18)</f>
        <v>1386</v>
      </c>
      <c r="L19" s="14">
        <f t="shared" si="10"/>
        <v>763</v>
      </c>
      <c r="M19" s="14">
        <f>SUMPRODUCT(M7:M18,$C$7:$C$18)</f>
        <v>525</v>
      </c>
      <c r="N19" s="14" t="s">
        <v>0</v>
      </c>
      <c r="O19" s="14">
        <f>SUM(O7:O18)</f>
        <v>7155</v>
      </c>
      <c r="P19" s="15"/>
      <c r="Q19" s="15"/>
      <c r="R19" s="15"/>
      <c r="S19" s="15">
        <f>SUM(S7:S18)</f>
        <v>2212.4337878787878</v>
      </c>
      <c r="T19" s="50">
        <f>SUM(T7:T18)</f>
        <v>2414.0337878787877</v>
      </c>
      <c r="U19" s="66"/>
      <c r="V19" s="5"/>
      <c r="W19" s="5"/>
      <c r="X19" s="5"/>
    </row>
    <row r="20" spans="1:24" s="6" customFormat="1" ht="30" customHeight="1">
      <c r="A20" s="120" t="s">
        <v>12</v>
      </c>
      <c r="B20" s="121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</row>
    <row r="21" spans="1:24" ht="21.9" customHeight="1">
      <c r="A21" s="7">
        <f>B18+1</f>
        <v>127</v>
      </c>
      <c r="B21" s="8">
        <f t="shared" ref="B21:B29" si="12">C21+A21-1</f>
        <v>139</v>
      </c>
      <c r="C21" s="8">
        <v>13</v>
      </c>
      <c r="D21" s="52" t="str">
        <f>CONCATENATE(V21," * ",W21," * ",X21)</f>
        <v>60 * 40 * 30</v>
      </c>
      <c r="E21" s="9">
        <f>V21*W21*X21*C21/1000000</f>
        <v>0.93600000000000005</v>
      </c>
      <c r="F21" s="118" t="s">
        <v>39</v>
      </c>
      <c r="G21" s="118" t="s">
        <v>44</v>
      </c>
      <c r="H21" s="10">
        <v>60</v>
      </c>
      <c r="I21" s="10"/>
      <c r="J21" s="10"/>
      <c r="K21" s="10"/>
      <c r="L21" s="10"/>
      <c r="M21" s="10"/>
      <c r="N21" s="8">
        <f>SUM(H21:M21)</f>
        <v>60</v>
      </c>
      <c r="O21" s="8">
        <f>N21*C21</f>
        <v>780</v>
      </c>
      <c r="P21" s="11">
        <v>0.27083333333333331</v>
      </c>
      <c r="Q21" s="9">
        <f t="shared" ref="Q21:Q29" si="13">P21*N21</f>
        <v>16.25</v>
      </c>
      <c r="R21" s="9">
        <f t="shared" ref="R21:R29" si="14">Q21+1.6</f>
        <v>17.850000000000001</v>
      </c>
      <c r="S21" s="12">
        <f>+Q21*C21</f>
        <v>211.25</v>
      </c>
      <c r="T21" s="13">
        <f>+R21*C21</f>
        <v>232.05</v>
      </c>
      <c r="U21" s="65"/>
      <c r="V21" s="72">
        <v>60</v>
      </c>
      <c r="W21" s="72">
        <v>40</v>
      </c>
      <c r="X21" s="72">
        <v>30</v>
      </c>
    </row>
    <row r="22" spans="1:24" ht="21.9" customHeight="1">
      <c r="A22" s="7">
        <f>B21+1</f>
        <v>140</v>
      </c>
      <c r="B22" s="8">
        <f t="shared" si="12"/>
        <v>140</v>
      </c>
      <c r="C22" s="8">
        <v>1</v>
      </c>
      <c r="D22" s="52" t="str">
        <f>CONCATENATE(V22," * ",W22," * ",X22)</f>
        <v>60 * 40 * 20</v>
      </c>
      <c r="E22" s="9">
        <f>V22*W22*X22*C22/1000000</f>
        <v>4.8000000000000001E-2</v>
      </c>
      <c r="F22" s="119"/>
      <c r="G22" s="119"/>
      <c r="H22" s="10">
        <v>40</v>
      </c>
      <c r="I22" s="10"/>
      <c r="J22" s="10"/>
      <c r="K22" s="10"/>
      <c r="L22" s="10"/>
      <c r="M22" s="10"/>
      <c r="N22" s="8">
        <f t="shared" ref="N22:N29" si="15">SUM(H22:M22)</f>
        <v>40</v>
      </c>
      <c r="O22" s="8">
        <f t="shared" ref="O22:O29" si="16">N22*C22</f>
        <v>40</v>
      </c>
      <c r="P22" s="11">
        <v>0.27083333333333331</v>
      </c>
      <c r="Q22" s="9">
        <f t="shared" si="13"/>
        <v>10.833333333333332</v>
      </c>
      <c r="R22" s="9">
        <f t="shared" si="14"/>
        <v>12.433333333333332</v>
      </c>
      <c r="S22" s="12">
        <f>+Q22*C22</f>
        <v>10.833333333333332</v>
      </c>
      <c r="T22" s="13">
        <f>+R22*C22</f>
        <v>12.433333333333332</v>
      </c>
      <c r="U22" s="65"/>
      <c r="V22" s="72">
        <v>60</v>
      </c>
      <c r="W22" s="72">
        <v>40</v>
      </c>
      <c r="X22" s="72">
        <v>20</v>
      </c>
    </row>
    <row r="23" spans="1:24" ht="21.9" customHeight="1">
      <c r="A23" s="7">
        <f t="shared" ref="A23:A29" si="17">B22+1</f>
        <v>141</v>
      </c>
      <c r="B23" s="8">
        <f t="shared" si="12"/>
        <v>158</v>
      </c>
      <c r="C23" s="8">
        <v>18</v>
      </c>
      <c r="D23" s="52" t="str">
        <f t="shared" ref="D23:D29" si="18">CONCATENATE(V23," * ",W23," * ",X23)</f>
        <v>60 * 40 * 30</v>
      </c>
      <c r="E23" s="9">
        <f t="shared" ref="E23:E29" si="19">V23*W23*X23*C23/1000000</f>
        <v>1.296</v>
      </c>
      <c r="F23" s="119"/>
      <c r="G23" s="119"/>
      <c r="H23" s="10"/>
      <c r="I23" s="10">
        <v>60</v>
      </c>
      <c r="J23" s="10"/>
      <c r="K23" s="10"/>
      <c r="L23" s="10"/>
      <c r="M23" s="10"/>
      <c r="N23" s="8">
        <f t="shared" si="15"/>
        <v>60</v>
      </c>
      <c r="O23" s="8">
        <f t="shared" si="16"/>
        <v>1080</v>
      </c>
      <c r="P23" s="11">
        <v>0.28083333333333332</v>
      </c>
      <c r="Q23" s="9">
        <f t="shared" si="13"/>
        <v>16.849999999999998</v>
      </c>
      <c r="R23" s="9">
        <f t="shared" si="14"/>
        <v>18.45</v>
      </c>
      <c r="S23" s="12">
        <f t="shared" ref="S23:S29" si="20">+Q23*C23</f>
        <v>303.29999999999995</v>
      </c>
      <c r="T23" s="13">
        <f t="shared" ref="T23:T29" si="21">+R23*C23</f>
        <v>332.09999999999997</v>
      </c>
      <c r="U23" s="65"/>
      <c r="V23" s="72">
        <v>60</v>
      </c>
      <c r="W23" s="72">
        <v>40</v>
      </c>
      <c r="X23" s="72">
        <v>30</v>
      </c>
    </row>
    <row r="24" spans="1:24" ht="21.9" customHeight="1">
      <c r="A24" s="7">
        <f t="shared" si="17"/>
        <v>159</v>
      </c>
      <c r="B24" s="8">
        <f t="shared" si="12"/>
        <v>181</v>
      </c>
      <c r="C24" s="8">
        <v>23</v>
      </c>
      <c r="D24" s="52" t="str">
        <f t="shared" si="18"/>
        <v>60 * 40 * 30</v>
      </c>
      <c r="E24" s="9">
        <f t="shared" si="19"/>
        <v>1.6559999999999999</v>
      </c>
      <c r="F24" s="119"/>
      <c r="G24" s="119"/>
      <c r="H24" s="10"/>
      <c r="I24" s="10"/>
      <c r="J24" s="10">
        <v>60</v>
      </c>
      <c r="K24" s="10"/>
      <c r="L24" s="10"/>
      <c r="M24" s="10"/>
      <c r="N24" s="8">
        <f t="shared" si="15"/>
        <v>60</v>
      </c>
      <c r="O24" s="8">
        <f t="shared" si="16"/>
        <v>1380</v>
      </c>
      <c r="P24" s="11">
        <v>0.29499999999999998</v>
      </c>
      <c r="Q24" s="9">
        <f t="shared" si="13"/>
        <v>17.7</v>
      </c>
      <c r="R24" s="9">
        <f t="shared" si="14"/>
        <v>19.3</v>
      </c>
      <c r="S24" s="12">
        <f t="shared" si="20"/>
        <v>407.09999999999997</v>
      </c>
      <c r="T24" s="13">
        <f t="shared" si="21"/>
        <v>443.90000000000003</v>
      </c>
      <c r="U24" s="65"/>
      <c r="V24" s="72">
        <v>60</v>
      </c>
      <c r="W24" s="72">
        <v>40</v>
      </c>
      <c r="X24" s="72">
        <v>30</v>
      </c>
    </row>
    <row r="25" spans="1:24" ht="21.9" customHeight="1">
      <c r="A25" s="7">
        <f t="shared" si="17"/>
        <v>182</v>
      </c>
      <c r="B25" s="8">
        <f t="shared" si="12"/>
        <v>182</v>
      </c>
      <c r="C25" s="8">
        <v>1</v>
      </c>
      <c r="D25" s="52" t="str">
        <f t="shared" si="18"/>
        <v>60 * 40 * 20</v>
      </c>
      <c r="E25" s="9">
        <f t="shared" si="19"/>
        <v>4.8000000000000001E-2</v>
      </c>
      <c r="F25" s="119"/>
      <c r="G25" s="119"/>
      <c r="H25" s="10"/>
      <c r="I25" s="10"/>
      <c r="J25" s="10">
        <v>20</v>
      </c>
      <c r="K25" s="10"/>
      <c r="L25" s="10"/>
      <c r="M25" s="10"/>
      <c r="N25" s="8">
        <f t="shared" si="15"/>
        <v>20</v>
      </c>
      <c r="O25" s="8">
        <f t="shared" si="16"/>
        <v>20</v>
      </c>
      <c r="P25" s="11">
        <v>0.29500000000000004</v>
      </c>
      <c r="Q25" s="9">
        <f t="shared" si="13"/>
        <v>5.9</v>
      </c>
      <c r="R25" s="9">
        <f t="shared" si="14"/>
        <v>7.5</v>
      </c>
      <c r="S25" s="12">
        <f t="shared" si="20"/>
        <v>5.9</v>
      </c>
      <c r="T25" s="13">
        <f t="shared" si="21"/>
        <v>7.5</v>
      </c>
      <c r="U25" s="65"/>
      <c r="V25" s="72">
        <v>60</v>
      </c>
      <c r="W25" s="72">
        <v>40</v>
      </c>
      <c r="X25" s="72">
        <v>20</v>
      </c>
    </row>
    <row r="26" spans="1:24" ht="21.9" customHeight="1">
      <c r="A26" s="7">
        <f t="shared" si="17"/>
        <v>183</v>
      </c>
      <c r="B26" s="8">
        <f t="shared" si="12"/>
        <v>200</v>
      </c>
      <c r="C26" s="8">
        <v>18</v>
      </c>
      <c r="D26" s="52" t="str">
        <f t="shared" si="18"/>
        <v>60 * 40 * 30</v>
      </c>
      <c r="E26" s="9">
        <f t="shared" si="19"/>
        <v>1.296</v>
      </c>
      <c r="F26" s="119"/>
      <c r="G26" s="119"/>
      <c r="H26" s="10"/>
      <c r="I26" s="10"/>
      <c r="J26" s="10"/>
      <c r="K26" s="10">
        <v>55</v>
      </c>
      <c r="L26" s="10"/>
      <c r="M26" s="10"/>
      <c r="N26" s="8">
        <f t="shared" si="15"/>
        <v>55</v>
      </c>
      <c r="O26" s="8">
        <f t="shared" si="16"/>
        <v>990</v>
      </c>
      <c r="P26" s="11">
        <v>0.30545454545454542</v>
      </c>
      <c r="Q26" s="9">
        <f t="shared" si="13"/>
        <v>16.799999999999997</v>
      </c>
      <c r="R26" s="9">
        <f t="shared" si="14"/>
        <v>18.399999999999999</v>
      </c>
      <c r="S26" s="12">
        <f t="shared" si="20"/>
        <v>302.39999999999998</v>
      </c>
      <c r="T26" s="13">
        <f t="shared" si="21"/>
        <v>331.2</v>
      </c>
      <c r="U26" s="65"/>
      <c r="V26" s="72">
        <v>60</v>
      </c>
      <c r="W26" s="72">
        <v>40</v>
      </c>
      <c r="X26" s="72">
        <v>30</v>
      </c>
    </row>
    <row r="27" spans="1:24" ht="21.9" customHeight="1">
      <c r="A27" s="7">
        <f t="shared" si="17"/>
        <v>201</v>
      </c>
      <c r="B27" s="8">
        <f t="shared" si="12"/>
        <v>209</v>
      </c>
      <c r="C27" s="8">
        <v>9</v>
      </c>
      <c r="D27" s="52" t="str">
        <f t="shared" si="18"/>
        <v>60 * 40 * 30</v>
      </c>
      <c r="E27" s="9">
        <f t="shared" si="19"/>
        <v>0.64800000000000002</v>
      </c>
      <c r="F27" s="119"/>
      <c r="G27" s="119"/>
      <c r="H27" s="10"/>
      <c r="I27" s="10"/>
      <c r="J27" s="10"/>
      <c r="K27" s="10"/>
      <c r="L27" s="10">
        <v>55</v>
      </c>
      <c r="M27" s="10"/>
      <c r="N27" s="8">
        <f t="shared" si="15"/>
        <v>55</v>
      </c>
      <c r="O27" s="8">
        <f>N27*C27</f>
        <v>495</v>
      </c>
      <c r="P27" s="11">
        <v>0.32454545454545453</v>
      </c>
      <c r="Q27" s="9">
        <f t="shared" si="13"/>
        <v>17.849999999999998</v>
      </c>
      <c r="R27" s="9">
        <f t="shared" si="14"/>
        <v>19.45</v>
      </c>
      <c r="S27" s="12">
        <f t="shared" si="20"/>
        <v>160.64999999999998</v>
      </c>
      <c r="T27" s="13">
        <f t="shared" si="21"/>
        <v>175.04999999999998</v>
      </c>
      <c r="U27" s="65"/>
      <c r="V27" s="72">
        <v>60</v>
      </c>
      <c r="W27" s="72">
        <v>40</v>
      </c>
      <c r="X27" s="72">
        <v>30</v>
      </c>
    </row>
    <row r="28" spans="1:24" ht="21.9" customHeight="1">
      <c r="A28" s="7">
        <f t="shared" si="17"/>
        <v>210</v>
      </c>
      <c r="B28" s="8">
        <f t="shared" si="12"/>
        <v>217</v>
      </c>
      <c r="C28" s="8">
        <v>8</v>
      </c>
      <c r="D28" s="52" t="str">
        <f t="shared" si="18"/>
        <v>60 * 40 * 30</v>
      </c>
      <c r="E28" s="9">
        <f t="shared" si="19"/>
        <v>0.57599999999999996</v>
      </c>
      <c r="F28" s="119"/>
      <c r="G28" s="119"/>
      <c r="H28" s="10"/>
      <c r="I28" s="10"/>
      <c r="J28" s="10"/>
      <c r="K28" s="10"/>
      <c r="L28" s="10"/>
      <c r="M28" s="10">
        <v>55</v>
      </c>
      <c r="N28" s="8">
        <f t="shared" si="15"/>
        <v>55</v>
      </c>
      <c r="O28" s="8">
        <f t="shared" si="16"/>
        <v>440</v>
      </c>
      <c r="P28" s="11">
        <v>0.33363636363636362</v>
      </c>
      <c r="Q28" s="9">
        <f t="shared" si="13"/>
        <v>18.349999999999998</v>
      </c>
      <c r="R28" s="9">
        <f t="shared" si="14"/>
        <v>19.95</v>
      </c>
      <c r="S28" s="12">
        <f t="shared" si="20"/>
        <v>146.79999999999998</v>
      </c>
      <c r="T28" s="13">
        <f t="shared" si="21"/>
        <v>159.6</v>
      </c>
      <c r="U28" s="65"/>
      <c r="V28" s="72">
        <v>60</v>
      </c>
      <c r="W28" s="72">
        <v>40</v>
      </c>
      <c r="X28" s="72">
        <v>30</v>
      </c>
    </row>
    <row r="29" spans="1:24" ht="21.9" customHeight="1">
      <c r="A29" s="7">
        <f t="shared" si="17"/>
        <v>218</v>
      </c>
      <c r="B29" s="8">
        <f t="shared" si="12"/>
        <v>218</v>
      </c>
      <c r="C29" s="8">
        <v>1</v>
      </c>
      <c r="D29" s="52" t="str">
        <f t="shared" si="18"/>
        <v>60 * 40 * 10</v>
      </c>
      <c r="E29" s="9">
        <f t="shared" si="19"/>
        <v>2.4E-2</v>
      </c>
      <c r="F29" s="119"/>
      <c r="G29" s="119"/>
      <c r="H29" s="10"/>
      <c r="I29" s="10"/>
      <c r="J29" s="10"/>
      <c r="K29" s="10"/>
      <c r="L29" s="10"/>
      <c r="M29" s="10">
        <v>10</v>
      </c>
      <c r="N29" s="8">
        <f t="shared" si="15"/>
        <v>10</v>
      </c>
      <c r="O29" s="8">
        <f t="shared" si="16"/>
        <v>10</v>
      </c>
      <c r="P29" s="11">
        <v>0.33363636363636362</v>
      </c>
      <c r="Q29" s="9">
        <f t="shared" si="13"/>
        <v>3.336363636363636</v>
      </c>
      <c r="R29" s="9">
        <f t="shared" si="14"/>
        <v>4.9363636363636356</v>
      </c>
      <c r="S29" s="12">
        <f t="shared" si="20"/>
        <v>3.336363636363636</v>
      </c>
      <c r="T29" s="13">
        <f t="shared" si="21"/>
        <v>4.9363636363636356</v>
      </c>
      <c r="U29" s="65"/>
      <c r="V29" s="72">
        <v>60</v>
      </c>
      <c r="W29" s="72">
        <v>40</v>
      </c>
      <c r="X29" s="72">
        <v>10</v>
      </c>
    </row>
    <row r="30" spans="1:24" s="6" customFormat="1" ht="21.9" customHeight="1">
      <c r="A30" s="128" t="s">
        <v>24</v>
      </c>
      <c r="B30" s="129"/>
      <c r="C30" s="14">
        <f>SUM(C21:C29)</f>
        <v>92</v>
      </c>
      <c r="D30" s="14"/>
      <c r="E30" s="15">
        <f>SUM(E21:E29)</f>
        <v>6.5279999999999996</v>
      </c>
      <c r="F30" s="14"/>
      <c r="G30" s="14"/>
      <c r="H30" s="14">
        <f t="shared" ref="H30:M30" si="22">SUMPRODUCT(H21:H29,$C$21:$C$29)</f>
        <v>820</v>
      </c>
      <c r="I30" s="14">
        <f t="shared" si="22"/>
        <v>1080</v>
      </c>
      <c r="J30" s="14">
        <f t="shared" si="22"/>
        <v>1400</v>
      </c>
      <c r="K30" s="14">
        <f t="shared" si="22"/>
        <v>990</v>
      </c>
      <c r="L30" s="14">
        <f t="shared" si="22"/>
        <v>495</v>
      </c>
      <c r="M30" s="14">
        <f t="shared" si="22"/>
        <v>450</v>
      </c>
      <c r="N30" s="14" t="s">
        <v>0</v>
      </c>
      <c r="O30" s="14">
        <f>SUM(O21:O29)</f>
        <v>5235</v>
      </c>
      <c r="P30" s="15"/>
      <c r="Q30" s="15"/>
      <c r="R30" s="15"/>
      <c r="S30" s="15">
        <f>SUM(S21:S29)</f>
        <v>1551.5696969696969</v>
      </c>
      <c r="T30" s="50">
        <f>SUM(T21:T29)</f>
        <v>1698.769696969697</v>
      </c>
      <c r="U30" s="66"/>
      <c r="V30" s="5"/>
      <c r="W30" s="5"/>
      <c r="X30" s="5"/>
    </row>
    <row r="31" spans="1:24" s="6" customFormat="1" ht="15.6" customHeight="1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67"/>
      <c r="V31" s="5"/>
      <c r="W31" s="5"/>
      <c r="X31" s="5"/>
    </row>
    <row r="32" spans="1:24" s="19" customFormat="1" ht="20.100000000000001" customHeight="1">
      <c r="A32" s="132" t="s">
        <v>36</v>
      </c>
      <c r="B32" s="133"/>
      <c r="C32" s="17">
        <f>SUM(C30,C19)</f>
        <v>218</v>
      </c>
      <c r="D32" s="17" t="s">
        <v>37</v>
      </c>
      <c r="E32" s="18">
        <f>SUM(E30,E19)</f>
        <v>15.48</v>
      </c>
      <c r="F32" s="17"/>
      <c r="G32" s="17"/>
      <c r="H32" s="17">
        <f t="shared" ref="H32:M32" si="23">SUM(H30,H19)</f>
        <v>1865</v>
      </c>
      <c r="I32" s="17">
        <f t="shared" si="23"/>
        <v>2628</v>
      </c>
      <c r="J32" s="17">
        <f t="shared" si="23"/>
        <v>3288</v>
      </c>
      <c r="K32" s="17">
        <f t="shared" si="23"/>
        <v>2376</v>
      </c>
      <c r="L32" s="17">
        <f t="shared" si="23"/>
        <v>1258</v>
      </c>
      <c r="M32" s="17">
        <f t="shared" si="23"/>
        <v>975</v>
      </c>
      <c r="N32" s="17"/>
      <c r="O32" s="17">
        <f>SUM(O30,O19)</f>
        <v>12390</v>
      </c>
      <c r="P32" s="17"/>
      <c r="Q32" s="17"/>
      <c r="R32" s="17"/>
      <c r="S32" s="18">
        <f>SUM(S30,S19)</f>
        <v>3764.0034848484847</v>
      </c>
      <c r="T32" s="18">
        <f>SUM(T30,T19)</f>
        <v>4112.8034848484849</v>
      </c>
      <c r="U32" s="68"/>
      <c r="V32" s="5"/>
      <c r="W32" s="5"/>
      <c r="X32" s="5"/>
    </row>
    <row r="33" spans="1:22" ht="30.75" customHeight="1" thickBot="1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3"/>
      <c r="U33" s="22"/>
    </row>
    <row r="34" spans="1:22" ht="24.9" customHeight="1" thickBot="1">
      <c r="A34" s="20"/>
      <c r="B34" s="21"/>
      <c r="C34" s="21"/>
      <c r="D34" s="24" t="s">
        <v>25</v>
      </c>
      <c r="E34" s="25"/>
      <c r="F34" s="25" t="s">
        <v>15</v>
      </c>
      <c r="G34" s="25"/>
      <c r="H34" s="26">
        <f t="shared" ref="H34:M34" si="24">+H6</f>
        <v>32</v>
      </c>
      <c r="I34" s="26">
        <f t="shared" si="24"/>
        <v>34</v>
      </c>
      <c r="J34" s="26">
        <f t="shared" si="24"/>
        <v>36</v>
      </c>
      <c r="K34" s="26">
        <f t="shared" si="24"/>
        <v>38</v>
      </c>
      <c r="L34" s="26">
        <f t="shared" si="24"/>
        <v>40</v>
      </c>
      <c r="M34" s="26">
        <f t="shared" si="24"/>
        <v>42</v>
      </c>
      <c r="N34" s="27" t="s">
        <v>26</v>
      </c>
      <c r="O34" s="73"/>
      <c r="P34" s="134"/>
      <c r="Q34" s="134"/>
      <c r="R34" s="135"/>
      <c r="S34" s="135"/>
      <c r="T34" s="136"/>
      <c r="U34" s="51"/>
    </row>
    <row r="35" spans="1:22" ht="24.9" customHeight="1">
      <c r="A35" s="20"/>
      <c r="B35" s="21"/>
      <c r="C35" s="21"/>
      <c r="D35" s="28" t="s">
        <v>27</v>
      </c>
      <c r="E35" s="29"/>
      <c r="F35" s="111" t="str">
        <f>+F7</f>
        <v>Germany</v>
      </c>
      <c r="G35" s="111" t="str">
        <f>+G7</f>
        <v>Medium Indigo (EHV)</v>
      </c>
      <c r="H35" s="29">
        <v>1314</v>
      </c>
      <c r="I35" s="29">
        <v>1831</v>
      </c>
      <c r="J35" s="29">
        <v>2365</v>
      </c>
      <c r="K35" s="29">
        <v>1721</v>
      </c>
      <c r="L35" s="29">
        <v>955</v>
      </c>
      <c r="M35" s="29">
        <v>670</v>
      </c>
      <c r="N35" s="30">
        <f>SUM(H35:M35)</f>
        <v>8856</v>
      </c>
      <c r="O35" s="74"/>
      <c r="P35" s="31" t="s">
        <v>28</v>
      </c>
      <c r="Q35" s="31" t="s">
        <v>29</v>
      </c>
      <c r="R35" s="31" t="s">
        <v>30</v>
      </c>
      <c r="S35" s="11" t="s">
        <v>31</v>
      </c>
      <c r="T35" s="32" t="s">
        <v>32</v>
      </c>
      <c r="U35" s="69"/>
    </row>
    <row r="36" spans="1:22" ht="24.75" customHeight="1">
      <c r="A36" s="20"/>
      <c r="B36" s="21"/>
      <c r="C36" s="21"/>
      <c r="D36" s="7" t="s">
        <v>33</v>
      </c>
      <c r="E36" s="8"/>
      <c r="F36" s="103"/>
      <c r="G36" s="103"/>
      <c r="H36" s="8">
        <f t="shared" ref="H36:M36" si="25">+H19</f>
        <v>1045</v>
      </c>
      <c r="I36" s="8">
        <f t="shared" si="25"/>
        <v>1548</v>
      </c>
      <c r="J36" s="8">
        <f t="shared" si="25"/>
        <v>1888</v>
      </c>
      <c r="K36" s="8">
        <f t="shared" si="25"/>
        <v>1386</v>
      </c>
      <c r="L36" s="8">
        <f t="shared" si="25"/>
        <v>763</v>
      </c>
      <c r="M36" s="8">
        <f t="shared" si="25"/>
        <v>525</v>
      </c>
      <c r="N36" s="33">
        <f>SUM(H36:M36)</f>
        <v>7155</v>
      </c>
      <c r="O36" s="74"/>
      <c r="P36" s="34" t="s">
        <v>46</v>
      </c>
      <c r="Q36" s="8">
        <f>N35</f>
        <v>8856</v>
      </c>
      <c r="R36" s="8">
        <f>N36</f>
        <v>7155</v>
      </c>
      <c r="S36" s="35">
        <f>R36-Q36</f>
        <v>-1701</v>
      </c>
      <c r="T36" s="36">
        <f>S36/Q36</f>
        <v>-0.19207317073170732</v>
      </c>
      <c r="U36" s="70"/>
      <c r="V36" s="37"/>
    </row>
    <row r="37" spans="1:22" s="5" customFormat="1" ht="24.75" customHeight="1">
      <c r="A37" s="38"/>
      <c r="B37" s="16"/>
      <c r="C37" s="16"/>
      <c r="D37" s="39" t="s">
        <v>34</v>
      </c>
      <c r="E37" s="31"/>
      <c r="F37" s="103"/>
      <c r="G37" s="31" t="s">
        <v>35</v>
      </c>
      <c r="H37" s="40">
        <f>H36-H35</f>
        <v>-269</v>
      </c>
      <c r="I37" s="40">
        <f t="shared" ref="I37:M37" si="26">I36-I35</f>
        <v>-283</v>
      </c>
      <c r="J37" s="40">
        <f t="shared" si="26"/>
        <v>-477</v>
      </c>
      <c r="K37" s="40">
        <f t="shared" si="26"/>
        <v>-335</v>
      </c>
      <c r="L37" s="40">
        <f t="shared" si="26"/>
        <v>-192</v>
      </c>
      <c r="M37" s="40">
        <f t="shared" si="26"/>
        <v>-145</v>
      </c>
      <c r="N37" s="41">
        <f>N36-N35</f>
        <v>-1701</v>
      </c>
      <c r="O37" s="42"/>
      <c r="P37" s="10" t="s">
        <v>47</v>
      </c>
      <c r="Q37" s="10">
        <f>N41</f>
        <v>6782</v>
      </c>
      <c r="R37" s="10">
        <f>N42</f>
        <v>5235</v>
      </c>
      <c r="S37" s="35">
        <f>R37-Q37</f>
        <v>-1547</v>
      </c>
      <c r="T37" s="36">
        <f>S37/Q37</f>
        <v>-0.2281038041875553</v>
      </c>
      <c r="U37" s="70"/>
    </row>
    <row r="38" spans="1:22" ht="24.75" customHeight="1" thickBot="1">
      <c r="A38" s="20"/>
      <c r="B38" s="16"/>
      <c r="C38" s="16"/>
      <c r="D38" s="55"/>
      <c r="E38" s="56"/>
      <c r="F38" s="56"/>
      <c r="G38" s="56" t="s">
        <v>32</v>
      </c>
      <c r="H38" s="75">
        <f>H37/H35</f>
        <v>-0.20471841704718416</v>
      </c>
      <c r="I38" s="75">
        <f t="shared" ref="I38:M38" si="27">I37/I35</f>
        <v>-0.1545603495357728</v>
      </c>
      <c r="J38" s="75">
        <f>J37/J35</f>
        <v>-0.20169133192389008</v>
      </c>
      <c r="K38" s="75">
        <f t="shared" si="27"/>
        <v>-0.1946542707728065</v>
      </c>
      <c r="L38" s="75">
        <f t="shared" si="27"/>
        <v>-0.20104712041884817</v>
      </c>
      <c r="M38" s="75">
        <f t="shared" si="27"/>
        <v>-0.21641791044776118</v>
      </c>
      <c r="N38" s="76">
        <f>N37/N35</f>
        <v>-0.19207317073170732</v>
      </c>
      <c r="O38" s="21"/>
      <c r="P38" s="43"/>
      <c r="Q38" s="43"/>
      <c r="R38" s="43"/>
      <c r="S38" s="35"/>
      <c r="T38" s="36"/>
      <c r="U38" s="70"/>
    </row>
    <row r="39" spans="1:22" ht="24.9" customHeight="1" thickBot="1">
      <c r="A39" s="20"/>
      <c r="B39" s="16"/>
      <c r="C39" s="16"/>
      <c r="D39" s="47"/>
      <c r="E39" s="47"/>
      <c r="F39" s="47"/>
      <c r="G39" s="47"/>
      <c r="H39" s="59"/>
      <c r="I39" s="59"/>
      <c r="J39" s="59"/>
      <c r="K39" s="59"/>
      <c r="L39" s="59"/>
      <c r="M39" s="59"/>
      <c r="N39" s="59"/>
      <c r="O39" s="53"/>
      <c r="P39" s="44" t="s">
        <v>45</v>
      </c>
      <c r="Q39" s="44">
        <f>SUM(Q36:Q38)</f>
        <v>15638</v>
      </c>
      <c r="R39" s="44">
        <f>SUM(R36:R38)</f>
        <v>12390</v>
      </c>
      <c r="S39" s="45">
        <f>+R39-Q39</f>
        <v>-3248</v>
      </c>
      <c r="T39" s="46">
        <f>+S39/Q39</f>
        <v>-0.20769919427036707</v>
      </c>
      <c r="U39" s="71"/>
    </row>
    <row r="40" spans="1:22" ht="24" customHeight="1" thickBot="1">
      <c r="A40" s="20"/>
      <c r="B40" s="21"/>
      <c r="C40" s="21"/>
      <c r="D40" s="24" t="s">
        <v>25</v>
      </c>
      <c r="E40" s="25"/>
      <c r="F40" s="25" t="s">
        <v>15</v>
      </c>
      <c r="G40" s="25"/>
      <c r="H40" s="26">
        <f t="shared" ref="H40:M40" si="28">H20</f>
        <v>32</v>
      </c>
      <c r="I40" s="26">
        <f t="shared" si="28"/>
        <v>34</v>
      </c>
      <c r="J40" s="26">
        <f t="shared" si="28"/>
        <v>36</v>
      </c>
      <c r="K40" s="26">
        <f t="shared" si="28"/>
        <v>38</v>
      </c>
      <c r="L40" s="26">
        <f t="shared" si="28"/>
        <v>40</v>
      </c>
      <c r="M40" s="26">
        <f t="shared" si="28"/>
        <v>42</v>
      </c>
      <c r="N40" s="27" t="s">
        <v>26</v>
      </c>
      <c r="T40" s="48"/>
    </row>
    <row r="41" spans="1:22" ht="24" customHeight="1">
      <c r="A41" s="60"/>
      <c r="D41" s="28" t="s">
        <v>27</v>
      </c>
      <c r="E41" s="29"/>
      <c r="F41" s="111" t="str">
        <f>F21</f>
        <v>Germany</v>
      </c>
      <c r="G41" s="111" t="str">
        <f>G21</f>
        <v>Black (HHU)</v>
      </c>
      <c r="H41" s="29">
        <v>1055</v>
      </c>
      <c r="I41" s="29">
        <v>1404</v>
      </c>
      <c r="J41" s="29">
        <v>1813</v>
      </c>
      <c r="K41" s="29">
        <v>1283</v>
      </c>
      <c r="L41" s="29">
        <v>676</v>
      </c>
      <c r="M41" s="29">
        <v>551</v>
      </c>
      <c r="N41" s="30">
        <f>SUM(H41:M41)</f>
        <v>6782</v>
      </c>
      <c r="T41" s="48"/>
    </row>
    <row r="42" spans="1:22" ht="24" customHeight="1">
      <c r="A42" s="60"/>
      <c r="D42" s="7" t="s">
        <v>33</v>
      </c>
      <c r="E42" s="8"/>
      <c r="F42" s="103"/>
      <c r="G42" s="103"/>
      <c r="H42" s="8">
        <f>+H30</f>
        <v>820</v>
      </c>
      <c r="I42" s="8">
        <f t="shared" ref="I42:M42" si="29">+I30</f>
        <v>1080</v>
      </c>
      <c r="J42" s="8">
        <f t="shared" si="29"/>
        <v>1400</v>
      </c>
      <c r="K42" s="8">
        <f t="shared" si="29"/>
        <v>990</v>
      </c>
      <c r="L42" s="8">
        <f t="shared" si="29"/>
        <v>495</v>
      </c>
      <c r="M42" s="8">
        <f t="shared" si="29"/>
        <v>450</v>
      </c>
      <c r="N42" s="33">
        <f>SUM(H42:M42)</f>
        <v>5235</v>
      </c>
      <c r="T42" s="48"/>
    </row>
    <row r="43" spans="1:22" ht="24" customHeight="1">
      <c r="A43" s="60"/>
      <c r="D43" s="39" t="s">
        <v>34</v>
      </c>
      <c r="E43" s="31"/>
      <c r="F43" s="103"/>
      <c r="G43" s="31" t="s">
        <v>35</v>
      </c>
      <c r="H43" s="40">
        <f>H42-H41</f>
        <v>-235</v>
      </c>
      <c r="I43" s="40">
        <f t="shared" ref="I43:M43" si="30">I42-I41</f>
        <v>-324</v>
      </c>
      <c r="J43" s="40">
        <f t="shared" si="30"/>
        <v>-413</v>
      </c>
      <c r="K43" s="40">
        <f t="shared" si="30"/>
        <v>-293</v>
      </c>
      <c r="L43" s="40">
        <f t="shared" si="30"/>
        <v>-181</v>
      </c>
      <c r="M43" s="40">
        <f t="shared" si="30"/>
        <v>-101</v>
      </c>
      <c r="N43" s="41">
        <f>N42-N41</f>
        <v>-1547</v>
      </c>
      <c r="T43" s="48"/>
    </row>
    <row r="44" spans="1:22" ht="16.2" thickBot="1">
      <c r="A44" s="60"/>
      <c r="D44" s="55"/>
      <c r="E44" s="56"/>
      <c r="F44" s="56"/>
      <c r="G44" s="56" t="s">
        <v>32</v>
      </c>
      <c r="H44" s="57">
        <f>H43/H41</f>
        <v>-0.22274881516587677</v>
      </c>
      <c r="I44" s="57">
        <f t="shared" ref="I44:M44" si="31">I43/I41</f>
        <v>-0.23076923076923078</v>
      </c>
      <c r="J44" s="57">
        <f t="shared" si="31"/>
        <v>-0.22779922779922779</v>
      </c>
      <c r="K44" s="57">
        <f t="shared" si="31"/>
        <v>-0.22837100545596259</v>
      </c>
      <c r="L44" s="57">
        <f t="shared" si="31"/>
        <v>-0.26775147928994081</v>
      </c>
      <c r="M44" s="57">
        <f t="shared" si="31"/>
        <v>-0.18330308529945555</v>
      </c>
      <c r="N44" s="58">
        <f>N43/N41</f>
        <v>-0.2281038041875553</v>
      </c>
      <c r="T44" s="48"/>
    </row>
    <row r="45" spans="1:22" ht="15" customHeight="1" thickBot="1">
      <c r="A45" s="6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4"/>
    </row>
    <row r="47" spans="1:22" ht="9" customHeight="1"/>
  </sheetData>
  <mergeCells count="41"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F21:F29"/>
    <mergeCell ref="G21:G29"/>
    <mergeCell ref="A5:C5"/>
    <mergeCell ref="D5:H5"/>
    <mergeCell ref="I5:K5"/>
    <mergeCell ref="A6:B6"/>
    <mergeCell ref="F7:F18"/>
    <mergeCell ref="G7:G18"/>
    <mergeCell ref="A19:B19"/>
    <mergeCell ref="A20:B20"/>
    <mergeCell ref="F41:F43"/>
    <mergeCell ref="G41:G42"/>
    <mergeCell ref="A30:B30"/>
    <mergeCell ref="A31:T31"/>
    <mergeCell ref="A32:B32"/>
    <mergeCell ref="P34:Q34"/>
    <mergeCell ref="R34:T34"/>
    <mergeCell ref="F35:F37"/>
    <mergeCell ref="G35:G36"/>
  </mergeCells>
  <printOptions horizontalCentered="1" verticalCentered="1"/>
  <pageMargins left="0" right="0" top="0" bottom="0" header="0" footer="0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SSHCOPUMPYMR_500084191 S-E</vt:lpstr>
      <vt:lpstr>SSHCOPUMPYMR_500084191</vt:lpstr>
      <vt:lpstr>80%</vt:lpstr>
      <vt:lpstr>SPADECYNTIA2_500083716 (80)</vt:lpstr>
      <vt:lpstr>SPADEPIKA_500081949 (2)</vt:lpstr>
      <vt:lpstr>SPADEBOXER _500081425 (80%)</vt:lpstr>
      <vt:lpstr>SPADEBOXER _500081425 (Pack)</vt:lpstr>
      <vt:lpstr>SSHDEMOMO3_500080179 (2)</vt:lpstr>
      <vt:lpstr>SSHDEMOMO3_500080178_80%</vt:lpstr>
      <vt:lpstr>'80%'!Print_Area</vt:lpstr>
      <vt:lpstr>'SPADEBOXER _500081425 (80%)'!Print_Area</vt:lpstr>
      <vt:lpstr>'SPADEBOXER _500081425 (Pack)'!Print_Area</vt:lpstr>
      <vt:lpstr>'SPADECYNTIA2_500083716 (80)'!Print_Area</vt:lpstr>
      <vt:lpstr>'SPADEPIKA_500081949 (2)'!Print_Area</vt:lpstr>
      <vt:lpstr>SSHCOPUMPYMR_500084191!Print_Area</vt:lpstr>
      <vt:lpstr>'SSHCOPUMPYMR_500084191 S-E'!Print_Area</vt:lpstr>
      <vt:lpstr>'SSHDEMOMO3_500080178_80%'!Print_Area</vt:lpstr>
      <vt:lpstr>'SSHDEMOMO3_500080179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valiant</dc:creator>
  <cp:lastModifiedBy>user</cp:lastModifiedBy>
  <cp:lastPrinted>2026-09-03T08:22:22Z</cp:lastPrinted>
  <dcterms:created xsi:type="dcterms:W3CDTF">2018-06-24T09:05:09Z</dcterms:created>
  <dcterms:modified xsi:type="dcterms:W3CDTF">2026-09-09T01:57:19Z</dcterms:modified>
</cp:coreProperties>
</file>