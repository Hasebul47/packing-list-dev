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BUYER# NEXT PACKING LIST\2026-NEW FORMAT\"/>
    </mc:Choice>
  </mc:AlternateContent>
  <xr:revisionPtr revIDLastSave="0" documentId="13_ncr:1_{E6D1C24A-AB17-42E4-8E30-13E7BF603C29}" xr6:coauthVersionLast="47" xr6:coauthVersionMax="47" xr10:uidLastSave="{00000000-0000-0000-0000-000000000000}"/>
  <bookViews>
    <workbookView xWindow="-120" yWindow="-120" windowWidth="20730" windowHeight="11040" tabRatio="720" activeTab="2" xr2:uid="{00000000-000D-0000-FFFF-FFFF00000000}"/>
  </bookViews>
  <sheets>
    <sheet name="NEW PACKING LIST TEMPLATE" sheetId="11" r:id="rId1"/>
    <sheet name="Preferential Origin Statements" sheetId="9" r:id="rId2"/>
    <sheet name="Example - BULK CARTON (GSP)" sheetId="13" r:id="rId3"/>
    <sheet name="Example - Bulk carton (EU)" sheetId="18" r:id="rId4"/>
    <sheet name="Example - Bulk carton (Turkey)" sheetId="17" r:id="rId5"/>
    <sheet name="Example - Hanging GOH " sheetId="15" r:id="rId6"/>
    <sheet name="Example - MEH Mixed cartons" sheetId="14" r:id="rId7"/>
    <sheet name="Example - BULK Multipart" sheetId="16" r:id="rId8"/>
  </sheets>
  <definedNames>
    <definedName name="_xlnm.Print_Area" localSheetId="3">'Example - Bulk carton (EU)'!$A:$P</definedName>
    <definedName name="_xlnm.Print_Area" localSheetId="2">'Example - BULK CARTON (GSP)'!$A:$Q</definedName>
    <definedName name="_xlnm.Print_Area" localSheetId="4">'Example - Bulk carton (Turkey)'!$A:$P</definedName>
    <definedName name="_xlnm.Print_Area" localSheetId="7">'Example - BULK Multipart'!$A:$P</definedName>
    <definedName name="_xlnm.Print_Area" localSheetId="5">'Example - Hanging GOH '!$A:$P</definedName>
    <definedName name="_xlnm.Print_Area" localSheetId="6">'Example - MEH Mixed cartons'!$A:$P</definedName>
    <definedName name="_xlnm.Print_Area" localSheetId="0">'NEW PACKING LIST TEMPLATE'!$A:$P</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51" i="13" l="1"/>
  <c r="S46" i="13"/>
  <c r="S41" i="13"/>
  <c r="S39" i="13"/>
  <c r="S28" i="13"/>
  <c r="S26" i="13"/>
  <c r="S27" i="13"/>
  <c r="S29" i="13"/>
  <c r="S30" i="13"/>
  <c r="S31" i="13"/>
  <c r="S32" i="13"/>
  <c r="S33" i="13"/>
  <c r="S34" i="13"/>
  <c r="S35" i="13"/>
  <c r="S36" i="13"/>
  <c r="S37" i="13"/>
  <c r="S38" i="13"/>
  <c r="S40" i="13"/>
  <c r="S42" i="13"/>
  <c r="S43" i="13"/>
  <c r="S44" i="13"/>
  <c r="S45" i="13"/>
  <c r="S47" i="13"/>
  <c r="S48" i="13"/>
  <c r="S49" i="13"/>
  <c r="S50" i="13"/>
  <c r="L61" i="13"/>
  <c r="J61" i="13"/>
  <c r="I47" i="13"/>
  <c r="N47" i="13"/>
  <c r="O47" i="13"/>
  <c r="T47" i="13"/>
  <c r="I45" i="13"/>
  <c r="N45" i="13"/>
  <c r="O45" i="13"/>
  <c r="T45" i="13"/>
  <c r="I43" i="13"/>
  <c r="N43" i="13"/>
  <c r="O43" i="13"/>
  <c r="T43" i="13"/>
  <c r="I39" i="13"/>
  <c r="N39" i="13"/>
  <c r="O39" i="13"/>
  <c r="T39" i="13"/>
  <c r="I36" i="13"/>
  <c r="N36" i="13"/>
  <c r="O36" i="13"/>
  <c r="T36" i="13"/>
  <c r="I32" i="13"/>
  <c r="N32" i="13"/>
  <c r="O32" i="13"/>
  <c r="T32" i="13"/>
  <c r="I30" i="13"/>
  <c r="N30" i="13"/>
  <c r="O30" i="13"/>
  <c r="T30" i="13"/>
  <c r="I26" i="13"/>
  <c r="N26" i="13"/>
  <c r="O26" i="13"/>
  <c r="T26" i="13"/>
  <c r="I41" i="13"/>
  <c r="N41" i="13"/>
  <c r="O41" i="13"/>
  <c r="T41" i="13"/>
  <c r="I50" i="13" l="1"/>
  <c r="N50" i="13"/>
  <c r="O50" i="13"/>
  <c r="T50" i="13"/>
  <c r="I34" i="13"/>
  <c r="N34" i="13"/>
  <c r="O34" i="13"/>
  <c r="T34" i="13"/>
  <c r="I28" i="13" l="1"/>
  <c r="N28" i="13"/>
  <c r="O28" i="13"/>
  <c r="T28" i="13"/>
  <c r="T51" i="13"/>
  <c r="O51" i="13"/>
  <c r="N51" i="13"/>
  <c r="I51" i="13"/>
  <c r="P61" i="13" s="1"/>
  <c r="G53" i="13"/>
  <c r="T31" i="13" l="1"/>
  <c r="S25" i="13"/>
  <c r="I31" i="13"/>
  <c r="E61" i="13" s="1"/>
  <c r="N31" i="13"/>
  <c r="O31" i="13"/>
  <c r="I25" i="13" l="1"/>
  <c r="B61" i="13" s="1"/>
  <c r="N27" i="13"/>
  <c r="N29" i="13"/>
  <c r="N33" i="13"/>
  <c r="N35" i="13"/>
  <c r="N37" i="13"/>
  <c r="N38" i="13"/>
  <c r="N40" i="13"/>
  <c r="N42" i="13"/>
  <c r="N44" i="13"/>
  <c r="N46" i="13"/>
  <c r="N48" i="13"/>
  <c r="N49" i="13"/>
  <c r="N25" i="13"/>
  <c r="N53" i="13" l="1"/>
  <c r="C87" i="13"/>
  <c r="T29" i="13" l="1"/>
  <c r="T25" i="13"/>
  <c r="O27" i="13"/>
  <c r="O29" i="13"/>
  <c r="O33" i="13"/>
  <c r="O35" i="13"/>
  <c r="O37" i="13"/>
  <c r="O38" i="13"/>
  <c r="O40" i="13"/>
  <c r="O42" i="13"/>
  <c r="O44" i="13"/>
  <c r="O46" i="13"/>
  <c r="O48" i="13"/>
  <c r="O49" i="13"/>
  <c r="O25" i="13"/>
  <c r="T27" i="13"/>
  <c r="T33" i="13"/>
  <c r="T35" i="13"/>
  <c r="T37" i="13"/>
  <c r="T38" i="13"/>
  <c r="T40" i="13"/>
  <c r="T42" i="13"/>
  <c r="T44" i="13"/>
  <c r="T46" i="13"/>
  <c r="T48" i="13"/>
  <c r="T49" i="13"/>
  <c r="T53" i="13" l="1"/>
  <c r="D15" i="13" s="1"/>
  <c r="C85" i="13" l="1"/>
  <c r="B25" i="13"/>
  <c r="A26" i="13" s="1"/>
  <c r="B26" i="13" s="1"/>
  <c r="A27" i="13" s="1"/>
  <c r="B27" i="13" s="1"/>
  <c r="A28" i="13" s="1"/>
  <c r="B28" i="13" s="1"/>
  <c r="A29" i="13" s="1"/>
  <c r="B29" i="13" s="1"/>
  <c r="A30" i="13" s="1"/>
  <c r="B30" i="13" s="1"/>
  <c r="A31" i="13" s="1"/>
  <c r="B31" i="13" s="1"/>
  <c r="A32" i="13" s="1"/>
  <c r="B32" i="13" s="1"/>
  <c r="A33" i="13" s="1"/>
  <c r="B33" i="13" s="1"/>
  <c r="A34" i="13" s="1"/>
  <c r="B34" i="13" s="1"/>
  <c r="A35" i="13" s="1"/>
  <c r="B35" i="13" s="1"/>
  <c r="A36" i="13" s="1"/>
  <c r="B36" i="13" s="1"/>
  <c r="A37" i="13" s="1"/>
  <c r="B37" i="13" s="1"/>
  <c r="A38" i="13" s="1"/>
  <c r="B38" i="13" s="1"/>
  <c r="A39" i="13" s="1"/>
  <c r="B39" i="13" s="1"/>
  <c r="A40" i="13" s="1"/>
  <c r="B40" i="13" s="1"/>
  <c r="A41" i="13" s="1"/>
  <c r="B41" i="13" s="1"/>
  <c r="A42" i="13" s="1"/>
  <c r="B42" i="13" s="1"/>
  <c r="A43" i="13" s="1"/>
  <c r="B43" i="13" s="1"/>
  <c r="A44" i="13" s="1"/>
  <c r="B44" i="13" s="1"/>
  <c r="A45" i="13" s="1"/>
  <c r="B45" i="13" s="1"/>
  <c r="A46" i="13" s="1"/>
  <c r="B46" i="13" s="1"/>
  <c r="A47" i="13" s="1"/>
  <c r="B47" i="13" s="1"/>
  <c r="A48" i="13" s="1"/>
  <c r="B48" i="13" s="1"/>
  <c r="A49" i="13" s="1"/>
  <c r="B49" i="13" s="1"/>
  <c r="A50" i="13" s="1"/>
  <c r="B50" i="13" s="1"/>
  <c r="A51" i="13" s="1"/>
  <c r="B51" i="13" s="1"/>
  <c r="I27" i="13" l="1"/>
  <c r="C61" i="13" s="1"/>
  <c r="I29" i="13"/>
  <c r="D61" i="13" s="1"/>
  <c r="I33" i="13"/>
  <c r="F61" i="13" s="1"/>
  <c r="I35" i="13"/>
  <c r="G61" i="13" s="1"/>
  <c r="I37" i="13"/>
  <c r="H61" i="13" s="1"/>
  <c r="I38" i="13"/>
  <c r="I61" i="13" s="1"/>
  <c r="I40" i="13"/>
  <c r="I42" i="13"/>
  <c r="K61" i="13" s="1"/>
  <c r="I44" i="13"/>
  <c r="I46" i="13"/>
  <c r="M61" i="13" s="1"/>
  <c r="I48" i="13"/>
  <c r="N61" i="13" s="1"/>
  <c r="I49" i="13"/>
  <c r="O61" i="13" s="1"/>
  <c r="Q60" i="13"/>
  <c r="F62" i="13" l="1"/>
  <c r="I53" i="13"/>
  <c r="P62" i="13"/>
  <c r="P63" i="13" s="1"/>
  <c r="J62" i="13"/>
  <c r="I62" i="13"/>
  <c r="O62" i="13"/>
  <c r="M62" i="13"/>
  <c r="K62" i="13"/>
  <c r="L62" i="13"/>
  <c r="N62" i="13"/>
  <c r="G62" i="13"/>
  <c r="D62" i="13"/>
  <c r="H62" i="13"/>
  <c r="E62" i="13"/>
  <c r="C62" i="13"/>
  <c r="Q61" i="13" l="1"/>
  <c r="O72" i="18"/>
  <c r="O73" i="18" s="1"/>
  <c r="N72" i="18"/>
  <c r="N73" i="18" s="1"/>
  <c r="M72" i="18"/>
  <c r="M73" i="18" s="1"/>
  <c r="L72" i="18"/>
  <c r="L73" i="18" s="1"/>
  <c r="K72" i="18"/>
  <c r="K73" i="18" s="1"/>
  <c r="J72" i="18"/>
  <c r="J73" i="18" s="1"/>
  <c r="I72" i="18"/>
  <c r="I73" i="18" s="1"/>
  <c r="H72" i="18"/>
  <c r="H73" i="18" s="1"/>
  <c r="G72" i="18"/>
  <c r="G73" i="18" s="1"/>
  <c r="F72" i="18"/>
  <c r="F73" i="18" s="1"/>
  <c r="E72" i="18"/>
  <c r="E73" i="18" s="1"/>
  <c r="D72" i="18"/>
  <c r="D73" i="18" s="1"/>
  <c r="C72" i="18"/>
  <c r="C73" i="18" s="1"/>
  <c r="B72" i="18"/>
  <c r="B73" i="18" s="1"/>
  <c r="P71" i="18"/>
  <c r="P70" i="18"/>
  <c r="O66" i="18"/>
  <c r="O67" i="18" s="1"/>
  <c r="N66" i="18"/>
  <c r="N67" i="18" s="1"/>
  <c r="M66" i="18"/>
  <c r="M67" i="18" s="1"/>
  <c r="L66" i="18"/>
  <c r="L67" i="18" s="1"/>
  <c r="K66" i="18"/>
  <c r="K67" i="18" s="1"/>
  <c r="J66" i="18"/>
  <c r="J67" i="18" s="1"/>
  <c r="I66" i="18"/>
  <c r="I67" i="18" s="1"/>
  <c r="H66" i="18"/>
  <c r="H67" i="18" s="1"/>
  <c r="G66" i="18"/>
  <c r="G67" i="18" s="1"/>
  <c r="F66" i="18"/>
  <c r="F67" i="18" s="1"/>
  <c r="E66" i="18"/>
  <c r="E67" i="18" s="1"/>
  <c r="D66" i="18"/>
  <c r="D67" i="18" s="1"/>
  <c r="C66" i="18"/>
  <c r="C67" i="18" s="1"/>
  <c r="B66" i="18"/>
  <c r="B67" i="18" s="1"/>
  <c r="P65" i="18"/>
  <c r="P64" i="18"/>
  <c r="O60" i="18"/>
  <c r="O61" i="18" s="1"/>
  <c r="N60" i="18"/>
  <c r="N61" i="18" s="1"/>
  <c r="M60" i="18"/>
  <c r="M61" i="18" s="1"/>
  <c r="L60" i="18"/>
  <c r="L61" i="18" s="1"/>
  <c r="K60" i="18"/>
  <c r="K61" i="18" s="1"/>
  <c r="J60" i="18"/>
  <c r="J61" i="18" s="1"/>
  <c r="I60" i="18"/>
  <c r="I61" i="18" s="1"/>
  <c r="H60" i="18"/>
  <c r="H61" i="18" s="1"/>
  <c r="G60" i="18"/>
  <c r="G61" i="18" s="1"/>
  <c r="F60" i="18"/>
  <c r="F61" i="18" s="1"/>
  <c r="E60" i="18"/>
  <c r="E61" i="18" s="1"/>
  <c r="D60" i="18"/>
  <c r="D61" i="18" s="1"/>
  <c r="C60" i="18"/>
  <c r="C61" i="18" s="1"/>
  <c r="B60" i="18"/>
  <c r="P59" i="18"/>
  <c r="P58" i="18"/>
  <c r="O51" i="18"/>
  <c r="N51" i="18"/>
  <c r="I51" i="18"/>
  <c r="D15" i="18" s="1"/>
  <c r="G51" i="18"/>
  <c r="O72" i="17"/>
  <c r="O73" i="17" s="1"/>
  <c r="N72" i="17"/>
  <c r="N73" i="17" s="1"/>
  <c r="M72" i="17"/>
  <c r="M73" i="17" s="1"/>
  <c r="L72" i="17"/>
  <c r="L73" i="17" s="1"/>
  <c r="K72" i="17"/>
  <c r="J72" i="17"/>
  <c r="J73" i="17" s="1"/>
  <c r="I72" i="17"/>
  <c r="I73" i="17" s="1"/>
  <c r="H72" i="17"/>
  <c r="H73" i="17" s="1"/>
  <c r="G72" i="17"/>
  <c r="G73" i="17" s="1"/>
  <c r="F72" i="17"/>
  <c r="F73" i="17" s="1"/>
  <c r="E72" i="17"/>
  <c r="E73" i="17" s="1"/>
  <c r="D72" i="17"/>
  <c r="D73" i="17" s="1"/>
  <c r="C72" i="17"/>
  <c r="C73" i="17" s="1"/>
  <c r="B72" i="17"/>
  <c r="B73" i="17" s="1"/>
  <c r="P71" i="17"/>
  <c r="P70" i="17"/>
  <c r="O66" i="17"/>
  <c r="O67" i="17" s="1"/>
  <c r="N66" i="17"/>
  <c r="N67" i="17" s="1"/>
  <c r="M66" i="17"/>
  <c r="M67" i="17" s="1"/>
  <c r="L66" i="17"/>
  <c r="L67" i="17" s="1"/>
  <c r="K66" i="17"/>
  <c r="K67" i="17" s="1"/>
  <c r="J66" i="17"/>
  <c r="J67" i="17" s="1"/>
  <c r="I66" i="17"/>
  <c r="I67" i="17" s="1"/>
  <c r="H66" i="17"/>
  <c r="H67" i="17" s="1"/>
  <c r="G66" i="17"/>
  <c r="G67" i="17" s="1"/>
  <c r="F66" i="17"/>
  <c r="F67" i="17" s="1"/>
  <c r="E66" i="17"/>
  <c r="E67" i="17" s="1"/>
  <c r="D66" i="17"/>
  <c r="D67" i="17" s="1"/>
  <c r="C66" i="17"/>
  <c r="C67" i="17" s="1"/>
  <c r="B66" i="17"/>
  <c r="B67" i="17" s="1"/>
  <c r="P65" i="17"/>
  <c r="P64" i="17"/>
  <c r="O60" i="17"/>
  <c r="O61" i="17" s="1"/>
  <c r="N60" i="17"/>
  <c r="N61" i="17" s="1"/>
  <c r="M60" i="17"/>
  <c r="M61" i="17" s="1"/>
  <c r="L60" i="17"/>
  <c r="L61" i="17" s="1"/>
  <c r="K60" i="17"/>
  <c r="K61" i="17" s="1"/>
  <c r="J60" i="17"/>
  <c r="J61" i="17" s="1"/>
  <c r="I60" i="17"/>
  <c r="I61" i="17" s="1"/>
  <c r="H60" i="17"/>
  <c r="H61" i="17" s="1"/>
  <c r="G60" i="17"/>
  <c r="G61" i="17" s="1"/>
  <c r="F60" i="17"/>
  <c r="F61" i="17" s="1"/>
  <c r="E60" i="17"/>
  <c r="E61" i="17" s="1"/>
  <c r="D60" i="17"/>
  <c r="D61" i="17" s="1"/>
  <c r="C60" i="17"/>
  <c r="C61" i="17" s="1"/>
  <c r="B60" i="17"/>
  <c r="B61" i="17" s="1"/>
  <c r="P59" i="17"/>
  <c r="P58" i="17"/>
  <c r="O51" i="17"/>
  <c r="N51" i="17"/>
  <c r="I51" i="17"/>
  <c r="D15" i="17" s="1"/>
  <c r="G51" i="17"/>
  <c r="O72" i="16"/>
  <c r="O73" i="16" s="1"/>
  <c r="N72" i="16"/>
  <c r="N73" i="16" s="1"/>
  <c r="M72" i="16"/>
  <c r="M73" i="16" s="1"/>
  <c r="L72" i="16"/>
  <c r="L73" i="16" s="1"/>
  <c r="K72" i="16"/>
  <c r="K73" i="16" s="1"/>
  <c r="J72" i="16"/>
  <c r="J73" i="16" s="1"/>
  <c r="I72" i="16"/>
  <c r="I73" i="16" s="1"/>
  <c r="H72" i="16"/>
  <c r="H73" i="16" s="1"/>
  <c r="G72" i="16"/>
  <c r="G73" i="16" s="1"/>
  <c r="F72" i="16"/>
  <c r="F73" i="16" s="1"/>
  <c r="E72" i="16"/>
  <c r="E73" i="16" s="1"/>
  <c r="D72" i="16"/>
  <c r="D73" i="16" s="1"/>
  <c r="C72" i="16"/>
  <c r="C73" i="16" s="1"/>
  <c r="B72" i="16"/>
  <c r="B73" i="16" s="1"/>
  <c r="P71" i="16"/>
  <c r="P70" i="16"/>
  <c r="O66" i="16"/>
  <c r="O67" i="16" s="1"/>
  <c r="N66" i="16"/>
  <c r="N67" i="16" s="1"/>
  <c r="M66" i="16"/>
  <c r="M67" i="16" s="1"/>
  <c r="L66" i="16"/>
  <c r="L67" i="16" s="1"/>
  <c r="K66" i="16"/>
  <c r="K67" i="16" s="1"/>
  <c r="J66" i="16"/>
  <c r="J67" i="16" s="1"/>
  <c r="I66" i="16"/>
  <c r="I67" i="16" s="1"/>
  <c r="H66" i="16"/>
  <c r="H67" i="16" s="1"/>
  <c r="G66" i="16"/>
  <c r="G67" i="16" s="1"/>
  <c r="F66" i="16"/>
  <c r="F67" i="16" s="1"/>
  <c r="E66" i="16"/>
  <c r="E67" i="16" s="1"/>
  <c r="D66" i="16"/>
  <c r="C66" i="16"/>
  <c r="C67" i="16" s="1"/>
  <c r="B66" i="16"/>
  <c r="B67" i="16" s="1"/>
  <c r="P65" i="16"/>
  <c r="P64" i="16"/>
  <c r="O60" i="16"/>
  <c r="O61" i="16" s="1"/>
  <c r="N60" i="16"/>
  <c r="N61" i="16" s="1"/>
  <c r="M60" i="16"/>
  <c r="M61" i="16" s="1"/>
  <c r="L60" i="16"/>
  <c r="L61" i="16" s="1"/>
  <c r="K60" i="16"/>
  <c r="K61" i="16" s="1"/>
  <c r="J60" i="16"/>
  <c r="J61" i="16" s="1"/>
  <c r="I60" i="16"/>
  <c r="I61" i="16" s="1"/>
  <c r="H60" i="16"/>
  <c r="H61" i="16" s="1"/>
  <c r="G60" i="16"/>
  <c r="G61" i="16" s="1"/>
  <c r="F60" i="16"/>
  <c r="F61" i="16" s="1"/>
  <c r="E60" i="16"/>
  <c r="E61" i="16" s="1"/>
  <c r="D60" i="16"/>
  <c r="D61" i="16" s="1"/>
  <c r="C60" i="16"/>
  <c r="C61" i="16" s="1"/>
  <c r="B60" i="16"/>
  <c r="B61" i="16" s="1"/>
  <c r="P59" i="16"/>
  <c r="P58" i="16"/>
  <c r="O51" i="16"/>
  <c r="N51" i="16"/>
  <c r="I51" i="16"/>
  <c r="D15" i="16" s="1"/>
  <c r="G51" i="16"/>
  <c r="O72" i="15"/>
  <c r="O73" i="15" s="1"/>
  <c r="N72" i="15"/>
  <c r="N73" i="15" s="1"/>
  <c r="M72" i="15"/>
  <c r="M73" i="15" s="1"/>
  <c r="L72" i="15"/>
  <c r="L73" i="15" s="1"/>
  <c r="K72" i="15"/>
  <c r="K73" i="15" s="1"/>
  <c r="J72" i="15"/>
  <c r="J73" i="15" s="1"/>
  <c r="I72" i="15"/>
  <c r="I73" i="15" s="1"/>
  <c r="H72" i="15"/>
  <c r="H73" i="15" s="1"/>
  <c r="G72" i="15"/>
  <c r="G73" i="15" s="1"/>
  <c r="F72" i="15"/>
  <c r="F73" i="15" s="1"/>
  <c r="E72" i="15"/>
  <c r="E73" i="15" s="1"/>
  <c r="D72" i="15"/>
  <c r="D73" i="15" s="1"/>
  <c r="C72" i="15"/>
  <c r="C73" i="15" s="1"/>
  <c r="B72" i="15"/>
  <c r="B73" i="15" s="1"/>
  <c r="P71" i="15"/>
  <c r="P70" i="15"/>
  <c r="O66" i="15"/>
  <c r="O67" i="15" s="1"/>
  <c r="N66" i="15"/>
  <c r="N67" i="15" s="1"/>
  <c r="M66" i="15"/>
  <c r="M67" i="15" s="1"/>
  <c r="L66" i="15"/>
  <c r="L67" i="15" s="1"/>
  <c r="K66" i="15"/>
  <c r="K67" i="15" s="1"/>
  <c r="J66" i="15"/>
  <c r="J67" i="15" s="1"/>
  <c r="I66" i="15"/>
  <c r="I67" i="15" s="1"/>
  <c r="H66" i="15"/>
  <c r="H67" i="15" s="1"/>
  <c r="G66" i="15"/>
  <c r="G67" i="15" s="1"/>
  <c r="F66" i="15"/>
  <c r="F67" i="15" s="1"/>
  <c r="E66" i="15"/>
  <c r="E67" i="15" s="1"/>
  <c r="D66" i="15"/>
  <c r="D67" i="15" s="1"/>
  <c r="C66" i="15"/>
  <c r="C67" i="15" s="1"/>
  <c r="B66" i="15"/>
  <c r="P65" i="15"/>
  <c r="P64" i="15"/>
  <c r="O60" i="15"/>
  <c r="O61" i="15" s="1"/>
  <c r="N60" i="15"/>
  <c r="N61" i="15" s="1"/>
  <c r="M60" i="15"/>
  <c r="M61" i="15" s="1"/>
  <c r="L60" i="15"/>
  <c r="L61" i="15" s="1"/>
  <c r="K60" i="15"/>
  <c r="K61" i="15" s="1"/>
  <c r="J60" i="15"/>
  <c r="J61" i="15" s="1"/>
  <c r="I60" i="15"/>
  <c r="I61" i="15" s="1"/>
  <c r="H60" i="15"/>
  <c r="H61" i="15" s="1"/>
  <c r="G60" i="15"/>
  <c r="G61" i="15" s="1"/>
  <c r="F60" i="15"/>
  <c r="F61" i="15" s="1"/>
  <c r="E60" i="15"/>
  <c r="E61" i="15" s="1"/>
  <c r="D60" i="15"/>
  <c r="D61" i="15" s="1"/>
  <c r="C60" i="15"/>
  <c r="C61" i="15" s="1"/>
  <c r="B60" i="15"/>
  <c r="B61" i="15" s="1"/>
  <c r="P59" i="15"/>
  <c r="P58" i="15"/>
  <c r="O51" i="15"/>
  <c r="N51" i="15"/>
  <c r="I51" i="15"/>
  <c r="D15" i="15" s="1"/>
  <c r="G51" i="15"/>
  <c r="O72" i="14"/>
  <c r="O73" i="14" s="1"/>
  <c r="N72" i="14"/>
  <c r="N73" i="14" s="1"/>
  <c r="M72" i="14"/>
  <c r="M73" i="14" s="1"/>
  <c r="L72" i="14"/>
  <c r="L73" i="14" s="1"/>
  <c r="K72" i="14"/>
  <c r="K73" i="14" s="1"/>
  <c r="J72" i="14"/>
  <c r="J73" i="14" s="1"/>
  <c r="I72" i="14"/>
  <c r="I73" i="14" s="1"/>
  <c r="H72" i="14"/>
  <c r="H73" i="14" s="1"/>
  <c r="G72" i="14"/>
  <c r="G73" i="14" s="1"/>
  <c r="F72" i="14"/>
  <c r="F73" i="14" s="1"/>
  <c r="E72" i="14"/>
  <c r="E73" i="14" s="1"/>
  <c r="D72" i="14"/>
  <c r="D73" i="14" s="1"/>
  <c r="C72" i="14"/>
  <c r="C73" i="14" s="1"/>
  <c r="B72" i="14"/>
  <c r="B73" i="14" s="1"/>
  <c r="P71" i="14"/>
  <c r="P70" i="14"/>
  <c r="O66" i="14"/>
  <c r="O67" i="14" s="1"/>
  <c r="N66" i="14"/>
  <c r="N67" i="14" s="1"/>
  <c r="M66" i="14"/>
  <c r="M67" i="14" s="1"/>
  <c r="L66" i="14"/>
  <c r="L67" i="14" s="1"/>
  <c r="K66" i="14"/>
  <c r="K67" i="14" s="1"/>
  <c r="J66" i="14"/>
  <c r="J67" i="14" s="1"/>
  <c r="I66" i="14"/>
  <c r="I67" i="14" s="1"/>
  <c r="H66" i="14"/>
  <c r="H67" i="14" s="1"/>
  <c r="G66" i="14"/>
  <c r="G67" i="14" s="1"/>
  <c r="F66" i="14"/>
  <c r="F67" i="14" s="1"/>
  <c r="E66" i="14"/>
  <c r="E67" i="14" s="1"/>
  <c r="D66" i="14"/>
  <c r="D67" i="14" s="1"/>
  <c r="C66" i="14"/>
  <c r="C67" i="14" s="1"/>
  <c r="B66" i="14"/>
  <c r="B67" i="14" s="1"/>
  <c r="P65" i="14"/>
  <c r="P64" i="14"/>
  <c r="O60" i="14"/>
  <c r="O61" i="14" s="1"/>
  <c r="N60" i="14"/>
  <c r="N61" i="14" s="1"/>
  <c r="M60" i="14"/>
  <c r="M61" i="14" s="1"/>
  <c r="L60" i="14"/>
  <c r="L61" i="14" s="1"/>
  <c r="K60" i="14"/>
  <c r="K61" i="14" s="1"/>
  <c r="J60" i="14"/>
  <c r="J61" i="14" s="1"/>
  <c r="I60" i="14"/>
  <c r="I61" i="14" s="1"/>
  <c r="H60" i="14"/>
  <c r="H61" i="14" s="1"/>
  <c r="G60" i="14"/>
  <c r="G61" i="14" s="1"/>
  <c r="F60" i="14"/>
  <c r="F61" i="14" s="1"/>
  <c r="E60" i="14"/>
  <c r="E61" i="14" s="1"/>
  <c r="D60" i="14"/>
  <c r="D61" i="14" s="1"/>
  <c r="C60" i="14"/>
  <c r="C61" i="14" s="1"/>
  <c r="B60" i="14"/>
  <c r="B61" i="14" s="1"/>
  <c r="P59" i="14"/>
  <c r="P58" i="14"/>
  <c r="O51" i="14"/>
  <c r="N51" i="14"/>
  <c r="I51" i="14"/>
  <c r="D15" i="14" s="1"/>
  <c r="G51" i="14"/>
  <c r="B67" i="15" l="1"/>
  <c r="P66" i="15"/>
  <c r="P67" i="15" s="1"/>
  <c r="P66" i="16"/>
  <c r="P67" i="16" s="1"/>
  <c r="P72" i="17"/>
  <c r="P73" i="17" s="1"/>
  <c r="B61" i="18"/>
  <c r="P60" i="18"/>
  <c r="P61" i="18" s="1"/>
  <c r="P66" i="18"/>
  <c r="P67" i="18" s="1"/>
  <c r="P72" i="18"/>
  <c r="P73" i="18" s="1"/>
  <c r="P60" i="17"/>
  <c r="P61" i="17" s="1"/>
  <c r="P66" i="17"/>
  <c r="P67" i="17" s="1"/>
  <c r="K73" i="17"/>
  <c r="P60" i="16"/>
  <c r="P61" i="16" s="1"/>
  <c r="P72" i="16"/>
  <c r="P73" i="16" s="1"/>
  <c r="D67" i="16"/>
  <c r="P72" i="15"/>
  <c r="P73" i="15" s="1"/>
  <c r="P60" i="15"/>
  <c r="P61" i="15" s="1"/>
  <c r="P60" i="14"/>
  <c r="P61" i="14" s="1"/>
  <c r="P72" i="14"/>
  <c r="P73" i="14" s="1"/>
  <c r="P66" i="14"/>
  <c r="P67" i="14" s="1"/>
  <c r="K63" i="13"/>
  <c r="J63" i="13"/>
  <c r="I63" i="13"/>
  <c r="H63" i="13"/>
  <c r="G63" i="13"/>
  <c r="F63" i="13"/>
  <c r="E63" i="13"/>
  <c r="D63" i="13"/>
  <c r="C63" i="13"/>
  <c r="B62" i="13"/>
  <c r="O74" i="13"/>
  <c r="O75" i="13" s="1"/>
  <c r="N74" i="13"/>
  <c r="N75" i="13" s="1"/>
  <c r="M74" i="13"/>
  <c r="M75" i="13" s="1"/>
  <c r="L74" i="13"/>
  <c r="L75" i="13" s="1"/>
  <c r="K74" i="13"/>
  <c r="K75" i="13" s="1"/>
  <c r="J74" i="13"/>
  <c r="J75" i="13" s="1"/>
  <c r="I74" i="13"/>
  <c r="I75" i="13" s="1"/>
  <c r="H74" i="13"/>
  <c r="H75" i="13" s="1"/>
  <c r="G74" i="13"/>
  <c r="G75" i="13" s="1"/>
  <c r="F74" i="13"/>
  <c r="F75" i="13" s="1"/>
  <c r="E74" i="13"/>
  <c r="E75" i="13" s="1"/>
  <c r="D74" i="13"/>
  <c r="D75" i="13" s="1"/>
  <c r="C74" i="13"/>
  <c r="C75" i="13" s="1"/>
  <c r="B74" i="13"/>
  <c r="B75" i="13" s="1"/>
  <c r="Q73" i="13"/>
  <c r="Q72" i="13"/>
  <c r="O68" i="13"/>
  <c r="O69" i="13" s="1"/>
  <c r="N68" i="13"/>
  <c r="N69" i="13" s="1"/>
  <c r="M68" i="13"/>
  <c r="M69" i="13" s="1"/>
  <c r="L68" i="13"/>
  <c r="L69" i="13" s="1"/>
  <c r="K68" i="13"/>
  <c r="K69" i="13" s="1"/>
  <c r="J68" i="13"/>
  <c r="J69" i="13" s="1"/>
  <c r="I68" i="13"/>
  <c r="I69" i="13" s="1"/>
  <c r="H68" i="13"/>
  <c r="H69" i="13" s="1"/>
  <c r="G68" i="13"/>
  <c r="G69" i="13" s="1"/>
  <c r="F68" i="13"/>
  <c r="F69" i="13" s="1"/>
  <c r="E68" i="13"/>
  <c r="E69" i="13" s="1"/>
  <c r="D68" i="13"/>
  <c r="D69" i="13" s="1"/>
  <c r="C68" i="13"/>
  <c r="C69" i="13" s="1"/>
  <c r="B68" i="13"/>
  <c r="B69" i="13" s="1"/>
  <c r="Q67" i="13"/>
  <c r="Q66" i="13"/>
  <c r="O63" i="13"/>
  <c r="N63" i="13"/>
  <c r="M63" i="13"/>
  <c r="L63" i="13"/>
  <c r="O53" i="13"/>
  <c r="D16" i="13"/>
  <c r="O76" i="11"/>
  <c r="O77" i="11" s="1"/>
  <c r="N76" i="11"/>
  <c r="N77" i="11" s="1"/>
  <c r="M76" i="11"/>
  <c r="M77" i="11" s="1"/>
  <c r="L76" i="11"/>
  <c r="L77" i="11" s="1"/>
  <c r="K76" i="11"/>
  <c r="K77" i="11" s="1"/>
  <c r="J76" i="11"/>
  <c r="J77" i="11" s="1"/>
  <c r="I76" i="11"/>
  <c r="I77" i="11" s="1"/>
  <c r="H76" i="11"/>
  <c r="H77" i="11" s="1"/>
  <c r="G76" i="11"/>
  <c r="G77" i="11" s="1"/>
  <c r="F76" i="11"/>
  <c r="F77" i="11" s="1"/>
  <c r="E76" i="11"/>
  <c r="E77" i="11" s="1"/>
  <c r="D76" i="11"/>
  <c r="D77" i="11" s="1"/>
  <c r="C76" i="11"/>
  <c r="C77" i="11" s="1"/>
  <c r="B76" i="11"/>
  <c r="B77" i="11" s="1"/>
  <c r="P75" i="11"/>
  <c r="P74" i="11"/>
  <c r="O70" i="11"/>
  <c r="O71" i="11" s="1"/>
  <c r="N70" i="11"/>
  <c r="N71" i="11" s="1"/>
  <c r="M70" i="11"/>
  <c r="M71" i="11" s="1"/>
  <c r="L70" i="11"/>
  <c r="L71" i="11" s="1"/>
  <c r="K70" i="11"/>
  <c r="K71" i="11" s="1"/>
  <c r="J70" i="11"/>
  <c r="J71" i="11" s="1"/>
  <c r="I70" i="11"/>
  <c r="I71" i="11" s="1"/>
  <c r="H70" i="11"/>
  <c r="H71" i="11" s="1"/>
  <c r="G70" i="11"/>
  <c r="G71" i="11" s="1"/>
  <c r="F70" i="11"/>
  <c r="F71" i="11" s="1"/>
  <c r="E70" i="11"/>
  <c r="E71" i="11" s="1"/>
  <c r="D70" i="11"/>
  <c r="D71" i="11" s="1"/>
  <c r="C70" i="11"/>
  <c r="C71" i="11" s="1"/>
  <c r="B70" i="11"/>
  <c r="B71" i="11" s="1"/>
  <c r="P69" i="11"/>
  <c r="P68" i="11"/>
  <c r="Q62" i="13" l="1"/>
  <c r="Q63" i="13" s="1"/>
  <c r="B63" i="13"/>
  <c r="Q74" i="13"/>
  <c r="Q75" i="13" s="1"/>
  <c r="Q68" i="13"/>
  <c r="Q69" i="13" s="1"/>
  <c r="P76" i="11"/>
  <c r="P77" i="11" s="1"/>
  <c r="P70" i="11"/>
  <c r="P71" i="11" s="1"/>
  <c r="O64" i="11"/>
  <c r="O65" i="11" s="1"/>
  <c r="N64" i="11"/>
  <c r="N65" i="11" s="1"/>
  <c r="M64" i="11"/>
  <c r="M65" i="11" s="1"/>
  <c r="L64" i="11"/>
  <c r="L65" i="11" s="1"/>
  <c r="K64" i="11"/>
  <c r="K65" i="11" s="1"/>
  <c r="J64" i="11"/>
  <c r="J65" i="11" s="1"/>
  <c r="I64" i="11"/>
  <c r="I65" i="11" s="1"/>
  <c r="H64" i="11"/>
  <c r="H65" i="11" s="1"/>
  <c r="G64" i="11"/>
  <c r="G65" i="11" s="1"/>
  <c r="F64" i="11"/>
  <c r="F65" i="11" s="1"/>
  <c r="E64" i="11"/>
  <c r="E65" i="11" s="1"/>
  <c r="D64" i="11"/>
  <c r="D65" i="11" s="1"/>
  <c r="C64" i="11"/>
  <c r="C65" i="11" s="1"/>
  <c r="B64" i="11"/>
  <c r="B65" i="11" s="1"/>
  <c r="P63" i="11"/>
  <c r="P62" i="11"/>
  <c r="O55" i="11"/>
  <c r="N55" i="11"/>
  <c r="I55" i="11"/>
  <c r="D15" i="11" s="1"/>
  <c r="G55" i="11"/>
  <c r="P64" i="11" l="1"/>
  <c r="P65" i="11" s="1"/>
</calcChain>
</file>

<file path=xl/sharedStrings.xml><?xml version="1.0" encoding="utf-8"?>
<sst xmlns="http://schemas.openxmlformats.org/spreadsheetml/2006/main" count="833" uniqueCount="222">
  <si>
    <t>PACKING LIST</t>
  </si>
  <si>
    <t xml:space="preserve">Agent / Supplier: </t>
  </si>
  <si>
    <t>Consignee Full name:</t>
  </si>
  <si>
    <t>Next Retail Limited</t>
  </si>
  <si>
    <r>
      <rPr>
        <b/>
        <sz val="12"/>
        <color theme="1"/>
        <rFont val="Arial"/>
        <family val="2"/>
        <scheme val="minor"/>
      </rPr>
      <t>Factory name:</t>
    </r>
    <r>
      <rPr>
        <sz val="12"/>
        <color theme="1"/>
        <rFont val="Arial"/>
        <family val="2"/>
        <scheme val="minor"/>
      </rPr>
      <t xml:space="preserve"> </t>
    </r>
    <r>
      <rPr>
        <sz val="10"/>
        <color theme="1"/>
        <rFont val="Arial"/>
        <family val="2"/>
        <scheme val="minor"/>
      </rPr>
      <t>(Full name)</t>
    </r>
  </si>
  <si>
    <t>Consignee Full address:</t>
  </si>
  <si>
    <t>Desford Road, Enderby, Leicester, LE19 4AT, UK</t>
  </si>
  <si>
    <r>
      <t xml:space="preserve">Factory address:
</t>
    </r>
    <r>
      <rPr>
        <sz val="10"/>
        <color theme="1"/>
        <rFont val="Arial"/>
        <family val="2"/>
      </rPr>
      <t>(Full address with postal/ZIP code where applicable)</t>
    </r>
  </si>
  <si>
    <t>Delivery to:</t>
  </si>
  <si>
    <t>Nominated forwarder in origin territory</t>
  </si>
  <si>
    <t>NEXT Contract Number:</t>
  </si>
  <si>
    <t>PACKING METHOD</t>
  </si>
  <si>
    <t>tick one</t>
  </si>
  <si>
    <t>NEXT Item Number:</t>
  </si>
  <si>
    <t>BULK CARTON - Single size/option per carton</t>
  </si>
  <si>
    <t>PLEASE COMPLETE ALL COLUMNS  &amp; SIZE SUMMARY</t>
  </si>
  <si>
    <t>Full Description and composition:</t>
  </si>
  <si>
    <t>Product type :</t>
  </si>
  <si>
    <t>e.g. Ladies Shirt, Mens Trouser, Childrens Dress, Wardrobe</t>
  </si>
  <si>
    <t xml:space="preserve">MIXED OPTION CARTON - More than 1 size/option per carton permitted </t>
  </si>
  <si>
    <t>Item Composition:</t>
  </si>
  <si>
    <t xml:space="preserve">e.g. 50% Cotton 50% Polyester </t>
  </si>
  <si>
    <t>Applicable Overseas contracts ONLY with mixed option carton labels</t>
  </si>
  <si>
    <t>Knitted or Woven:</t>
  </si>
  <si>
    <t>For sets list all parts e.g. T-shirt knitted &amp; Trouser woven</t>
  </si>
  <si>
    <t>Total Net Weight (kg):</t>
  </si>
  <si>
    <t>HANGING (GOH)</t>
  </si>
  <si>
    <t>Total pieces (Column G):</t>
  </si>
  <si>
    <t>PLEASE COMPLETE ONLY COLUMNS  C, D, G, K &amp; L</t>
  </si>
  <si>
    <t xml:space="preserve">Country of Origin: </t>
  </si>
  <si>
    <t>Preference available for this item?</t>
  </si>
  <si>
    <t xml:space="preserve">Yes or No </t>
  </si>
  <si>
    <t xml:space="preserve">Date of Issue: </t>
  </si>
  <si>
    <t>Columns</t>
  </si>
  <si>
    <t>A</t>
  </si>
  <si>
    <t>B</t>
  </si>
  <si>
    <t>C</t>
  </si>
  <si>
    <t>D</t>
  </si>
  <si>
    <t>E</t>
  </si>
  <si>
    <t>F</t>
  </si>
  <si>
    <t>G</t>
  </si>
  <si>
    <t>H</t>
  </si>
  <si>
    <t>I</t>
  </si>
  <si>
    <t>J</t>
  </si>
  <si>
    <t>K</t>
  </si>
  <si>
    <t>L</t>
  </si>
  <si>
    <t>Carton Numbers</t>
  </si>
  <si>
    <t>Option</t>
  </si>
  <si>
    <t>Size</t>
  </si>
  <si>
    <t>Number of Cartons</t>
  </si>
  <si>
    <t>Pieces* per Carton</t>
  </si>
  <si>
    <t>Total number of pieces* supplied</t>
  </si>
  <si>
    <t>Carton Dimensions</t>
  </si>
  <si>
    <t>Cubic metres (m3)</t>
  </si>
  <si>
    <t>Gross Weight (kg)</t>
  </si>
  <si>
    <t>From</t>
  </si>
  <si>
    <t>To</t>
  </si>
  <si>
    <t>Length (cm)</t>
  </si>
  <si>
    <t>Width (cm)</t>
  </si>
  <si>
    <t>Height (cm)</t>
  </si>
  <si>
    <t>TOTALS</t>
  </si>
  <si>
    <t>cartons</t>
  </si>
  <si>
    <t>pieces supplied</t>
  </si>
  <si>
    <t>m3</t>
  </si>
  <si>
    <t>kg</t>
  </si>
  <si>
    <t>* Piece is either a single item or a pack (i.e. A pack of 3 sleepsuits would count as 1 piece)</t>
  </si>
  <si>
    <t>Where a home item consists of more than one carton, carton count should be the total cartons per contract, the total number of pieces supplied should be the number of items (see example BULKmultipart)</t>
  </si>
  <si>
    <t>SIZE</t>
  </si>
  <si>
    <t>TOTAL</t>
  </si>
  <si>
    <t>Order Qty</t>
  </si>
  <si>
    <t>Shipped Qty</t>
  </si>
  <si>
    <t>Ex/Short Qty</t>
  </si>
  <si>
    <t>% Variance</t>
  </si>
  <si>
    <t xml:space="preserve">For origins where preference is available under the General Scheme of Preferences (GSP) and the Developing Countries Trading Scheme (DCTS), 
please add the DCTS Declaration on Origin Statement and the REX Statement on Origin </t>
  </si>
  <si>
    <t>For EU and Turkey preferential tariffs please add applicable Statement of Origin</t>
  </si>
  <si>
    <t>Please refer to 'Preferential Origin Status' tab for more details</t>
  </si>
  <si>
    <t>Transhipment GB</t>
  </si>
  <si>
    <t>Signed by 
(Factory)</t>
  </si>
  <si>
    <t xml:space="preserve">Factory stamp </t>
  </si>
  <si>
    <t>Town/City, Country</t>
  </si>
  <si>
    <t xml:space="preserve">Date </t>
  </si>
  <si>
    <r>
      <t xml:space="preserve">For GSP/DCTS Origins you must include EU REX </t>
    </r>
    <r>
      <rPr>
        <b/>
        <u/>
        <sz val="14"/>
        <color theme="1"/>
        <rFont val="Arial"/>
        <family val="2"/>
      </rPr>
      <t>and</t>
    </r>
    <r>
      <rPr>
        <b/>
        <sz val="14"/>
        <color theme="1"/>
        <rFont val="Arial"/>
        <family val="2"/>
      </rPr>
      <t xml:space="preserve"> DCTS Statements when the products qualify for Preferential Origin</t>
    </r>
  </si>
  <si>
    <t>EU REX (GSP) (GSP Countries for onward movement to the EU)</t>
  </si>
  <si>
    <t xml:space="preserve">DCTS for movement of goods into the UK </t>
  </si>
  <si>
    <t>EU Declaration of Origin Statement (shipments from the EU to the UK)</t>
  </si>
  <si>
    <t>Turkey Declaration of Orgin Statement (shipments from Turkey to the UK)</t>
  </si>
  <si>
    <t>The exporter.... (1. NAME and REX  registration number) of the products covered by this document declares that, except where otherwise clearly indicated, these products are of ….{2. insert Country of origin} preferential origin according to rules of origin of the Generalised System of Preferences of the European Union and that the origin criterion met is……………………………………… { see completion notes below for what to insert here} (3)</t>
  </si>
  <si>
    <t>The exporter of the products covered by this document (customs identification No…. (1)) declares that, except where otherwise clearly indicated, these products are of …. (2) preferential origin in accordance with the rules of origin of the Developing Countries Trading Scheme of the UK and that the origin criterion met is … … ( 3 ).</t>
  </si>
  <si>
    <r>
      <rPr>
        <sz val="12"/>
        <color rgb="FF000000"/>
        <rFont val="Arial"/>
        <family val="2"/>
      </rPr>
      <t>The exporter of the products covered by this document (Exporter Reference Number …</t>
    </r>
    <r>
      <rPr>
        <sz val="12"/>
        <color rgb="FF000000"/>
        <rFont val="Arial"/>
        <family val="2"/>
      </rPr>
      <t>(2)</t>
    </r>
    <r>
      <rPr>
        <sz val="12"/>
        <color rgb="FF000000"/>
        <rFont val="Arial"/>
        <family val="2"/>
      </rPr>
      <t>) declares that, except where otherwise clearly indicated, these products are of … </t>
    </r>
    <r>
      <rPr>
        <sz val="12"/>
        <color rgb="FF000000"/>
        <rFont val="Arial"/>
        <family val="2"/>
      </rPr>
      <t>(3)</t>
    </r>
    <r>
      <rPr>
        <sz val="12"/>
        <color rgb="FF000000"/>
        <rFont val="Arial"/>
        <family val="2"/>
      </rPr>
      <t> preferential origin.</t>
    </r>
  </si>
  <si>
    <t>The exporter of the products covered by this document (customs authorisation No … (1)) declares that, except where otherwise clearly indicated, these products are of … (2) preferential origin.</t>
  </si>
  <si>
    <t>(Place and date (4))</t>
  </si>
  <si>
    <t>…………………………………………………………… (4)</t>
  </si>
  <si>
    <t>… (3)  (Place and date)</t>
  </si>
  <si>
    <t>(Name and signature of the exporter)</t>
  </si>
  <si>
    <t>(Place and date)</t>
  </si>
  <si>
    <t>……………………………………………………………</t>
  </si>
  <si>
    <t>… (4)  (Signature of the exporter, in addition the name of the person signing the declaration has to be indicated in clear script)</t>
  </si>
  <si>
    <t>(Name of the exporter)</t>
  </si>
  <si>
    <t xml:space="preserve">Completion notes: </t>
  </si>
  <si>
    <t xml:space="preserve">Footnotes: </t>
  </si>
  <si>
    <t xml:space="preserve">1. Enter your REX Registration number. </t>
  </si>
  <si>
    <t>1. Enter your customs identification number if allocated.</t>
  </si>
  <si>
    <t>1. If the statement on origin is completed for multiple shipments of identical originating products within the meaning of point (b) of Article 56 — statement on origin of the Trade and Cooperation Agreement of this Agreement, indicate the period for which the statement on origin is to apply. That period shall not exceed 12 months. All importations of the product must occur within the period indicated. If a period is not applicable, the field may be left blank.</t>
  </si>
  <si>
    <t>1. For exporters located in Turkey, when the origin declaration is made out by an approved exporter, the authorisation number of the approved exporter must be entered in this space. Turkish exporters are not required to have or insert a Registered Exporter (REX) number under the UK-Turkey Agreement. When the origin declaration is not made out by an approved exporter, the words in brackets shall be omitted or the space left blank. When the origin declaration is made out by an exporter located in the UK, the EORI number must be entered in this space.</t>
  </si>
  <si>
    <t>2. Enter the origin of the goods.</t>
  </si>
  <si>
    <t>2. Indicate the reference number by which the exporter is identified. For the Union exporter, this will be the number assigned in accordance with the laws and regulations of the Union. For the United Kingdom exporter, this will be the number assigned in accordance with the laws and regulations applicable within the United Kingdom. Where the exporter has not been assigned a number, this field may be left blank.</t>
  </si>
  <si>
    <t>2. Origin of products to be indicated.</t>
  </si>
  <si>
    <t>3. Products sufficiently worked or processed: enter the letter 'W' followed by the first 4 digits of the HS code (example 'W'6204).  It is expected that W will be will be used for all goods that Next Retail Limited purchases.  It is not expected that P would be used for any goods that Next Retail Limited purchases.</t>
  </si>
  <si>
    <t>3. Products wholly obtained: enter the letter ‘P’; Products sufficiently processed: enter the letter ‘W’ followed by a heading of the Harmonised System (example ‘W’ 9618).   It is expected that W will be will be used for all goods that Next Retail Limited purchases.  It is not expected that P would be used for any goods that Next Retail Limited purchases.</t>
  </si>
  <si>
    <t>3. Indicate the origin of the product: European Union, not the individual Country within the EU.</t>
  </si>
  <si>
    <t>3. These may be omitted if the information is contained in the document itself.</t>
  </si>
  <si>
    <t>4. This may be omitted if included in the document itself.</t>
  </si>
  <si>
    <t>4. Place and date may be omitted if the information is contained on the document itself.</t>
  </si>
  <si>
    <t>4. In cases where the exporter is not required to sign, the exemption of signature also implies the exemption of the name of the signatory.</t>
  </si>
  <si>
    <r>
      <rPr>
        <sz val="12"/>
        <rFont val="Arial"/>
        <family val="2"/>
      </rPr>
      <t xml:space="preserve">For additional guidance:
</t>
    </r>
    <r>
      <rPr>
        <u/>
        <sz val="12"/>
        <color rgb="FF1155CC"/>
        <rFont val="Arial"/>
        <family val="2"/>
      </rPr>
      <t>https://taxation-customs.ec.europa.eu/generalised-system-preferences-gsp_en</t>
    </r>
  </si>
  <si>
    <r>
      <rPr>
        <sz val="12"/>
        <rFont val="Arial"/>
        <family val="2"/>
      </rPr>
      <t xml:space="preserve">For additional guidance:
</t>
    </r>
    <r>
      <rPr>
        <u/>
        <sz val="12"/>
        <color rgb="FF1155CC"/>
        <rFont val="Arial"/>
        <family val="2"/>
      </rPr>
      <t>https://www.gov.uk/guidance/using-an-origin-declaration-for-the-developing-countries-trading-scheme</t>
    </r>
  </si>
  <si>
    <r>
      <rPr>
        <sz val="12"/>
        <rFont val="Arial"/>
        <family val="2"/>
      </rPr>
      <t xml:space="preserve">For additional guidance: 
</t>
    </r>
    <r>
      <rPr>
        <u/>
        <sz val="12"/>
        <color rgb="FF1155CC"/>
        <rFont val="Arial"/>
        <family val="2"/>
      </rPr>
      <t>https://www.gov.uk/guidance/proving-originating-status-and-claiming-a-reduced-rate-of-customs-duty-for-trade-between-the-uk-and-eu#four</t>
    </r>
  </si>
  <si>
    <r>
      <rPr>
        <sz val="12"/>
        <color rgb="FF0B0C0C"/>
        <rFont val="Arial"/>
        <family val="2"/>
      </rPr>
      <t xml:space="preserve">For additional guidance: 
</t>
    </r>
    <r>
      <rPr>
        <u/>
        <sz val="12"/>
        <color rgb="FF1155CC"/>
        <rFont val="Arial"/>
        <family val="2"/>
      </rPr>
      <t>https://www.gov.uk/guidance/summary-of-the-uk-turkey-trade-agreement</t>
    </r>
  </si>
  <si>
    <t>BD Sourcing D12345</t>
  </si>
  <si>
    <t xml:space="preserve">Knitwear Limited </t>
  </si>
  <si>
    <t>Desford Road, Enderby, Leicester, LE19 4AT UK</t>
  </si>
  <si>
    <t>Building 45, Factory road, Manufacturing Village, Dhaka 1208, Bangladesh</t>
  </si>
  <si>
    <t>MC9546835</t>
  </si>
  <si>
    <t>M12345</t>
  </si>
  <si>
    <t>x</t>
  </si>
  <si>
    <t>Childrens sweater</t>
  </si>
  <si>
    <t>50% Cotton 50% Acrylic</t>
  </si>
  <si>
    <t>Knitted</t>
  </si>
  <si>
    <t>Bangladesh</t>
  </si>
  <si>
    <t xml:space="preserve">Preference available for this item?   </t>
  </si>
  <si>
    <t>Yes</t>
  </si>
  <si>
    <t>9-12m</t>
  </si>
  <si>
    <t>12-18m</t>
  </si>
  <si>
    <t>1.5-2yr</t>
  </si>
  <si>
    <t>2-3yr</t>
  </si>
  <si>
    <t>3-4yr</t>
  </si>
  <si>
    <t>4-5yr</t>
  </si>
  <si>
    <t>3/6mth</t>
  </si>
  <si>
    <t>6/9mth</t>
  </si>
  <si>
    <t>9/12mth</t>
  </si>
  <si>
    <t>12/18mth</t>
  </si>
  <si>
    <t>5-6yr</t>
  </si>
  <si>
    <t>6-7yr</t>
  </si>
  <si>
    <t>The exporter Knitwear Limited, BDREX123456 of the products covered by this document declares that, except where otherwise clearly indicated, these products are of Bangladesh preferential origin according to rules of origin of the Generalised System of Preferences of the European Union and that the origin criterion met is W6204</t>
  </si>
  <si>
    <t>The exporter of the products covered by this document Knitwear Limited IEC:123456  declares that, except where otherwise clearly indicated, these products are of Bangladesh preferential origin in accordance with the rules of origin of the Developing Countries Trading Scheme of the UK and that the origin criterion met is W6204.</t>
  </si>
  <si>
    <t xml:space="preserve">EXAMPLE PACKING LIST - Bulk cartons (EU Origin) </t>
  </si>
  <si>
    <t>EU Sourcing D12345</t>
  </si>
  <si>
    <t xml:space="preserve">Building 45, Factory road, 1400-038 Lisbon, Portugal </t>
  </si>
  <si>
    <t>MD9546835</t>
  </si>
  <si>
    <t>T12345</t>
  </si>
  <si>
    <t>Childrens T-shirt</t>
  </si>
  <si>
    <t>100% Cotton</t>
  </si>
  <si>
    <t xml:space="preserve">Portugal </t>
  </si>
  <si>
    <t>6-9m</t>
  </si>
  <si>
    <t>1.5-2y</t>
  </si>
  <si>
    <t>6-9mth</t>
  </si>
  <si>
    <t>9-12mth</t>
  </si>
  <si>
    <t>12-18mth</t>
  </si>
  <si>
    <t>The exporter of the products covered by this document  EU: 123456 declares that, except where otherwise clearly indicated, these products are of EU preferential origin.</t>
  </si>
  <si>
    <t>EXAMPLE PACKING LIST - Bulk cartons (Turkey Origin)</t>
  </si>
  <si>
    <t>TK Sourcing D12345</t>
  </si>
  <si>
    <t xml:space="preserve">Building 45, Factory road, 34990 Istanbul, Turkey </t>
  </si>
  <si>
    <t>Turkey</t>
  </si>
  <si>
    <t>The exporter of the products covered by this document  TK123456  declares that, except where otherwise clearly indicated, these products are of Turkey preferential origin.</t>
  </si>
  <si>
    <t>EXAMPLE PACKING LIST - Hanging GOH</t>
  </si>
  <si>
    <t>AF9546835</t>
  </si>
  <si>
    <t>Ladies sweater</t>
  </si>
  <si>
    <t>EXAMPLE PACKING LIST - Mixed cartons for Overseas MEH</t>
  </si>
  <si>
    <t>22, 24, 27, 28</t>
  </si>
  <si>
    <t>3/6m, 6/9m, 9/12m, 12/18mth</t>
  </si>
  <si>
    <t>40, 41</t>
  </si>
  <si>
    <t>3-4y, 4-5y</t>
  </si>
  <si>
    <t>42, 43</t>
  </si>
  <si>
    <t>5-6y, 6-7y</t>
  </si>
  <si>
    <t xml:space="preserve">EXAMPLE PACKING LIST - Bulk Multipart Carton e.g. Furniture </t>
  </si>
  <si>
    <t xml:space="preserve">Furniture Limited </t>
  </si>
  <si>
    <t>IA8531979</t>
  </si>
  <si>
    <t>Q12345</t>
  </si>
  <si>
    <t>Wardrobe</t>
  </si>
  <si>
    <t>Wood</t>
  </si>
  <si>
    <t>This example is for 142 wardrobes with 3 boxes for each wardrobe</t>
  </si>
  <si>
    <t>ONE</t>
  </si>
  <si>
    <t>The exporter Furniture Limited, BDREX123456 of the products covered by this document declares that, except where otherwise clearly indicated, these products are of Bangladesh preferential origin according to rules of origin of the Generalised System of Preferences of the European Union and that the origin criterion met is W9403</t>
  </si>
  <si>
    <t>The exporter of the products covered by this document Furniture Limited IEC:123456  declares that, except where otherwise clearly indicated, these products are of Bangladesh preferential origin in accordance with the rules of origin of the Developing Countries Trading Scheme of the UK and that the origin criterion met is W9403.</t>
  </si>
  <si>
    <t>Clover Collections</t>
  </si>
  <si>
    <t>√</t>
  </si>
  <si>
    <t>CREATIVE COLLECTIONS LTD.</t>
  </si>
  <si>
    <t>69,107 NISHAT NAGAR, TONGI,GAZIPUR-1711, BANGLADESH</t>
  </si>
  <si>
    <t xml:space="preserve">Boys School Shirt </t>
  </si>
  <si>
    <t>Shirt: 65% Recycled polyester,35% Cotton</t>
  </si>
  <si>
    <t>Woven</t>
  </si>
  <si>
    <t>3 Yrs</t>
  </si>
  <si>
    <t>4 Yrs</t>
  </si>
  <si>
    <t>5 Yrs</t>
  </si>
  <si>
    <t>6 Yrs</t>
  </si>
  <si>
    <t>7 Yrs</t>
  </si>
  <si>
    <t>8 Yrs</t>
  </si>
  <si>
    <t>9 Yrs</t>
  </si>
  <si>
    <t>10 Yrs</t>
  </si>
  <si>
    <t>11 Yrs</t>
  </si>
  <si>
    <t>12 Yrs</t>
  </si>
  <si>
    <t>13 Yrs</t>
  </si>
  <si>
    <t>14 Yrs</t>
  </si>
  <si>
    <t>15 Yrs</t>
  </si>
  <si>
    <t>16 Yrs</t>
  </si>
  <si>
    <t>17 Yrs</t>
  </si>
  <si>
    <t>G.W.PER CTN</t>
  </si>
  <si>
    <t>N.W. PER CTN</t>
  </si>
  <si>
    <t>TTL N.W</t>
  </si>
  <si>
    <t>The exporter of the products covered by this document CREATIVE COLLECTIONS LTD BIN: 000288947-0102  declares that, except where otherwise clearly indicated, these products are of Bangladesh preferential origin in accordance with the rules of origin of the Developing Countries Trading Scheme of the UK and that the origin criterion met is W610510.</t>
  </si>
  <si>
    <t xml:space="preserve">Full Description and composition:  </t>
  </si>
  <si>
    <t>CREATIVE COLLECTIONS LTD, BDREX00023 of the products covered by this document declares that, except where otherwise clearly indicated, these products are of Bangladesh preferential origin according to rules of origin of the Generalised System of Preferences of the European Union and that the origin criterion met is W610510</t>
  </si>
  <si>
    <t xml:space="preserve"> PACKING LIST</t>
  </si>
  <si>
    <t>M13622</t>
  </si>
  <si>
    <t>064</t>
  </si>
  <si>
    <t>077</t>
  </si>
  <si>
    <t>080</t>
  </si>
  <si>
    <t>093</t>
  </si>
  <si>
    <t>051</t>
  </si>
  <si>
    <t>Pieces per Pack : 5 PK</t>
  </si>
  <si>
    <t>YY8496755-1</t>
  </si>
  <si>
    <t>PLAN NO.= 202600155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</si>
</sst>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0">
    <font>
      <sz val="10"/>
      <color rgb="FF000000"/>
      <name val="Arial"/>
      <scheme val="minor"/>
    </font>
    <font>
      <sz val="11"/>
      <color theme="1"/>
      <name val="Arial"/>
      <family val="2"/>
      <scheme val="minor"/>
    </font>
    <font>
      <sz val="12"/>
      <color theme="1"/>
      <name val="Arial"/>
      <family val="2"/>
    </font>
    <font>
      <sz val="10"/>
      <name val="Arial"/>
      <family val="2"/>
    </font>
    <font>
      <b/>
      <sz val="12"/>
      <color theme="1"/>
      <name val="Arial"/>
      <family val="2"/>
    </font>
    <font>
      <sz val="10"/>
      <color theme="1"/>
      <name val="Arial"/>
      <family val="2"/>
      <scheme val="minor"/>
    </font>
    <font>
      <b/>
      <sz val="12"/>
      <color theme="1"/>
      <name val="Arial"/>
      <family val="2"/>
      <scheme val="minor"/>
    </font>
    <font>
      <sz val="20"/>
      <color theme="1"/>
      <name val="&quot;Monotype Sorts&quot;"/>
    </font>
    <font>
      <sz val="10"/>
      <color theme="1"/>
      <name val="Arial"/>
      <family val="2"/>
    </font>
    <font>
      <sz val="10"/>
      <color rgb="FFFFFFFF"/>
      <name val="Arial"/>
      <family val="2"/>
    </font>
    <font>
      <sz val="10"/>
      <color theme="0"/>
      <name val="Arial"/>
      <family val="2"/>
    </font>
    <font>
      <sz val="12"/>
      <color theme="0"/>
      <name val="Arial"/>
      <family val="2"/>
    </font>
    <font>
      <sz val="12"/>
      <color theme="1"/>
      <name val="Arial"/>
      <family val="2"/>
      <scheme val="minor"/>
    </font>
    <font>
      <sz val="11"/>
      <color theme="1"/>
      <name val="Arial"/>
      <family val="2"/>
      <scheme val="minor"/>
    </font>
    <font>
      <b/>
      <sz val="14"/>
      <color theme="1"/>
      <name val="Arial"/>
      <family val="2"/>
    </font>
    <font>
      <sz val="12"/>
      <color rgb="FF000000"/>
      <name val="Arial"/>
      <family val="2"/>
    </font>
    <font>
      <sz val="12"/>
      <color rgb="FF0B0C0C"/>
      <name val="Arial"/>
      <family val="2"/>
    </font>
    <font>
      <i/>
      <sz val="12"/>
      <color rgb="FF4472C4"/>
      <name val="Arial"/>
      <family val="2"/>
    </font>
    <font>
      <b/>
      <i/>
      <sz val="12"/>
      <color rgb="FF000000"/>
      <name val="Arial"/>
      <family val="2"/>
    </font>
    <font>
      <i/>
      <sz val="12"/>
      <color rgb="FF000000"/>
      <name val="Arial"/>
      <family val="2"/>
    </font>
    <font>
      <sz val="12"/>
      <color rgb="FF151206"/>
      <name val="Arial"/>
      <family val="2"/>
    </font>
    <font>
      <b/>
      <i/>
      <sz val="12"/>
      <color theme="1"/>
      <name val="Arial"/>
      <family val="2"/>
    </font>
    <font>
      <u/>
      <sz val="12"/>
      <color rgb="FF0000FF"/>
      <name val="Arial"/>
      <family val="2"/>
    </font>
    <font>
      <u/>
      <sz val="12"/>
      <color rgb="FF0B0C0C"/>
      <name val="Arial"/>
      <family val="2"/>
    </font>
    <font>
      <sz val="12"/>
      <name val="Arial"/>
      <family val="2"/>
    </font>
    <font>
      <u/>
      <sz val="12"/>
      <color rgb="FF1155CC"/>
      <name val="Arial"/>
      <family val="2"/>
    </font>
    <font>
      <sz val="10"/>
      <color theme="1"/>
      <name val="Arial"/>
      <family val="2"/>
    </font>
    <font>
      <b/>
      <sz val="10"/>
      <color theme="1"/>
      <name val="Arial"/>
      <family val="2"/>
      <scheme val="minor"/>
    </font>
    <font>
      <b/>
      <sz val="10"/>
      <color rgb="FF000000"/>
      <name val="Arial"/>
      <family val="2"/>
      <scheme val="minor"/>
    </font>
    <font>
      <sz val="12"/>
      <color theme="1"/>
      <name val="Arial"/>
      <family val="2"/>
      <scheme val="minor"/>
    </font>
    <font>
      <sz val="10"/>
      <color rgb="FF000000"/>
      <name val="Arial"/>
      <family val="2"/>
      <scheme val="minor"/>
    </font>
    <font>
      <b/>
      <sz val="12"/>
      <color theme="1"/>
      <name val="Arial"/>
      <family val="2"/>
    </font>
    <font>
      <i/>
      <sz val="8"/>
      <color theme="1"/>
      <name val="Arial"/>
      <family val="2"/>
    </font>
    <font>
      <b/>
      <sz val="11"/>
      <color theme="1"/>
      <name val="Arial"/>
      <family val="2"/>
      <scheme val="minor"/>
    </font>
    <font>
      <sz val="12"/>
      <color theme="1"/>
      <name val="Arial"/>
      <family val="2"/>
    </font>
    <font>
      <b/>
      <sz val="11"/>
      <color theme="1"/>
      <name val="Arial"/>
      <family val="2"/>
    </font>
    <font>
      <sz val="11"/>
      <name val="Arial"/>
      <family val="2"/>
    </font>
    <font>
      <sz val="11"/>
      <color theme="1"/>
      <name val="Arial"/>
      <family val="2"/>
    </font>
    <font>
      <sz val="11"/>
      <color rgb="FF000000"/>
      <name val="Arial"/>
      <family val="2"/>
      <scheme val="minor"/>
    </font>
    <font>
      <i/>
      <sz val="10"/>
      <color theme="1"/>
      <name val="Arial"/>
      <family val="2"/>
    </font>
    <font>
      <i/>
      <sz val="10"/>
      <color rgb="FF000000"/>
      <name val="Arial"/>
      <family val="2"/>
      <scheme val="minor"/>
    </font>
    <font>
      <i/>
      <sz val="12"/>
      <color theme="1"/>
      <name val="Arial"/>
      <family val="2"/>
    </font>
    <font>
      <b/>
      <sz val="12"/>
      <name val="Arial"/>
      <family val="2"/>
    </font>
    <font>
      <sz val="9"/>
      <color theme="1"/>
      <name val="Arial"/>
      <family val="2"/>
      <scheme val="minor"/>
    </font>
    <font>
      <b/>
      <sz val="9"/>
      <color theme="1"/>
      <name val="Arial"/>
      <family val="2"/>
      <scheme val="minor"/>
    </font>
    <font>
      <b/>
      <sz val="12"/>
      <color theme="1"/>
      <name val="Arial"/>
      <family val="2"/>
      <scheme val="minor"/>
    </font>
    <font>
      <b/>
      <sz val="12"/>
      <color theme="0"/>
      <name val="Arial"/>
      <family val="2"/>
    </font>
    <font>
      <b/>
      <sz val="20"/>
      <color theme="1"/>
      <name val="Arial"/>
      <family val="2"/>
    </font>
    <font>
      <sz val="12"/>
      <color rgb="FF000000"/>
      <name val="Arial"/>
      <family val="2"/>
    </font>
    <font>
      <u/>
      <sz val="12"/>
      <color rgb="FF0000FF"/>
      <name val="Arial"/>
      <family val="2"/>
    </font>
    <font>
      <b/>
      <sz val="13"/>
      <color theme="1"/>
      <name val="Arial"/>
      <family val="2"/>
      <scheme val="minor"/>
    </font>
    <font>
      <sz val="12"/>
      <name val="Arial"/>
      <family val="2"/>
    </font>
    <font>
      <b/>
      <sz val="14"/>
      <color theme="1"/>
      <name val="Arial"/>
      <family val="2"/>
    </font>
    <font>
      <b/>
      <u/>
      <sz val="14"/>
      <color theme="1"/>
      <name val="Arial"/>
      <family val="2"/>
    </font>
    <font>
      <b/>
      <sz val="9"/>
      <color theme="1"/>
      <name val="Arial"/>
      <family val="2"/>
    </font>
    <font>
      <b/>
      <sz val="14"/>
      <color theme="1"/>
      <name val="Arial"/>
      <family val="2"/>
      <scheme val="minor"/>
    </font>
    <font>
      <b/>
      <sz val="14"/>
      <color rgb="FF000000"/>
      <name val="Arial"/>
      <family val="2"/>
      <scheme val="minor"/>
    </font>
    <font>
      <sz val="10"/>
      <name val="Arial"/>
      <family val="2"/>
    </font>
    <font>
      <b/>
      <sz val="16"/>
      <color theme="1"/>
      <name val="Arial"/>
      <family val="2"/>
    </font>
    <font>
      <b/>
      <sz val="10"/>
      <name val="Arial"/>
      <family val="2"/>
    </font>
    <font>
      <b/>
      <i/>
      <sz val="10"/>
      <color theme="1"/>
      <name val="Arial"/>
      <family val="2"/>
    </font>
    <font>
      <b/>
      <i/>
      <sz val="10"/>
      <color rgb="FF000000"/>
      <name val="Arial"/>
      <family val="2"/>
      <scheme val="minor"/>
    </font>
    <font>
      <b/>
      <sz val="10"/>
      <color theme="1"/>
      <name val="Arial"/>
      <family val="2"/>
    </font>
    <font>
      <b/>
      <sz val="18"/>
      <color theme="1"/>
      <name val="Arial"/>
      <family val="2"/>
    </font>
    <font>
      <sz val="14"/>
      <color theme="1"/>
      <name val="Arial"/>
      <family val="2"/>
    </font>
    <font>
      <sz val="16"/>
      <color theme="1"/>
      <name val="Arial"/>
      <family val="2"/>
    </font>
    <font>
      <sz val="14"/>
      <color theme="1"/>
      <name val="Arial"/>
      <family val="2"/>
      <scheme val="minor"/>
    </font>
    <font>
      <sz val="14"/>
      <name val="Arial"/>
      <family val="2"/>
    </font>
    <font>
      <sz val="12"/>
      <color rgb="FF000000"/>
      <name val="Arial"/>
      <family val="2"/>
      <scheme val="minor"/>
    </font>
    <font>
      <b/>
      <sz val="14"/>
      <name val="Arial"/>
      <family val="2"/>
    </font>
  </fonts>
  <fills count="9">
    <fill>
      <patternFill patternType="none"/>
    </fill>
    <fill>
      <patternFill patternType="gray125"/>
    </fill>
    <fill>
      <patternFill patternType="solid">
        <fgColor rgb="FFFFFFFF"/>
        <bgColor rgb="FFFFFFFF"/>
      </patternFill>
    </fill>
    <fill>
      <patternFill patternType="solid">
        <fgColor theme="2" tint="-4.9989318521683403E-2"/>
        <bgColor indexed="64"/>
      </patternFill>
    </fill>
    <fill>
      <patternFill patternType="solid">
        <fgColor theme="2" tint="-0.14999847407452621"/>
        <bgColor indexed="64"/>
      </patternFill>
    </fill>
    <fill>
      <patternFill patternType="solid">
        <fgColor theme="2" tint="-4.9989318521683403E-2"/>
        <bgColor rgb="FFD9EAD3"/>
      </patternFill>
    </fill>
    <fill>
      <patternFill patternType="solid">
        <fgColor rgb="FFFFFF00"/>
        <bgColor indexed="64"/>
      </patternFill>
    </fill>
    <fill>
      <patternFill patternType="solid">
        <fgColor theme="0"/>
        <bgColor indexed="64"/>
      </patternFill>
    </fill>
    <fill>
      <patternFill patternType="solid">
        <fgColor theme="0"/>
        <bgColor rgb="FFD9EAD3"/>
      </patternFill>
    </fill>
  </fills>
  <borders count="42">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rgb="FF000000"/>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rgb="FF000000"/>
      </top>
      <bottom style="thin">
        <color rgb="FF000000"/>
      </bottom>
      <diagonal/>
    </border>
  </borders>
  <cellStyleXfs count="1">
    <xf numFmtId="0" fontId="0" fillId="0" borderId="0"/>
  </cellStyleXfs>
  <cellXfs count="405">
    <xf numFmtId="0" fontId="0" fillId="0" borderId="0" xfId="0"/>
    <xf numFmtId="0" fontId="10" fillId="0" borderId="0" xfId="0" applyFont="1"/>
    <xf numFmtId="0" fontId="11" fillId="0" borderId="0" xfId="0" applyFont="1"/>
    <xf numFmtId="0" fontId="2" fillId="0" borderId="0" xfId="0" applyFont="1" applyAlignment="1">
      <alignment vertical="top"/>
    </xf>
    <xf numFmtId="0" fontId="12" fillId="0" borderId="0" xfId="0" applyFont="1"/>
    <xf numFmtId="0" fontId="2" fillId="0" borderId="0" xfId="0" applyFont="1" applyAlignment="1">
      <alignment horizontal="left" wrapText="1"/>
    </xf>
    <xf numFmtId="0" fontId="5" fillId="0" borderId="0" xfId="0" applyFont="1" applyAlignment="1">
      <alignment horizontal="center"/>
    </xf>
    <xf numFmtId="0" fontId="2" fillId="0" borderId="0" xfId="0" applyFont="1" applyAlignment="1">
      <alignment horizontal="right"/>
    </xf>
    <xf numFmtId="0" fontId="4" fillId="2" borderId="16" xfId="0" applyFont="1" applyFill="1" applyBorder="1"/>
    <xf numFmtId="0" fontId="18" fillId="2" borderId="16" xfId="0" applyFont="1" applyFill="1" applyBorder="1" applyAlignment="1">
      <alignment vertical="center" wrapText="1"/>
    </xf>
    <xf numFmtId="0" fontId="19" fillId="0" borderId="0" xfId="0" applyFont="1" applyAlignment="1">
      <alignment vertical="center" wrapText="1"/>
    </xf>
    <xf numFmtId="0" fontId="2" fillId="0" borderId="0" xfId="0" applyFont="1"/>
    <xf numFmtId="0" fontId="2" fillId="2" borderId="0" xfId="0" applyFont="1" applyFill="1"/>
    <xf numFmtId="0" fontId="4" fillId="0" borderId="0" xfId="0" applyFont="1"/>
    <xf numFmtId="0" fontId="4" fillId="2" borderId="0" xfId="0" applyFont="1" applyFill="1"/>
    <xf numFmtId="0" fontId="4" fillId="2" borderId="14" xfId="0" applyFont="1" applyFill="1" applyBorder="1"/>
    <xf numFmtId="0" fontId="2" fillId="2" borderId="12" xfId="0" applyFont="1" applyFill="1" applyBorder="1"/>
    <xf numFmtId="0" fontId="2" fillId="2" borderId="12" xfId="0" applyFont="1" applyFill="1" applyBorder="1" applyAlignment="1">
      <alignment wrapText="1"/>
    </xf>
    <xf numFmtId="0" fontId="16" fillId="2" borderId="12" xfId="0" applyFont="1" applyFill="1" applyBorder="1" applyAlignment="1">
      <alignment vertical="center" wrapText="1"/>
    </xf>
    <xf numFmtId="0" fontId="19" fillId="2" borderId="12" xfId="0" applyFont="1" applyFill="1" applyBorder="1" applyAlignment="1">
      <alignment horizontal="left" vertical="center"/>
    </xf>
    <xf numFmtId="0" fontId="19" fillId="2" borderId="12" xfId="0" applyFont="1" applyFill="1" applyBorder="1" applyAlignment="1">
      <alignment horizontal="left" vertical="top"/>
    </xf>
    <xf numFmtId="0" fontId="19" fillId="0" borderId="0" xfId="0" applyFont="1" applyAlignment="1">
      <alignment horizontal="left" vertical="top"/>
    </xf>
    <xf numFmtId="0" fontId="15" fillId="2" borderId="12" xfId="0" applyFont="1" applyFill="1" applyBorder="1" applyAlignment="1">
      <alignment vertical="center" wrapText="1"/>
    </xf>
    <xf numFmtId="0" fontId="2" fillId="2" borderId="12" xfId="0" applyFont="1" applyFill="1" applyBorder="1" applyAlignment="1">
      <alignment horizontal="left" vertical="center" wrapText="1"/>
    </xf>
    <xf numFmtId="0" fontId="5" fillId="2" borderId="12" xfId="0" applyFont="1" applyFill="1" applyBorder="1"/>
    <xf numFmtId="0" fontId="20" fillId="0" borderId="0" xfId="0" applyFont="1" applyAlignment="1">
      <alignment horizontal="left" vertical="center"/>
    </xf>
    <xf numFmtId="0" fontId="21" fillId="2" borderId="12" xfId="0" applyFont="1" applyFill="1" applyBorder="1" applyAlignment="1">
      <alignment horizontal="left" vertical="top"/>
    </xf>
    <xf numFmtId="0" fontId="2" fillId="0" borderId="0" xfId="0" applyFont="1" applyAlignment="1">
      <alignment horizontal="left" vertical="top"/>
    </xf>
    <xf numFmtId="0" fontId="18" fillId="2" borderId="12" xfId="0" applyFont="1" applyFill="1" applyBorder="1" applyAlignment="1">
      <alignment horizontal="left" vertical="top"/>
    </xf>
    <xf numFmtId="0" fontId="2" fillId="2" borderId="12" xfId="0" applyFont="1" applyFill="1" applyBorder="1" applyAlignment="1">
      <alignment horizontal="left" vertical="top"/>
    </xf>
    <xf numFmtId="0" fontId="20" fillId="2" borderId="12" xfId="0" applyFont="1" applyFill="1" applyBorder="1" applyAlignment="1">
      <alignment horizontal="left" vertical="top"/>
    </xf>
    <xf numFmtId="0" fontId="15" fillId="2" borderId="12" xfId="0" applyFont="1" applyFill="1" applyBorder="1" applyAlignment="1">
      <alignment horizontal="left" vertical="center" wrapText="1"/>
    </xf>
    <xf numFmtId="0" fontId="16" fillId="2" borderId="12" xfId="0" applyFont="1" applyFill="1" applyBorder="1" applyAlignment="1">
      <alignment horizontal="left" vertical="top" wrapText="1"/>
    </xf>
    <xf numFmtId="0" fontId="20" fillId="0" borderId="0" xfId="0" applyFont="1" applyAlignment="1">
      <alignment vertical="center" wrapText="1"/>
    </xf>
    <xf numFmtId="0" fontId="2" fillId="2" borderId="12" xfId="0" applyFont="1" applyFill="1" applyBorder="1" applyAlignment="1">
      <alignment horizontal="left" vertical="top" wrapText="1"/>
    </xf>
    <xf numFmtId="0" fontId="20" fillId="2" borderId="12" xfId="0" applyFont="1" applyFill="1" applyBorder="1" applyAlignment="1">
      <alignment horizontal="left" vertical="top" wrapText="1"/>
    </xf>
    <xf numFmtId="0" fontId="22" fillId="2" borderId="12" xfId="0" applyFont="1" applyFill="1" applyBorder="1" applyAlignment="1">
      <alignment horizontal="left" vertical="top" wrapText="1"/>
    </xf>
    <xf numFmtId="0" fontId="2" fillId="0" borderId="0" xfId="0" applyFont="1" applyAlignment="1">
      <alignment horizontal="center" wrapText="1"/>
    </xf>
    <xf numFmtId="0" fontId="23" fillId="2" borderId="13" xfId="0" applyFont="1" applyFill="1" applyBorder="1" applyAlignment="1">
      <alignment horizontal="left" vertical="top" wrapText="1"/>
    </xf>
    <xf numFmtId="0" fontId="2" fillId="2" borderId="13" xfId="0" applyFont="1" applyFill="1" applyBorder="1" applyAlignment="1">
      <alignment horizontal="left" vertical="top"/>
    </xf>
    <xf numFmtId="0" fontId="2" fillId="2" borderId="0" xfId="0" applyFont="1" applyFill="1" applyAlignment="1">
      <alignment horizontal="left" vertical="top" wrapText="1"/>
    </xf>
    <xf numFmtId="0" fontId="16" fillId="2" borderId="0" xfId="0" applyFont="1" applyFill="1" applyAlignment="1">
      <alignment horizontal="left" vertical="top" wrapText="1"/>
    </xf>
    <xf numFmtId="0" fontId="2" fillId="0" borderId="0" xfId="0" applyFont="1" applyAlignment="1">
      <alignment wrapText="1"/>
    </xf>
    <xf numFmtId="0" fontId="16" fillId="2" borderId="0" xfId="0" applyFont="1" applyFill="1" applyAlignment="1">
      <alignment horizontal="left" vertical="center" wrapText="1"/>
    </xf>
    <xf numFmtId="0" fontId="3" fillId="0" borderId="16" xfId="0" applyFont="1" applyBorder="1"/>
    <xf numFmtId="0" fontId="13" fillId="0" borderId="15" xfId="0" applyFont="1" applyBorder="1" applyAlignment="1">
      <alignment horizontal="center" vertical="center"/>
    </xf>
    <xf numFmtId="0" fontId="2" fillId="0" borderId="15" xfId="0" applyFont="1" applyBorder="1" applyAlignment="1">
      <alignment horizontal="center" vertical="center"/>
    </xf>
    <xf numFmtId="0" fontId="2" fillId="0" borderId="0" xfId="0" applyFont="1" applyAlignment="1">
      <alignment vertical="center"/>
    </xf>
    <xf numFmtId="0" fontId="27" fillId="0" borderId="0" xfId="0" applyFont="1" applyAlignment="1">
      <alignment horizontal="center"/>
    </xf>
    <xf numFmtId="0" fontId="28" fillId="0" borderId="0" xfId="0" applyFont="1"/>
    <xf numFmtId="0" fontId="2" fillId="0" borderId="0" xfId="0" applyFont="1" applyAlignment="1">
      <alignment horizontal="left"/>
    </xf>
    <xf numFmtId="0" fontId="2" fillId="0" borderId="0" xfId="0" applyFont="1" applyAlignment="1">
      <alignment horizontal="center" vertical="center"/>
    </xf>
    <xf numFmtId="0" fontId="31" fillId="0" borderId="0" xfId="0" applyFont="1" applyAlignment="1">
      <alignment horizontal="right"/>
    </xf>
    <xf numFmtId="0" fontId="41" fillId="0" borderId="0" xfId="0" applyFont="1" applyAlignment="1">
      <alignment horizontal="center"/>
    </xf>
    <xf numFmtId="0" fontId="41" fillId="0" borderId="0" xfId="0" applyFont="1"/>
    <xf numFmtId="0" fontId="33" fillId="0" borderId="17" xfId="0" applyFont="1" applyBorder="1" applyAlignment="1">
      <alignment horizontal="left" vertical="center"/>
    </xf>
    <xf numFmtId="0" fontId="33" fillId="0" borderId="17" xfId="0" applyFont="1" applyBorder="1" applyAlignment="1">
      <alignment horizontal="center" vertical="center"/>
    </xf>
    <xf numFmtId="0" fontId="33" fillId="3" borderId="17" xfId="0" applyFont="1" applyFill="1" applyBorder="1" applyAlignment="1">
      <alignment horizontal="center" vertical="center"/>
    </xf>
    <xf numFmtId="0" fontId="3" fillId="0" borderId="9" xfId="0" applyFont="1" applyBorder="1"/>
    <xf numFmtId="0" fontId="2" fillId="0" borderId="9" xfId="0" applyFont="1" applyBorder="1"/>
    <xf numFmtId="0" fontId="7" fillId="0" borderId="0" xfId="0" applyFont="1" applyAlignment="1">
      <alignment horizontal="center"/>
    </xf>
    <xf numFmtId="0" fontId="8" fillId="0" borderId="0" xfId="0" applyFont="1" applyAlignment="1">
      <alignment horizontal="left"/>
    </xf>
    <xf numFmtId="0" fontId="4" fillId="0" borderId="0" xfId="0" applyFont="1" applyAlignment="1">
      <alignment horizontal="left"/>
    </xf>
    <xf numFmtId="0" fontId="9" fillId="0" borderId="0" xfId="0" applyFont="1"/>
    <xf numFmtId="0" fontId="2" fillId="0" borderId="0" xfId="0" applyFont="1" applyAlignment="1">
      <alignment horizontal="center"/>
    </xf>
    <xf numFmtId="0" fontId="2" fillId="0" borderId="10" xfId="0" applyFont="1" applyBorder="1" applyAlignment="1">
      <alignment horizontal="center" vertical="center"/>
    </xf>
    <xf numFmtId="0" fontId="0" fillId="0" borderId="0" xfId="0" applyAlignment="1">
      <alignment vertical="center"/>
    </xf>
    <xf numFmtId="0" fontId="26" fillId="0" borderId="0" xfId="0" applyFont="1"/>
    <xf numFmtId="0" fontId="30" fillId="0" borderId="0" xfId="0" applyFont="1"/>
    <xf numFmtId="0" fontId="2" fillId="0" borderId="16" xfId="0" applyFont="1" applyBorder="1" applyAlignment="1">
      <alignment horizontal="center"/>
    </xf>
    <xf numFmtId="0" fontId="39" fillId="0" borderId="0" xfId="0" applyFont="1"/>
    <xf numFmtId="0" fontId="40" fillId="0" borderId="0" xfId="0" applyFont="1"/>
    <xf numFmtId="0" fontId="41" fillId="0" borderId="7" xfId="0" applyFont="1" applyBorder="1" applyAlignment="1">
      <alignment horizontal="center"/>
    </xf>
    <xf numFmtId="0" fontId="3" fillId="4" borderId="7" xfId="0" applyFont="1" applyFill="1" applyBorder="1"/>
    <xf numFmtId="0" fontId="32" fillId="4" borderId="8" xfId="0" applyFont="1" applyFill="1" applyBorder="1" applyAlignment="1">
      <alignment horizontal="center"/>
    </xf>
    <xf numFmtId="0" fontId="38" fillId="4" borderId="16" xfId="0" applyFont="1" applyFill="1" applyBorder="1"/>
    <xf numFmtId="0" fontId="36" fillId="4" borderId="5" xfId="0" applyFont="1" applyFill="1" applyBorder="1"/>
    <xf numFmtId="0" fontId="37" fillId="4" borderId="4" xfId="0" applyFont="1" applyFill="1" applyBorder="1" applyAlignment="1">
      <alignment horizontal="left" vertical="center"/>
    </xf>
    <xf numFmtId="0" fontId="36" fillId="4" borderId="7" xfId="0" applyFont="1" applyFill="1" applyBorder="1"/>
    <xf numFmtId="0" fontId="37" fillId="4" borderId="7" xfId="0" applyFont="1" applyFill="1" applyBorder="1"/>
    <xf numFmtId="0" fontId="37" fillId="4" borderId="8" xfId="0" applyFont="1" applyFill="1" applyBorder="1"/>
    <xf numFmtId="0" fontId="2" fillId="0" borderId="3" xfId="0" applyFont="1" applyBorder="1" applyAlignment="1">
      <alignment horizontal="center"/>
    </xf>
    <xf numFmtId="0" fontId="36" fillId="4" borderId="16" xfId="0" applyFont="1" applyFill="1" applyBorder="1"/>
    <xf numFmtId="0" fontId="37" fillId="4" borderId="16" xfId="0" applyFont="1" applyFill="1" applyBorder="1"/>
    <xf numFmtId="0" fontId="37" fillId="4" borderId="5" xfId="0" applyFont="1" applyFill="1" applyBorder="1"/>
    <xf numFmtId="0" fontId="37" fillId="4" borderId="2" xfId="0" applyFont="1" applyFill="1" applyBorder="1" applyAlignment="1">
      <alignment horizontal="left" vertical="center"/>
    </xf>
    <xf numFmtId="0" fontId="43" fillId="3" borderId="17" xfId="0" applyFont="1" applyFill="1" applyBorder="1"/>
    <xf numFmtId="0" fontId="43" fillId="3" borderId="17" xfId="0" applyFont="1" applyFill="1" applyBorder="1" applyAlignment="1">
      <alignment horizontal="center"/>
    </xf>
    <xf numFmtId="0" fontId="44" fillId="3" borderId="17" xfId="0" applyFont="1" applyFill="1" applyBorder="1" applyAlignment="1">
      <alignment horizontal="center"/>
    </xf>
    <xf numFmtId="10" fontId="43" fillId="3" borderId="17" xfId="0" applyNumberFormat="1" applyFont="1" applyFill="1" applyBorder="1" applyAlignment="1">
      <alignment horizontal="center"/>
    </xf>
    <xf numFmtId="10" fontId="44" fillId="3" borderId="17" xfId="0" applyNumberFormat="1" applyFont="1" applyFill="1" applyBorder="1" applyAlignment="1">
      <alignment horizontal="center"/>
    </xf>
    <xf numFmtId="0" fontId="42" fillId="4" borderId="6" xfId="0" applyFont="1" applyFill="1" applyBorder="1" applyAlignment="1">
      <alignment vertical="center"/>
    </xf>
    <xf numFmtId="0" fontId="7" fillId="4" borderId="14" xfId="0" applyFont="1" applyFill="1" applyBorder="1" applyAlignment="1">
      <alignment horizontal="center" vertical="center"/>
    </xf>
    <xf numFmtId="0" fontId="7" fillId="4" borderId="12" xfId="0" applyFont="1" applyFill="1" applyBorder="1" applyAlignment="1">
      <alignment horizontal="center" vertical="center"/>
    </xf>
    <xf numFmtId="0" fontId="7" fillId="4" borderId="13" xfId="0" applyFont="1" applyFill="1" applyBorder="1" applyAlignment="1">
      <alignment horizontal="center" vertical="center"/>
    </xf>
    <xf numFmtId="0" fontId="35" fillId="4" borderId="1" xfId="0" applyFont="1" applyFill="1" applyBorder="1" applyAlignment="1">
      <alignment horizontal="left" vertical="center"/>
    </xf>
    <xf numFmtId="0" fontId="35" fillId="4" borderId="3" xfId="0" applyFont="1" applyFill="1" applyBorder="1" applyAlignment="1">
      <alignment horizontal="left" vertical="center"/>
    </xf>
    <xf numFmtId="0" fontId="2" fillId="0" borderId="17" xfId="0" applyFont="1" applyBorder="1" applyAlignment="1">
      <alignment horizontal="center"/>
    </xf>
    <xf numFmtId="0" fontId="43" fillId="0" borderId="16" xfId="0" applyFont="1" applyBorder="1"/>
    <xf numFmtId="10" fontId="43" fillId="0" borderId="16" xfId="0" applyNumberFormat="1" applyFont="1" applyBorder="1" applyAlignment="1">
      <alignment horizontal="center"/>
    </xf>
    <xf numFmtId="10" fontId="44" fillId="0" borderId="16" xfId="0" applyNumberFormat="1" applyFont="1" applyBorder="1" applyAlignment="1">
      <alignment horizontal="center"/>
    </xf>
    <xf numFmtId="0" fontId="46" fillId="0" borderId="0" xfId="0" applyFont="1"/>
    <xf numFmtId="0" fontId="34" fillId="2" borderId="12" xfId="0" applyFont="1" applyFill="1" applyBorder="1" applyAlignment="1">
      <alignment wrapText="1"/>
    </xf>
    <xf numFmtId="3" fontId="33" fillId="3" borderId="17" xfId="0" applyNumberFormat="1" applyFont="1" applyFill="1" applyBorder="1" applyAlignment="1">
      <alignment horizontal="center" vertical="center"/>
    </xf>
    <xf numFmtId="0" fontId="49" fillId="2" borderId="13" xfId="0" applyFont="1" applyFill="1" applyBorder="1" applyAlignment="1">
      <alignment horizontal="left" vertical="top" wrapText="1"/>
    </xf>
    <xf numFmtId="0" fontId="19" fillId="2" borderId="12" xfId="0" applyFont="1" applyFill="1" applyBorder="1" applyAlignment="1">
      <alignment vertical="top" wrapText="1"/>
    </xf>
    <xf numFmtId="0" fontId="15" fillId="2" borderId="12" xfId="0" applyFont="1" applyFill="1" applyBorder="1" applyAlignment="1">
      <alignment vertical="top" wrapText="1"/>
    </xf>
    <xf numFmtId="0" fontId="16" fillId="2" borderId="12" xfId="0" applyFont="1" applyFill="1" applyBorder="1" applyAlignment="1">
      <alignment vertical="top" wrapText="1"/>
    </xf>
    <xf numFmtId="0" fontId="48" fillId="2" borderId="12" xfId="0" applyFont="1" applyFill="1" applyBorder="1" applyAlignment="1">
      <alignment vertical="center" wrapText="1"/>
    </xf>
    <xf numFmtId="0" fontId="1" fillId="0" borderId="17" xfId="0" applyFont="1" applyBorder="1" applyAlignment="1">
      <alignment horizontal="left" vertical="center"/>
    </xf>
    <xf numFmtId="0" fontId="1" fillId="0" borderId="17" xfId="0" applyFont="1" applyBorder="1" applyAlignment="1">
      <alignment horizontal="center" vertical="center"/>
    </xf>
    <xf numFmtId="0" fontId="22" fillId="2" borderId="13" xfId="0" applyFont="1" applyFill="1" applyBorder="1" applyAlignment="1">
      <alignment wrapText="1"/>
    </xf>
    <xf numFmtId="3" fontId="1" fillId="0" borderId="17" xfId="0" applyNumberFormat="1" applyFont="1" applyBorder="1" applyAlignment="1">
      <alignment horizontal="center" vertical="center"/>
    </xf>
    <xf numFmtId="0" fontId="52" fillId="2" borderId="16" xfId="0" applyFont="1" applyFill="1" applyBorder="1"/>
    <xf numFmtId="0" fontId="2" fillId="0" borderId="11" xfId="0" applyFont="1" applyBorder="1" applyAlignment="1">
      <alignment horizontal="center" vertical="center"/>
    </xf>
    <xf numFmtId="3" fontId="2" fillId="0" borderId="10" xfId="0" applyNumberFormat="1" applyFont="1" applyBorder="1" applyAlignment="1">
      <alignment horizontal="center" vertical="center"/>
    </xf>
    <xf numFmtId="3" fontId="2" fillId="0" borderId="11" xfId="0" applyNumberFormat="1" applyFont="1" applyBorder="1" applyAlignment="1">
      <alignment horizontal="center" vertical="center"/>
    </xf>
    <xf numFmtId="0" fontId="8" fillId="0" borderId="8" xfId="0" applyFont="1" applyBorder="1" applyAlignment="1">
      <alignment horizontal="left"/>
    </xf>
    <xf numFmtId="0" fontId="37" fillId="0" borderId="5" xfId="0" applyFont="1" applyBorder="1" applyAlignment="1">
      <alignment horizontal="left"/>
    </xf>
    <xf numFmtId="0" fontId="35" fillId="0" borderId="2" xfId="0" applyFont="1" applyBorder="1" applyAlignment="1">
      <alignment horizontal="left" vertical="center"/>
    </xf>
    <xf numFmtId="0" fontId="37" fillId="0" borderId="5" xfId="0" applyFont="1" applyBorder="1" applyAlignment="1">
      <alignment horizontal="left" vertical="center"/>
    </xf>
    <xf numFmtId="0" fontId="47" fillId="0" borderId="16" xfId="0" applyFont="1" applyBorder="1" applyAlignment="1">
      <alignment horizontal="center" vertical="center"/>
    </xf>
    <xf numFmtId="1" fontId="42" fillId="7" borderId="19" xfId="0" applyNumberFormat="1" applyFont="1" applyFill="1" applyBorder="1" applyAlignment="1">
      <alignment horizontal="center" vertical="center"/>
    </xf>
    <xf numFmtId="0" fontId="54" fillId="0" borderId="0" xfId="0" applyFont="1" applyAlignment="1">
      <alignment vertical="center"/>
    </xf>
    <xf numFmtId="0" fontId="34" fillId="0" borderId="0" xfId="0" applyFont="1" applyAlignment="1">
      <alignment vertical="center"/>
    </xf>
    <xf numFmtId="0" fontId="34" fillId="0" borderId="0" xfId="0" applyFont="1" applyAlignment="1">
      <alignment horizontal="right"/>
    </xf>
    <xf numFmtId="0" fontId="57" fillId="4" borderId="7" xfId="0" applyFont="1" applyFill="1" applyBorder="1"/>
    <xf numFmtId="0" fontId="12" fillId="0" borderId="16" xfId="0" applyFont="1" applyBorder="1"/>
    <xf numFmtId="0" fontId="0" fillId="0" borderId="16" xfId="0" applyBorder="1"/>
    <xf numFmtId="0" fontId="0" fillId="7" borderId="16" xfId="0" applyFill="1" applyBorder="1"/>
    <xf numFmtId="0" fontId="21" fillId="0" borderId="0" xfId="0" applyFont="1" applyAlignment="1">
      <alignment horizontal="center"/>
    </xf>
    <xf numFmtId="0" fontId="21" fillId="0" borderId="7" xfId="0" applyFont="1" applyBorder="1" applyAlignment="1">
      <alignment horizontal="center"/>
    </xf>
    <xf numFmtId="0" fontId="4" fillId="0" borderId="0" xfId="0" applyFont="1" applyAlignment="1">
      <alignment horizontal="center"/>
    </xf>
    <xf numFmtId="0" fontId="4" fillId="0" borderId="0" xfId="0" applyFont="1" applyAlignment="1">
      <alignment vertical="top"/>
    </xf>
    <xf numFmtId="0" fontId="33" fillId="0" borderId="15" xfId="0" applyFont="1" applyBorder="1" applyAlignment="1">
      <alignment horizontal="center" vertical="center"/>
    </xf>
    <xf numFmtId="0" fontId="4" fillId="0" borderId="15" xfId="0" applyFont="1" applyBorder="1" applyAlignment="1">
      <alignment horizontal="center" vertical="center"/>
    </xf>
    <xf numFmtId="0" fontId="14" fillId="0" borderId="0" xfId="0" applyFont="1" applyAlignment="1">
      <alignment horizontal="right"/>
    </xf>
    <xf numFmtId="0" fontId="4" fillId="0" borderId="0" xfId="0" applyFont="1" applyAlignment="1">
      <alignment horizontal="right"/>
    </xf>
    <xf numFmtId="0" fontId="4" fillId="0" borderId="0" xfId="0" applyFont="1" applyAlignment="1">
      <alignment horizontal="center" vertical="center"/>
    </xf>
    <xf numFmtId="0" fontId="4" fillId="0" borderId="3" xfId="0" applyFont="1" applyBorder="1" applyAlignment="1">
      <alignment horizontal="center"/>
    </xf>
    <xf numFmtId="0" fontId="4" fillId="0" borderId="17" xfId="0" applyFont="1" applyBorder="1" applyAlignment="1">
      <alignment horizontal="center"/>
    </xf>
    <xf numFmtId="0" fontId="4" fillId="0" borderId="16" xfId="0" applyFont="1" applyBorder="1" applyAlignment="1">
      <alignment horizontal="center"/>
    </xf>
    <xf numFmtId="0" fontId="60" fillId="0" borderId="0" xfId="0" applyFont="1"/>
    <xf numFmtId="0" fontId="62" fillId="0" borderId="0" xfId="0" applyFont="1"/>
    <xf numFmtId="0" fontId="44" fillId="3" borderId="17" xfId="0" applyFont="1" applyFill="1" applyBorder="1"/>
    <xf numFmtId="0" fontId="44" fillId="0" borderId="16" xfId="0" applyFont="1" applyBorder="1"/>
    <xf numFmtId="0" fontId="6" fillId="0" borderId="0" xfId="0" applyFont="1"/>
    <xf numFmtId="0" fontId="6" fillId="0" borderId="17" xfId="0" applyFont="1" applyBorder="1" applyAlignment="1">
      <alignment horizontal="center" vertical="center"/>
    </xf>
    <xf numFmtId="0" fontId="6" fillId="3" borderId="17" xfId="0" applyFont="1" applyFill="1" applyBorder="1" applyAlignment="1">
      <alignment horizontal="center" vertical="center"/>
    </xf>
    <xf numFmtId="3" fontId="6" fillId="0" borderId="17" xfId="0" applyNumberFormat="1" applyFont="1" applyBorder="1" applyAlignment="1">
      <alignment horizontal="center" vertical="center"/>
    </xf>
    <xf numFmtId="0" fontId="6" fillId="3" borderId="17" xfId="0" applyFont="1" applyFill="1" applyBorder="1" applyAlignment="1">
      <alignment horizontal="center"/>
    </xf>
    <xf numFmtId="10" fontId="6" fillId="3" borderId="17" xfId="0" applyNumberFormat="1" applyFont="1" applyFill="1" applyBorder="1" applyAlignment="1">
      <alignment horizontal="center"/>
    </xf>
    <xf numFmtId="0" fontId="35" fillId="0" borderId="15" xfId="0" applyFont="1" applyBorder="1" applyAlignment="1">
      <alignment horizontal="center" vertical="center"/>
    </xf>
    <xf numFmtId="0" fontId="4" fillId="7" borderId="10" xfId="0" applyFont="1" applyFill="1" applyBorder="1" applyAlignment="1">
      <alignment horizontal="center" vertical="center"/>
    </xf>
    <xf numFmtId="0" fontId="0" fillId="7" borderId="0" xfId="0" applyFill="1"/>
    <xf numFmtId="0" fontId="12" fillId="7" borderId="0" xfId="0" applyFont="1" applyFill="1"/>
    <xf numFmtId="0" fontId="56" fillId="7" borderId="0" xfId="0" applyFont="1" applyFill="1"/>
    <xf numFmtId="0" fontId="55" fillId="7" borderId="0" xfId="0" applyFont="1" applyFill="1"/>
    <xf numFmtId="0" fontId="4" fillId="6" borderId="15" xfId="0" applyFont="1" applyFill="1" applyBorder="1" applyAlignment="1">
      <alignment horizontal="center" vertical="center"/>
    </xf>
    <xf numFmtId="0" fontId="4" fillId="7" borderId="15" xfId="0" applyFont="1" applyFill="1" applyBorder="1" applyAlignment="1">
      <alignment horizontal="center" vertical="center"/>
    </xf>
    <xf numFmtId="0" fontId="4" fillId="4" borderId="3" xfId="0" applyFont="1" applyFill="1" applyBorder="1" applyAlignment="1">
      <alignment horizontal="left" vertical="center"/>
    </xf>
    <xf numFmtId="0" fontId="2" fillId="4" borderId="4" xfId="0" applyFont="1" applyFill="1" applyBorder="1" applyAlignment="1">
      <alignment horizontal="left" vertical="center"/>
    </xf>
    <xf numFmtId="0" fontId="68" fillId="4" borderId="16" xfId="0" applyFont="1" applyFill="1" applyBorder="1"/>
    <xf numFmtId="0" fontId="24" fillId="4" borderId="16" xfId="0" applyFont="1" applyFill="1" applyBorder="1"/>
    <xf numFmtId="0" fontId="2" fillId="4" borderId="16" xfId="0" applyFont="1" applyFill="1" applyBorder="1"/>
    <xf numFmtId="0" fontId="69" fillId="4" borderId="6" xfId="0" applyFont="1" applyFill="1" applyBorder="1" applyAlignment="1">
      <alignment vertical="center"/>
    </xf>
    <xf numFmtId="0" fontId="6" fillId="7" borderId="17" xfId="0" applyFont="1" applyFill="1" applyBorder="1" applyAlignment="1">
      <alignment horizontal="center"/>
    </xf>
    <xf numFmtId="10" fontId="6" fillId="7" borderId="17" xfId="0" applyNumberFormat="1" applyFont="1" applyFill="1" applyBorder="1" applyAlignment="1">
      <alignment horizont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3" fontId="4" fillId="0" borderId="10" xfId="0" applyNumberFormat="1" applyFont="1" applyBorder="1" applyAlignment="1">
      <alignment horizontal="center" vertical="center"/>
    </xf>
    <xf numFmtId="3" fontId="4" fillId="0" borderId="11" xfId="0" applyNumberFormat="1" applyFont="1" applyBorder="1" applyAlignment="1">
      <alignment horizontal="center" vertical="center"/>
    </xf>
    <xf numFmtId="0" fontId="4" fillId="7" borderId="10" xfId="0" applyFont="1" applyFill="1" applyBorder="1" applyAlignment="1">
      <alignment horizontal="center" vertical="center"/>
    </xf>
    <xf numFmtId="0" fontId="4" fillId="7" borderId="9" xfId="0" applyFont="1" applyFill="1" applyBorder="1" applyAlignment="1">
      <alignment horizontal="center" vertical="center"/>
    </xf>
    <xf numFmtId="0" fontId="4" fillId="7" borderId="11" xfId="0" applyFont="1" applyFill="1" applyBorder="1" applyAlignment="1">
      <alignment horizontal="center" vertical="center"/>
    </xf>
    <xf numFmtId="0" fontId="4" fillId="6" borderId="10" xfId="0" quotePrefix="1" applyFont="1" applyFill="1" applyBorder="1" applyAlignment="1">
      <alignment horizontal="center" vertical="center"/>
    </xf>
    <xf numFmtId="0" fontId="4" fillId="6" borderId="11" xfId="0" applyFont="1" applyFill="1" applyBorder="1" applyAlignment="1">
      <alignment horizontal="center" vertical="center"/>
    </xf>
    <xf numFmtId="0" fontId="47" fillId="0" borderId="16" xfId="0" applyFont="1" applyBorder="1" applyAlignment="1">
      <alignment horizontal="center" vertical="center"/>
    </xf>
    <xf numFmtId="0" fontId="31" fillId="0" borderId="10" xfId="0" applyFont="1" applyBorder="1" applyAlignment="1">
      <alignment vertical="center"/>
    </xf>
    <xf numFmtId="0" fontId="51" fillId="0" borderId="11" xfId="0" applyFont="1" applyBorder="1" applyAlignment="1">
      <alignment vertical="center"/>
    </xf>
    <xf numFmtId="0" fontId="64" fillId="0" borderId="10" xfId="0" applyFont="1" applyBorder="1" applyAlignment="1">
      <alignment horizontal="left" vertical="center"/>
    </xf>
    <xf numFmtId="0" fontId="64" fillId="0" borderId="9" xfId="0" applyFont="1" applyBorder="1" applyAlignment="1">
      <alignment horizontal="left" vertical="center"/>
    </xf>
    <xf numFmtId="0" fontId="64" fillId="0" borderId="11" xfId="0" applyFont="1" applyBorder="1" applyAlignment="1">
      <alignment horizontal="left" vertical="center"/>
    </xf>
    <xf numFmtId="0" fontId="14" fillId="0" borderId="3" xfId="0" applyFont="1" applyBorder="1" applyAlignment="1">
      <alignment horizontal="left" vertical="center"/>
    </xf>
    <xf numFmtId="0" fontId="14" fillId="0" borderId="16" xfId="0" applyFont="1" applyBorder="1" applyAlignment="1">
      <alignment horizontal="left" vertical="center"/>
    </xf>
    <xf numFmtId="0" fontId="14" fillId="0" borderId="2" xfId="0" applyFont="1" applyBorder="1" applyAlignment="1">
      <alignment horizontal="left" vertical="center"/>
    </xf>
    <xf numFmtId="0" fontId="50" fillId="0" borderId="4" xfId="0" applyFont="1" applyBorder="1" applyAlignment="1">
      <alignment vertical="center"/>
    </xf>
    <xf numFmtId="0" fontId="0" fillId="0" borderId="0" xfId="0" applyAlignment="1">
      <alignment vertical="center"/>
    </xf>
    <xf numFmtId="0" fontId="66" fillId="0" borderId="10" xfId="0" applyFont="1" applyBorder="1" applyAlignment="1">
      <alignment horizontal="left" vertical="center"/>
    </xf>
    <xf numFmtId="0" fontId="66" fillId="0" borderId="9" xfId="0" applyFont="1" applyBorder="1" applyAlignment="1">
      <alignment horizontal="left" vertical="center"/>
    </xf>
    <xf numFmtId="0" fontId="66" fillId="0" borderId="11" xfId="0" applyFont="1" applyBorder="1" applyAlignment="1">
      <alignment horizontal="left" vertical="center"/>
    </xf>
    <xf numFmtId="0" fontId="34" fillId="0" borderId="4" xfId="0" applyFont="1" applyBorder="1" applyAlignment="1">
      <alignment horizontal="left" vertical="center"/>
    </xf>
    <xf numFmtId="0" fontId="2" fillId="0" borderId="16" xfId="0" applyFont="1" applyBorder="1" applyAlignment="1">
      <alignment horizontal="left" vertical="center"/>
    </xf>
    <xf numFmtId="0" fontId="64" fillId="0" borderId="16" xfId="0" applyFont="1" applyBorder="1" applyAlignment="1">
      <alignment horizontal="left" vertical="center"/>
    </xf>
    <xf numFmtId="0" fontId="64" fillId="0" borderId="5" xfId="0" applyFont="1" applyBorder="1" applyAlignment="1">
      <alignment horizontal="left" vertical="center"/>
    </xf>
    <xf numFmtId="0" fontId="7" fillId="0" borderId="14"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14" fillId="0" borderId="0" xfId="0" applyFont="1" applyAlignment="1">
      <alignment horizontal="left"/>
    </xf>
    <xf numFmtId="0" fontId="56" fillId="0" borderId="0" xfId="0" applyFont="1"/>
    <xf numFmtId="0" fontId="2" fillId="0" borderId="4" xfId="0" applyFont="1" applyBorder="1" applyAlignment="1">
      <alignment horizontal="left" vertical="center"/>
    </xf>
    <xf numFmtId="0" fontId="2" fillId="0" borderId="5" xfId="0" applyFont="1" applyBorder="1" applyAlignment="1">
      <alignment horizontal="left" vertical="center"/>
    </xf>
    <xf numFmtId="0" fontId="14" fillId="7" borderId="1" xfId="0" applyFont="1" applyFill="1" applyBorder="1" applyAlignment="1">
      <alignment horizontal="left"/>
    </xf>
    <xf numFmtId="0" fontId="67" fillId="7" borderId="3" xfId="0" applyFont="1" applyFill="1" applyBorder="1"/>
    <xf numFmtId="0" fontId="67" fillId="7" borderId="2" xfId="0" applyFont="1" applyFill="1" applyBorder="1"/>
    <xf numFmtId="0" fontId="8" fillId="0" borderId="6" xfId="0" applyFont="1" applyBorder="1" applyAlignment="1">
      <alignment horizontal="left"/>
    </xf>
    <xf numFmtId="0" fontId="8" fillId="0" borderId="7" xfId="0" applyFont="1" applyBorder="1" applyAlignment="1">
      <alignment horizontal="left"/>
    </xf>
    <xf numFmtId="0" fontId="8" fillId="0" borderId="8" xfId="0" applyFont="1" applyBorder="1" applyAlignment="1">
      <alignment horizontal="left"/>
    </xf>
    <xf numFmtId="0" fontId="31" fillId="0" borderId="10" xfId="0" applyFont="1" applyBorder="1" applyAlignment="1">
      <alignment horizontal="left" vertical="center" wrapText="1"/>
    </xf>
    <xf numFmtId="0" fontId="64" fillId="0" borderId="10" xfId="0" applyFont="1" applyBorder="1" applyAlignment="1">
      <alignment horizontal="left" vertical="top" wrapText="1"/>
    </xf>
    <xf numFmtId="0" fontId="64" fillId="0" borderId="9" xfId="0" applyFont="1" applyBorder="1" applyAlignment="1">
      <alignment horizontal="left" vertical="top" wrapText="1"/>
    </xf>
    <xf numFmtId="0" fontId="64" fillId="0" borderId="11" xfId="0" applyFont="1" applyBorder="1" applyAlignment="1">
      <alignment horizontal="left" vertical="top" wrapText="1"/>
    </xf>
    <xf numFmtId="0" fontId="65" fillId="0" borderId="6" xfId="0" applyFont="1" applyBorder="1" applyAlignment="1">
      <alignment horizontal="left" vertical="center"/>
    </xf>
    <xf numFmtId="0" fontId="65" fillId="0" borderId="7" xfId="0" applyFont="1" applyBorder="1" applyAlignment="1">
      <alignment horizontal="left" vertical="center"/>
    </xf>
    <xf numFmtId="0" fontId="64" fillId="0" borderId="7" xfId="0" applyFont="1" applyBorder="1" applyAlignment="1">
      <alignment horizontal="left" vertical="center"/>
    </xf>
    <xf numFmtId="0" fontId="64" fillId="0" borderId="8" xfId="0" applyFont="1" applyBorder="1" applyAlignment="1">
      <alignment horizontal="left" vertical="center"/>
    </xf>
    <xf numFmtId="0" fontId="14" fillId="0" borderId="10" xfId="0" applyFont="1" applyBorder="1" applyAlignment="1">
      <alignment horizontal="left" vertical="center"/>
    </xf>
    <xf numFmtId="0" fontId="14" fillId="0" borderId="9" xfId="0" applyFont="1" applyBorder="1" applyAlignment="1">
      <alignment horizontal="left" vertical="center"/>
    </xf>
    <xf numFmtId="0" fontId="58" fillId="0" borderId="10" xfId="0" applyFont="1" applyBorder="1" applyAlignment="1">
      <alignment horizontal="left" vertical="center"/>
    </xf>
    <xf numFmtId="0" fontId="58" fillId="0" borderId="9" xfId="0" applyFont="1" applyBorder="1" applyAlignment="1">
      <alignment horizontal="left" vertical="center"/>
    </xf>
    <xf numFmtId="0" fontId="58" fillId="0" borderId="11" xfId="0" applyFont="1" applyBorder="1" applyAlignment="1">
      <alignment horizontal="left" vertical="center"/>
    </xf>
    <xf numFmtId="0" fontId="34" fillId="0" borderId="1" xfId="0" applyFont="1" applyBorder="1" applyAlignment="1">
      <alignment horizontal="left" vertical="center"/>
    </xf>
    <xf numFmtId="0" fontId="34" fillId="0" borderId="3" xfId="0" applyFont="1" applyBorder="1" applyAlignment="1">
      <alignment horizontal="left" vertical="center"/>
    </xf>
    <xf numFmtId="0" fontId="63" fillId="6" borderId="30" xfId="0" applyFont="1" applyFill="1" applyBorder="1" applyAlignment="1">
      <alignment horizontal="left" vertical="center"/>
    </xf>
    <xf numFmtId="0" fontId="63" fillId="6" borderId="31" xfId="0" applyFont="1" applyFill="1" applyBorder="1" applyAlignment="1">
      <alignment horizontal="left" vertical="center"/>
    </xf>
    <xf numFmtId="0" fontId="63" fillId="6" borderId="32" xfId="0" applyFont="1" applyFill="1" applyBorder="1" applyAlignment="1">
      <alignment horizontal="left" vertical="center"/>
    </xf>
    <xf numFmtId="0" fontId="64" fillId="0" borderId="4" xfId="0" applyFont="1" applyBorder="1" applyAlignment="1">
      <alignment horizontal="left" vertical="center" wrapText="1"/>
    </xf>
    <xf numFmtId="0" fontId="67" fillId="0" borderId="5" xfId="0" applyFont="1" applyBorder="1" applyAlignment="1">
      <alignment vertical="center"/>
    </xf>
    <xf numFmtId="0" fontId="64" fillId="0" borderId="4" xfId="0" applyFont="1" applyBorder="1" applyAlignment="1">
      <alignment horizontal="left" vertical="center"/>
    </xf>
    <xf numFmtId="0" fontId="64" fillId="0" borderId="6" xfId="0" applyFont="1" applyBorder="1" applyAlignment="1">
      <alignment horizontal="left" vertical="center"/>
    </xf>
    <xf numFmtId="0" fontId="67" fillId="0" borderId="8" xfId="0" applyFont="1" applyBorder="1" applyAlignment="1">
      <alignment vertical="center"/>
    </xf>
    <xf numFmtId="0" fontId="4" fillId="0" borderId="1" xfId="0" applyFont="1" applyBorder="1" applyAlignment="1">
      <alignment horizontal="left" vertical="center"/>
    </xf>
    <xf numFmtId="0" fontId="4" fillId="0" borderId="3" xfId="0" applyFont="1" applyBorder="1" applyAlignment="1">
      <alignment horizontal="left" vertical="center"/>
    </xf>
    <xf numFmtId="0" fontId="4" fillId="0" borderId="2" xfId="0" applyFont="1" applyBorder="1" applyAlignment="1">
      <alignment horizontal="left" vertical="center"/>
    </xf>
    <xf numFmtId="0" fontId="0" fillId="0" borderId="9" xfId="0" applyBorder="1" applyAlignment="1">
      <alignment horizontal="left"/>
    </xf>
    <xf numFmtId="0" fontId="64" fillId="0" borderId="1" xfId="0" applyFont="1" applyBorder="1" applyAlignment="1">
      <alignment horizontal="left" vertical="center"/>
    </xf>
    <xf numFmtId="0" fontId="67" fillId="0" borderId="2" xfId="0" applyFont="1" applyBorder="1" applyAlignment="1">
      <alignment vertical="center"/>
    </xf>
    <xf numFmtId="0" fontId="64" fillId="0" borderId="3" xfId="0" applyFont="1" applyBorder="1" applyAlignment="1">
      <alignment horizontal="left" vertical="center"/>
    </xf>
    <xf numFmtId="0" fontId="64" fillId="0" borderId="2" xfId="0" applyFont="1" applyBorder="1" applyAlignment="1">
      <alignment horizontal="left" vertical="center"/>
    </xf>
    <xf numFmtId="3" fontId="64" fillId="0" borderId="10" xfId="0" applyNumberFormat="1" applyFont="1" applyBorder="1" applyAlignment="1">
      <alignment horizontal="left" vertical="center"/>
    </xf>
    <xf numFmtId="3" fontId="64" fillId="0" borderId="9" xfId="0" applyNumberFormat="1" applyFont="1" applyBorder="1" applyAlignment="1">
      <alignment horizontal="left" vertical="center"/>
    </xf>
    <xf numFmtId="3" fontId="64" fillId="0" borderId="11" xfId="0" applyNumberFormat="1" applyFont="1" applyBorder="1" applyAlignment="1">
      <alignment horizontal="left" vertical="center"/>
    </xf>
    <xf numFmtId="0" fontId="64" fillId="0" borderId="4" xfId="0" applyFont="1" applyBorder="1" applyAlignment="1">
      <alignment horizontal="left"/>
    </xf>
    <xf numFmtId="0" fontId="64" fillId="0" borderId="16" xfId="0" applyFont="1" applyBorder="1" applyAlignment="1">
      <alignment horizontal="left"/>
    </xf>
    <xf numFmtId="0" fontId="64" fillId="0" borderId="5" xfId="0" applyFont="1" applyBorder="1" applyAlignment="1">
      <alignment horizontal="left"/>
    </xf>
    <xf numFmtId="0" fontId="2" fillId="0" borderId="0" xfId="0" applyFont="1" applyAlignment="1">
      <alignment horizontal="left"/>
    </xf>
    <xf numFmtId="0" fontId="0" fillId="0" borderId="0" xfId="0"/>
    <xf numFmtId="0" fontId="2" fillId="0" borderId="3" xfId="0" applyFont="1" applyBorder="1" applyAlignment="1">
      <alignment horizontal="center"/>
    </xf>
    <xf numFmtId="0" fontId="14" fillId="0" borderId="11" xfId="0" applyFont="1" applyBorder="1" applyAlignment="1">
      <alignment horizontal="left" vertical="center"/>
    </xf>
    <xf numFmtId="0" fontId="14" fillId="0" borderId="17" xfId="0" applyFont="1" applyBorder="1" applyAlignment="1">
      <alignment horizontal="left" vertical="center"/>
    </xf>
    <xf numFmtId="15" fontId="64" fillId="0" borderId="17" xfId="0" applyNumberFormat="1" applyFont="1" applyBorder="1" applyAlignment="1">
      <alignment horizontal="left" vertical="center"/>
    </xf>
    <xf numFmtId="0" fontId="64" fillId="0" borderId="17" xfId="0" applyFont="1" applyBorder="1" applyAlignment="1">
      <alignment horizontal="left" vertical="center"/>
    </xf>
    <xf numFmtId="0" fontId="4" fillId="0" borderId="10" xfId="0" applyFont="1" applyBorder="1" applyAlignment="1">
      <alignment horizontal="center" vertical="top"/>
    </xf>
    <xf numFmtId="0" fontId="59" fillId="0" borderId="9" xfId="0" applyFont="1" applyBorder="1"/>
    <xf numFmtId="0" fontId="59" fillId="0" borderId="11" xfId="0" applyFont="1" applyBorder="1"/>
    <xf numFmtId="0" fontId="4" fillId="0" borderId="1" xfId="0" applyFont="1" applyBorder="1" applyAlignment="1">
      <alignment horizontal="center" vertical="top" wrapText="1"/>
    </xf>
    <xf numFmtId="0" fontId="4" fillId="0" borderId="6" xfId="0" applyFont="1" applyBorder="1" applyAlignment="1">
      <alignment horizontal="center" vertical="top" wrapText="1"/>
    </xf>
    <xf numFmtId="0" fontId="4" fillId="0" borderId="3" xfId="0" applyFont="1" applyBorder="1" applyAlignment="1">
      <alignment horizontal="center" vertical="top" wrapText="1"/>
    </xf>
    <xf numFmtId="0" fontId="4" fillId="0" borderId="2" xfId="0" applyFont="1" applyBorder="1" applyAlignment="1">
      <alignment horizontal="center" vertical="top" wrapText="1"/>
    </xf>
    <xf numFmtId="0" fontId="4" fillId="0" borderId="7" xfId="0" applyFont="1" applyBorder="1" applyAlignment="1">
      <alignment horizontal="center" vertical="top" wrapText="1"/>
    </xf>
    <xf numFmtId="0" fontId="4" fillId="0" borderId="8" xfId="0" applyFont="1" applyBorder="1" applyAlignment="1">
      <alignment horizontal="center" vertical="top" wrapText="1"/>
    </xf>
    <xf numFmtId="0" fontId="21" fillId="0" borderId="7" xfId="0" applyFont="1" applyBorder="1" applyAlignment="1">
      <alignment horizontal="center"/>
    </xf>
    <xf numFmtId="0" fontId="4" fillId="0" borderId="1" xfId="0" applyFont="1" applyBorder="1" applyAlignment="1">
      <alignment horizontal="center" vertical="top"/>
    </xf>
    <xf numFmtId="0" fontId="4" fillId="0" borderId="2" xfId="0" applyFont="1" applyBorder="1" applyAlignment="1">
      <alignment horizontal="center" vertical="top"/>
    </xf>
    <xf numFmtId="0" fontId="4" fillId="0" borderId="6" xfId="0" applyFont="1" applyBorder="1" applyAlignment="1">
      <alignment horizontal="center" vertical="top"/>
    </xf>
    <xf numFmtId="0" fontId="4" fillId="0" borderId="8" xfId="0" applyFont="1" applyBorder="1" applyAlignment="1">
      <alignment horizontal="center" vertical="top"/>
    </xf>
    <xf numFmtId="0" fontId="4" fillId="0" borderId="14" xfId="0" applyFont="1" applyBorder="1" applyAlignment="1">
      <alignment horizontal="center" vertical="top" wrapText="1"/>
    </xf>
    <xf numFmtId="0" fontId="59" fillId="0" borderId="13" xfId="0" applyFont="1" applyBorder="1"/>
    <xf numFmtId="3" fontId="4" fillId="7" borderId="10" xfId="0" applyNumberFormat="1" applyFont="1" applyFill="1" applyBorder="1" applyAlignment="1">
      <alignment horizontal="center" vertical="center"/>
    </xf>
    <xf numFmtId="3" fontId="4" fillId="7" borderId="11" xfId="0" applyNumberFormat="1" applyFont="1" applyFill="1" applyBorder="1" applyAlignment="1">
      <alignment horizontal="center" vertical="center"/>
    </xf>
    <xf numFmtId="0" fontId="4" fillId="6" borderId="41" xfId="0" quotePrefix="1" applyFont="1" applyFill="1" applyBorder="1" applyAlignment="1">
      <alignment horizontal="center" vertical="center"/>
    </xf>
    <xf numFmtId="0" fontId="4" fillId="6" borderId="11" xfId="0" quotePrefix="1" applyFont="1" applyFill="1" applyBorder="1" applyAlignment="1">
      <alignment horizontal="center" vertical="center"/>
    </xf>
    <xf numFmtId="0" fontId="4" fillId="0" borderId="16" xfId="0" applyFont="1" applyBorder="1" applyAlignment="1">
      <alignment horizontal="center"/>
    </xf>
    <xf numFmtId="0" fontId="60" fillId="0" borderId="0" xfId="0" applyFont="1"/>
    <xf numFmtId="0" fontId="61" fillId="0" borderId="0" xfId="0" applyFont="1"/>
    <xf numFmtId="3" fontId="4" fillId="0" borderId="21" xfId="0" applyNumberFormat="1" applyFont="1" applyBorder="1" applyAlignment="1">
      <alignment horizontal="center" vertical="center"/>
    </xf>
    <xf numFmtId="0" fontId="4" fillId="0" borderId="3" xfId="0" applyFont="1" applyBorder="1" applyAlignment="1">
      <alignment horizontal="center"/>
    </xf>
    <xf numFmtId="3" fontId="4" fillId="0" borderId="18" xfId="0" applyNumberFormat="1" applyFont="1" applyBorder="1" applyAlignment="1">
      <alignment horizontal="center" vertical="center"/>
    </xf>
    <xf numFmtId="3" fontId="4" fillId="0" borderId="19" xfId="0" applyNumberFormat="1" applyFont="1" applyBorder="1" applyAlignment="1">
      <alignment horizontal="center" vertical="center"/>
    </xf>
    <xf numFmtId="0" fontId="4" fillId="0" borderId="17" xfId="0" applyFont="1" applyBorder="1" applyAlignment="1">
      <alignment horizontal="center"/>
    </xf>
    <xf numFmtId="0" fontId="6" fillId="0" borderId="16" xfId="0" applyFont="1" applyBorder="1" applyAlignment="1">
      <alignment horizontal="center"/>
    </xf>
    <xf numFmtId="0" fontId="6" fillId="0" borderId="22" xfId="0" applyFont="1" applyBorder="1" applyAlignment="1">
      <alignment horizontal="center"/>
    </xf>
    <xf numFmtId="15" fontId="55" fillId="8" borderId="18" xfId="0" applyNumberFormat="1" applyFont="1" applyFill="1" applyBorder="1" applyAlignment="1">
      <alignment horizontal="center"/>
    </xf>
    <xf numFmtId="0" fontId="55" fillId="8" borderId="20" xfId="0" applyFont="1" applyFill="1" applyBorder="1" applyAlignment="1">
      <alignment horizontal="center"/>
    </xf>
    <xf numFmtId="0" fontId="55" fillId="8" borderId="19" xfId="0" applyFont="1" applyFill="1" applyBorder="1" applyAlignment="1">
      <alignment horizontal="center"/>
    </xf>
    <xf numFmtId="0" fontId="33" fillId="7" borderId="0" xfId="0" applyFont="1" applyFill="1" applyAlignment="1">
      <alignment horizontal="center" vertical="center" wrapText="1"/>
    </xf>
    <xf numFmtId="0" fontId="33" fillId="0" borderId="0" xfId="0" applyFont="1" applyAlignment="1">
      <alignment horizontal="center" vertical="center" wrapText="1"/>
    </xf>
    <xf numFmtId="0" fontId="1" fillId="0" borderId="0" xfId="0" applyFont="1" applyAlignment="1">
      <alignment horizontal="center" vertical="center" wrapText="1"/>
    </xf>
    <xf numFmtId="0" fontId="14" fillId="0" borderId="0" xfId="0" applyFont="1"/>
    <xf numFmtId="0" fontId="45" fillId="0" borderId="16" xfId="0" applyFont="1" applyBorder="1" applyAlignment="1">
      <alignment horizontal="center" vertical="center" wrapText="1"/>
    </xf>
    <xf numFmtId="0" fontId="12" fillId="8" borderId="17" xfId="0" applyFont="1" applyFill="1" applyBorder="1" applyAlignment="1">
      <alignment horizontal="center"/>
    </xf>
    <xf numFmtId="0" fontId="6" fillId="0" borderId="16" xfId="0" applyFont="1" applyBorder="1" applyAlignment="1">
      <alignment horizontal="left" vertical="center"/>
    </xf>
    <xf numFmtId="0" fontId="45" fillId="0" borderId="16" xfId="0" applyFont="1" applyBorder="1" applyAlignment="1">
      <alignment horizontal="center"/>
    </xf>
    <xf numFmtId="0" fontId="55" fillId="8" borderId="17" xfId="0" applyFont="1" applyFill="1" applyBorder="1" applyAlignment="1">
      <alignment horizontal="center"/>
    </xf>
    <xf numFmtId="0" fontId="2" fillId="7" borderId="33" xfId="0" applyFont="1" applyFill="1" applyBorder="1" applyAlignment="1">
      <alignment horizontal="center"/>
    </xf>
    <xf numFmtId="0" fontId="2" fillId="7" borderId="34" xfId="0" applyFont="1" applyFill="1" applyBorder="1" applyAlignment="1">
      <alignment horizontal="center"/>
    </xf>
    <xf numFmtId="0" fontId="2" fillId="7" borderId="35" xfId="0" applyFont="1" applyFill="1" applyBorder="1" applyAlignment="1">
      <alignment horizontal="center"/>
    </xf>
    <xf numFmtId="0" fontId="2" fillId="7" borderId="36" xfId="0" applyFont="1" applyFill="1" applyBorder="1" applyAlignment="1">
      <alignment horizontal="center"/>
    </xf>
    <xf numFmtId="0" fontId="2" fillId="7" borderId="16" xfId="0" applyFont="1" applyFill="1" applyBorder="1" applyAlignment="1">
      <alignment horizontal="center"/>
    </xf>
    <xf numFmtId="0" fontId="2" fillId="7" borderId="37" xfId="0" applyFont="1" applyFill="1" applyBorder="1" applyAlignment="1">
      <alignment horizontal="center"/>
    </xf>
    <xf numFmtId="0" fontId="2" fillId="7" borderId="38" xfId="0" applyFont="1" applyFill="1" applyBorder="1" applyAlignment="1">
      <alignment horizontal="center"/>
    </xf>
    <xf numFmtId="0" fontId="2" fillId="7" borderId="39" xfId="0" applyFont="1" applyFill="1" applyBorder="1" applyAlignment="1">
      <alignment horizontal="center"/>
    </xf>
    <xf numFmtId="0" fontId="2" fillId="7" borderId="40" xfId="0" applyFont="1" applyFill="1" applyBorder="1" applyAlignment="1">
      <alignment horizontal="center"/>
    </xf>
    <xf numFmtId="0" fontId="34" fillId="0" borderId="10" xfId="0" applyFont="1" applyBorder="1" applyAlignment="1">
      <alignment horizontal="left" vertical="center"/>
    </xf>
    <xf numFmtId="0" fontId="2" fillId="0" borderId="9" xfId="0" applyFont="1" applyBorder="1" applyAlignment="1">
      <alignment horizontal="left" vertical="center"/>
    </xf>
    <xf numFmtId="0" fontId="2" fillId="0" borderId="11" xfId="0" applyFont="1" applyBorder="1" applyAlignment="1">
      <alignment horizontal="left" vertical="center"/>
    </xf>
    <xf numFmtId="0" fontId="29" fillId="0" borderId="10" xfId="0" applyFont="1" applyBorder="1" applyAlignment="1">
      <alignment horizontal="left" vertical="center"/>
    </xf>
    <xf numFmtId="0" fontId="29" fillId="0" borderId="9" xfId="0" applyFont="1" applyBorder="1" applyAlignment="1">
      <alignment horizontal="left" vertical="center"/>
    </xf>
    <xf numFmtId="0" fontId="29" fillId="0" borderId="11" xfId="0" applyFont="1" applyBorder="1" applyAlignment="1">
      <alignment horizontal="left" vertical="center"/>
    </xf>
    <xf numFmtId="0" fontId="34" fillId="0" borderId="16" xfId="0" applyFont="1" applyBorder="1" applyAlignment="1">
      <alignment horizontal="left" vertical="center"/>
    </xf>
    <xf numFmtId="0" fontId="0" fillId="3" borderId="23" xfId="0" applyFill="1" applyBorder="1" applyAlignment="1">
      <alignment horizontal="center"/>
    </xf>
    <xf numFmtId="0" fontId="0" fillId="3" borderId="24" xfId="0" applyFill="1" applyBorder="1" applyAlignment="1">
      <alignment horizontal="center"/>
    </xf>
    <xf numFmtId="0" fontId="0" fillId="3" borderId="25" xfId="0" applyFill="1" applyBorder="1" applyAlignment="1">
      <alignment horizontal="center"/>
    </xf>
    <xf numFmtId="0" fontId="0" fillId="3" borderId="26" xfId="0" applyFill="1" applyBorder="1" applyAlignment="1">
      <alignment horizontal="center"/>
    </xf>
    <xf numFmtId="0" fontId="0" fillId="3" borderId="16" xfId="0" applyFill="1" applyBorder="1" applyAlignment="1">
      <alignment horizontal="center"/>
    </xf>
    <xf numFmtId="0" fontId="0" fillId="3" borderId="22" xfId="0"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0" fontId="12" fillId="5" borderId="17" xfId="0" applyFont="1" applyFill="1" applyBorder="1" applyAlignment="1">
      <alignment horizontal="center"/>
    </xf>
    <xf numFmtId="0" fontId="5" fillId="5" borderId="17" xfId="0" applyFont="1" applyFill="1" applyBorder="1" applyAlignment="1">
      <alignment horizontal="center"/>
    </xf>
    <xf numFmtId="0" fontId="5" fillId="5" borderId="18" xfId="0" applyFont="1" applyFill="1" applyBorder="1" applyAlignment="1">
      <alignment horizontal="center"/>
    </xf>
    <xf numFmtId="0" fontId="5" fillId="5" borderId="20" xfId="0" applyFont="1" applyFill="1" applyBorder="1" applyAlignment="1">
      <alignment horizontal="center"/>
    </xf>
    <xf numFmtId="0" fontId="5" fillId="5" borderId="19" xfId="0" applyFont="1" applyFill="1" applyBorder="1" applyAlignment="1">
      <alignment horizontal="center"/>
    </xf>
    <xf numFmtId="0" fontId="6" fillId="0" borderId="22" xfId="0" applyFont="1" applyBorder="1" applyAlignment="1">
      <alignment horizontal="left" vertical="center"/>
    </xf>
    <xf numFmtId="0" fontId="31" fillId="0" borderId="10" xfId="0" applyFont="1" applyBorder="1" applyAlignment="1">
      <alignment horizontal="left" vertical="center"/>
    </xf>
    <xf numFmtId="0" fontId="4" fillId="0" borderId="9" xfId="0" applyFont="1" applyBorder="1" applyAlignment="1">
      <alignment horizontal="left" vertical="center"/>
    </xf>
    <xf numFmtId="0" fontId="35" fillId="0" borderId="1" xfId="0" applyFont="1" applyBorder="1" applyAlignment="1">
      <alignment horizontal="left" vertical="center"/>
    </xf>
    <xf numFmtId="0" fontId="35" fillId="0" borderId="3" xfId="0" applyFont="1" applyBorder="1" applyAlignment="1">
      <alignment horizontal="left" vertical="center"/>
    </xf>
    <xf numFmtId="0" fontId="35" fillId="0" borderId="2" xfId="0" applyFont="1" applyBorder="1" applyAlignment="1">
      <alignment horizontal="left" vertical="center"/>
    </xf>
    <xf numFmtId="0" fontId="37" fillId="0" borderId="4" xfId="0" applyFont="1" applyBorder="1" applyAlignment="1">
      <alignment horizontal="left" vertical="center"/>
    </xf>
    <xf numFmtId="0" fontId="37" fillId="0" borderId="16" xfId="0" applyFont="1" applyBorder="1" applyAlignment="1">
      <alignment horizontal="left" vertical="center"/>
    </xf>
    <xf numFmtId="0" fontId="37" fillId="0" borderId="5" xfId="0" applyFont="1" applyBorder="1" applyAlignment="1">
      <alignment horizontal="left" vertical="center"/>
    </xf>
    <xf numFmtId="0" fontId="4" fillId="0" borderId="1" xfId="0" applyFont="1" applyBorder="1" applyAlignment="1">
      <alignment horizontal="left"/>
    </xf>
    <xf numFmtId="0" fontId="3" fillId="0" borderId="3" xfId="0" applyFont="1" applyBorder="1"/>
    <xf numFmtId="0" fontId="3" fillId="0" borderId="2" xfId="0" applyFont="1" applyBorder="1"/>
    <xf numFmtId="0" fontId="37" fillId="0" borderId="10" xfId="0" applyFont="1" applyBorder="1" applyAlignment="1">
      <alignment horizontal="left" vertical="top" wrapText="1"/>
    </xf>
    <xf numFmtId="0" fontId="37" fillId="0" borderId="9" xfId="0" applyFont="1" applyBorder="1" applyAlignment="1">
      <alignment horizontal="left" vertical="top" wrapText="1"/>
    </xf>
    <xf numFmtId="0" fontId="37" fillId="0" borderId="11" xfId="0" applyFont="1" applyBorder="1" applyAlignment="1">
      <alignment horizontal="left" vertical="top" wrapText="1"/>
    </xf>
    <xf numFmtId="0" fontId="34" fillId="0" borderId="6" xfId="0" applyFont="1" applyBorder="1" applyAlignment="1">
      <alignment horizontal="left"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0" fontId="31" fillId="0" borderId="9" xfId="0" applyFont="1" applyBorder="1" applyAlignment="1">
      <alignment horizontal="left" vertical="center"/>
    </xf>
    <xf numFmtId="0" fontId="2" fillId="0" borderId="10" xfId="0" applyFont="1" applyBorder="1" applyAlignment="1">
      <alignment horizontal="left" vertical="center"/>
    </xf>
    <xf numFmtId="0" fontId="7" fillId="4" borderId="14" xfId="0" applyFont="1" applyFill="1" applyBorder="1" applyAlignment="1">
      <alignment horizontal="center" vertical="center"/>
    </xf>
    <xf numFmtId="0" fontId="7" fillId="4" borderId="12" xfId="0" applyFont="1" applyFill="1" applyBorder="1" applyAlignment="1">
      <alignment horizontal="center" vertical="center"/>
    </xf>
    <xf numFmtId="0" fontId="7" fillId="4" borderId="13" xfId="0" applyFont="1" applyFill="1" applyBorder="1" applyAlignment="1">
      <alignment horizontal="center" vertical="center"/>
    </xf>
    <xf numFmtId="0" fontId="34" fillId="0" borderId="9" xfId="0" applyFont="1" applyBorder="1" applyAlignment="1">
      <alignment horizontal="left" vertical="center"/>
    </xf>
    <xf numFmtId="3" fontId="2" fillId="0" borderId="10" xfId="0" applyNumberFormat="1" applyFont="1" applyBorder="1" applyAlignment="1">
      <alignment horizontal="left" vertical="center"/>
    </xf>
    <xf numFmtId="3" fontId="2" fillId="0" borderId="9" xfId="0" applyNumberFormat="1" applyFont="1" applyBorder="1" applyAlignment="1">
      <alignment horizontal="left" vertical="center"/>
    </xf>
    <xf numFmtId="3" fontId="2" fillId="0" borderId="11" xfId="0" applyNumberFormat="1" applyFont="1" applyBorder="1" applyAlignment="1">
      <alignment horizontal="left" vertical="center"/>
    </xf>
    <xf numFmtId="0" fontId="37" fillId="0" borderId="4" xfId="0" applyFont="1" applyBorder="1" applyAlignment="1">
      <alignment horizontal="left"/>
    </xf>
    <xf numFmtId="0" fontId="37" fillId="0" borderId="16" xfId="0" applyFont="1" applyBorder="1" applyAlignment="1">
      <alignment horizontal="left"/>
    </xf>
    <xf numFmtId="0" fontId="37" fillId="0" borderId="5" xfId="0" applyFont="1" applyBorder="1" applyAlignment="1">
      <alignment horizontal="left"/>
    </xf>
    <xf numFmtId="0" fontId="3" fillId="0" borderId="2" xfId="0" applyFont="1" applyBorder="1" applyAlignment="1">
      <alignment vertical="center"/>
    </xf>
    <xf numFmtId="0" fontId="34" fillId="0" borderId="2" xfId="0" applyFont="1" applyBorder="1" applyAlignment="1">
      <alignment horizontal="left" vertical="center"/>
    </xf>
    <xf numFmtId="0" fontId="34" fillId="0" borderId="4" xfId="0" applyFont="1" applyBorder="1" applyAlignment="1">
      <alignment horizontal="left" vertical="center" wrapText="1"/>
    </xf>
    <xf numFmtId="0" fontId="3" fillId="0" borderId="5" xfId="0" applyFont="1" applyBorder="1" applyAlignment="1">
      <alignment vertical="center"/>
    </xf>
    <xf numFmtId="0" fontId="34" fillId="0" borderId="5" xfId="0" applyFont="1" applyBorder="1" applyAlignment="1">
      <alignment horizontal="left" vertical="center"/>
    </xf>
    <xf numFmtId="0" fontId="3" fillId="0" borderId="8" xfId="0" applyFont="1" applyBorder="1" applyAlignment="1">
      <alignment vertical="center"/>
    </xf>
    <xf numFmtId="0" fontId="34" fillId="0" borderId="7" xfId="0" applyFont="1" applyBorder="1" applyAlignment="1">
      <alignment horizontal="left" vertical="center"/>
    </xf>
    <xf numFmtId="0" fontId="34" fillId="0" borderId="8" xfId="0" applyFont="1" applyBorder="1" applyAlignment="1">
      <alignment horizontal="left" vertical="center"/>
    </xf>
    <xf numFmtId="0" fontId="4" fillId="0" borderId="10" xfId="0" applyFont="1" applyBorder="1" applyAlignment="1">
      <alignment horizontal="left" vertical="center"/>
    </xf>
    <xf numFmtId="0" fontId="4" fillId="0" borderId="11" xfId="0" applyFont="1" applyBorder="1" applyAlignment="1">
      <alignment horizontal="left" vertical="center"/>
    </xf>
    <xf numFmtId="0" fontId="34" fillId="0" borderId="11" xfId="0" applyFont="1" applyBorder="1" applyAlignment="1">
      <alignment horizontal="left" vertical="center"/>
    </xf>
    <xf numFmtId="0" fontId="31" fillId="0" borderId="17" xfId="0" applyFont="1" applyBorder="1" applyAlignment="1">
      <alignment horizontal="left" vertical="center"/>
    </xf>
    <xf numFmtId="0" fontId="4" fillId="0" borderId="17" xfId="0" applyFont="1" applyBorder="1" applyAlignment="1">
      <alignment horizontal="left" vertical="center"/>
    </xf>
    <xf numFmtId="15" fontId="2" fillId="0" borderId="17" xfId="0" applyNumberFormat="1" applyFont="1" applyBorder="1" applyAlignment="1">
      <alignment horizontal="left" vertical="center"/>
    </xf>
    <xf numFmtId="0" fontId="2" fillId="0" borderId="17" xfId="0" applyFont="1" applyBorder="1" applyAlignment="1">
      <alignment horizontal="left" vertical="center"/>
    </xf>
    <xf numFmtId="0" fontId="2" fillId="0" borderId="10" xfId="0" applyFont="1" applyBorder="1" applyAlignment="1">
      <alignment horizontal="center" vertical="top"/>
    </xf>
    <xf numFmtId="0" fontId="3" fillId="0" borderId="11" xfId="0" applyFont="1" applyBorder="1"/>
    <xf numFmtId="0" fontId="2" fillId="0" borderId="1" xfId="0" applyFont="1" applyBorder="1" applyAlignment="1">
      <alignment horizontal="center" vertical="top"/>
    </xf>
    <xf numFmtId="0" fontId="2" fillId="0" borderId="2" xfId="0" applyFont="1" applyBorder="1" applyAlignment="1">
      <alignment horizontal="center" vertical="top"/>
    </xf>
    <xf numFmtId="0" fontId="2" fillId="0" borderId="6" xfId="0" applyFont="1" applyBorder="1" applyAlignment="1">
      <alignment horizontal="center" vertical="top"/>
    </xf>
    <xf numFmtId="0" fontId="2" fillId="0" borderId="8" xfId="0" applyFont="1" applyBorder="1" applyAlignment="1">
      <alignment horizontal="center" vertical="top"/>
    </xf>
    <xf numFmtId="0" fontId="2" fillId="0" borderId="14" xfId="0" applyFont="1" applyBorder="1" applyAlignment="1">
      <alignment horizontal="center" vertical="top" wrapText="1"/>
    </xf>
    <xf numFmtId="0" fontId="3" fillId="0" borderId="13" xfId="0" applyFont="1" applyBorder="1"/>
    <xf numFmtId="0" fontId="2" fillId="0" borderId="1" xfId="0" applyFont="1" applyBorder="1" applyAlignment="1">
      <alignment horizontal="center" vertical="top" wrapText="1"/>
    </xf>
    <xf numFmtId="0" fontId="2" fillId="0" borderId="2" xfId="0" applyFont="1" applyBorder="1" applyAlignment="1">
      <alignment horizontal="center" vertical="top" wrapText="1"/>
    </xf>
    <xf numFmtId="0" fontId="2" fillId="0" borderId="6" xfId="0" applyFont="1" applyBorder="1" applyAlignment="1">
      <alignment horizontal="center" vertical="top" wrapText="1"/>
    </xf>
    <xf numFmtId="0" fontId="2" fillId="0" borderId="8" xfId="0" applyFont="1" applyBorder="1" applyAlignment="1">
      <alignment horizontal="center" vertical="top" wrapText="1"/>
    </xf>
    <xf numFmtId="0" fontId="3" fillId="0" borderId="9" xfId="0" applyFont="1" applyBorder="1"/>
    <xf numFmtId="0" fontId="2" fillId="0" borderId="10" xfId="0" applyFont="1" applyBorder="1" applyAlignment="1">
      <alignment horizontal="center" vertical="center"/>
    </xf>
    <xf numFmtId="0" fontId="2" fillId="0" borderId="11" xfId="0" applyFont="1" applyBorder="1" applyAlignment="1">
      <alignment horizontal="center" vertical="center"/>
    </xf>
    <xf numFmtId="3" fontId="2" fillId="0" borderId="10" xfId="0" applyNumberFormat="1" applyFont="1" applyBorder="1" applyAlignment="1">
      <alignment horizontal="center" vertical="center"/>
    </xf>
    <xf numFmtId="3" fontId="2" fillId="0" borderId="11" xfId="0" applyNumberFormat="1" applyFont="1" applyBorder="1" applyAlignment="1">
      <alignment horizontal="center" vertical="center"/>
    </xf>
    <xf numFmtId="0" fontId="41" fillId="0" borderId="7" xfId="0" applyFont="1" applyBorder="1" applyAlignment="1">
      <alignment horizontal="center"/>
    </xf>
    <xf numFmtId="3" fontId="2" fillId="0" borderId="18" xfId="0" applyNumberFormat="1" applyFont="1" applyBorder="1" applyAlignment="1">
      <alignment horizontal="center" vertical="center"/>
    </xf>
    <xf numFmtId="3" fontId="2" fillId="0" borderId="19" xfId="0" applyNumberFormat="1" applyFont="1" applyBorder="1" applyAlignment="1">
      <alignment horizontal="center" vertical="center"/>
    </xf>
    <xf numFmtId="0" fontId="2" fillId="0" borderId="17" xfId="0" applyFont="1" applyBorder="1" applyAlignment="1">
      <alignment horizontal="center"/>
    </xf>
    <xf numFmtId="0" fontId="2" fillId="0" borderId="16" xfId="0" applyFont="1" applyBorder="1" applyAlignment="1">
      <alignment horizontal="center"/>
    </xf>
    <xf numFmtId="0" fontId="39" fillId="0" borderId="0" xfId="0" applyFont="1"/>
    <xf numFmtId="0" fontId="40" fillId="0" borderId="0" xfId="0" applyFont="1"/>
    <xf numFmtId="3" fontId="2" fillId="0" borderId="21" xfId="0" applyNumberFormat="1" applyFont="1" applyBorder="1" applyAlignment="1">
      <alignment horizontal="center" vertical="center"/>
    </xf>
    <xf numFmtId="0" fontId="34" fillId="0" borderId="10" xfId="0" applyFont="1" applyBorder="1" applyAlignment="1">
      <alignment horizontal="center" vertical="center"/>
    </xf>
    <xf numFmtId="0" fontId="26" fillId="0" borderId="0" xfId="0" applyFont="1"/>
    <xf numFmtId="0" fontId="30" fillId="0" borderId="0" xfId="0" applyFont="1"/>
    <xf numFmtId="0" fontId="34" fillId="4" borderId="10" xfId="0" applyFont="1" applyFill="1" applyBorder="1" applyAlignment="1">
      <alignment horizontal="center" vertical="center"/>
    </xf>
    <xf numFmtId="0" fontId="2" fillId="4" borderId="11" xfId="0" applyFont="1" applyFill="1" applyBorder="1" applyAlignment="1">
      <alignment horizontal="center" vertical="center"/>
    </xf>
    <xf numFmtId="0" fontId="2" fillId="4" borderId="10" xfId="0" applyFont="1" applyFill="1" applyBorder="1" applyAlignment="1">
      <alignment horizontal="center" vertical="center"/>
    </xf>
    <xf numFmtId="0" fontId="34" fillId="4" borderId="10"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17" fillId="0" borderId="0" xfId="0" applyFont="1"/>
    <xf numFmtId="3" fontId="2" fillId="0" borderId="17" xfId="0" applyNumberFormat="1" applyFont="1" applyBorder="1" applyAlignment="1">
      <alignment horizontal="center"/>
    </xf>
    <xf numFmtId="3" fontId="2" fillId="0" borderId="3" xfId="0" applyNumberFormat="1"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47625</xdr:colOff>
      <xdr:row>0</xdr:row>
      <xdr:rowOff>0</xdr:rowOff>
    </xdr:from>
    <xdr:to>
      <xdr:col>15</xdr:col>
      <xdr:colOff>676275</xdr:colOff>
      <xdr:row>0</xdr:row>
      <xdr:rowOff>375981</xdr:rowOff>
    </xdr:to>
    <xdr:pic>
      <xdr:nvPicPr>
        <xdr:cNvPr id="2" name="Picture 1">
          <a:extLst>
            <a:ext uri="{FF2B5EF4-FFF2-40B4-BE49-F238E27FC236}">
              <a16:creationId xmlns:a16="http://schemas.microsoft.com/office/drawing/2014/main" id="{A60DAC28-A449-49A8-A1CC-C86C4BBFF59B}"/>
            </a:ext>
          </a:extLst>
        </xdr:cNvPr>
        <xdr:cNvPicPr>
          <a:picLocks noChangeAspect="1"/>
        </xdr:cNvPicPr>
      </xdr:nvPicPr>
      <xdr:blipFill>
        <a:blip xmlns:r="http://schemas.openxmlformats.org/officeDocument/2006/relationships" r:embed="rId1"/>
        <a:stretch>
          <a:fillRect/>
        </a:stretch>
      </xdr:blipFill>
      <xdr:spPr>
        <a:xfrm>
          <a:off x="11296650" y="0"/>
          <a:ext cx="1438275" cy="3759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47625</xdr:colOff>
      <xdr:row>0</xdr:row>
      <xdr:rowOff>0</xdr:rowOff>
    </xdr:from>
    <xdr:to>
      <xdr:col>15</xdr:col>
      <xdr:colOff>676275</xdr:colOff>
      <xdr:row>0</xdr:row>
      <xdr:rowOff>375981</xdr:rowOff>
    </xdr:to>
    <xdr:pic>
      <xdr:nvPicPr>
        <xdr:cNvPr id="2" name="Picture 1">
          <a:extLst>
            <a:ext uri="{FF2B5EF4-FFF2-40B4-BE49-F238E27FC236}">
              <a16:creationId xmlns:a16="http://schemas.microsoft.com/office/drawing/2014/main" id="{D90CEB03-5ACC-4311-ADE8-75DDB0886B6F}"/>
            </a:ext>
          </a:extLst>
        </xdr:cNvPr>
        <xdr:cNvPicPr>
          <a:picLocks noChangeAspect="1"/>
        </xdr:cNvPicPr>
      </xdr:nvPicPr>
      <xdr:blipFill>
        <a:blip xmlns:r="http://schemas.openxmlformats.org/officeDocument/2006/relationships" r:embed="rId1"/>
        <a:stretch>
          <a:fillRect/>
        </a:stretch>
      </xdr:blipFill>
      <xdr:spPr>
        <a:xfrm>
          <a:off x="11455213" y="0"/>
          <a:ext cx="1435474" cy="375981"/>
        </a:xfrm>
        <a:prstGeom prst="rect">
          <a:avLst/>
        </a:prstGeom>
      </xdr:spPr>
    </xdr:pic>
    <xdr:clientData/>
  </xdr:twoCellAnchor>
  <xdr:twoCellAnchor editAs="oneCell">
    <xdr:from>
      <xdr:col>11</xdr:col>
      <xdr:colOff>459442</xdr:colOff>
      <xdr:row>80</xdr:row>
      <xdr:rowOff>190499</xdr:rowOff>
    </xdr:from>
    <xdr:to>
      <xdr:col>14</xdr:col>
      <xdr:colOff>485686</xdr:colOff>
      <xdr:row>87</xdr:row>
      <xdr:rowOff>180264</xdr:rowOff>
    </xdr:to>
    <xdr:pic>
      <xdr:nvPicPr>
        <xdr:cNvPr id="3" name="Picture 2">
          <a:extLst>
            <a:ext uri="{FF2B5EF4-FFF2-40B4-BE49-F238E27FC236}">
              <a16:creationId xmlns:a16="http://schemas.microsoft.com/office/drawing/2014/main" id="{799270C5-1AF5-4E3A-8FFA-FACE38506C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56913" y="17940617"/>
          <a:ext cx="2536361" cy="19507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47625</xdr:colOff>
      <xdr:row>0</xdr:row>
      <xdr:rowOff>0</xdr:rowOff>
    </xdr:from>
    <xdr:to>
      <xdr:col>15</xdr:col>
      <xdr:colOff>676275</xdr:colOff>
      <xdr:row>0</xdr:row>
      <xdr:rowOff>375981</xdr:rowOff>
    </xdr:to>
    <xdr:pic>
      <xdr:nvPicPr>
        <xdr:cNvPr id="2" name="Picture 1">
          <a:extLst>
            <a:ext uri="{FF2B5EF4-FFF2-40B4-BE49-F238E27FC236}">
              <a16:creationId xmlns:a16="http://schemas.microsoft.com/office/drawing/2014/main" id="{E0B13230-E6A5-4446-8FC9-DFB85BBE910C}"/>
            </a:ext>
          </a:extLst>
        </xdr:cNvPr>
        <xdr:cNvPicPr>
          <a:picLocks noChangeAspect="1"/>
        </xdr:cNvPicPr>
      </xdr:nvPicPr>
      <xdr:blipFill>
        <a:blip xmlns:r="http://schemas.openxmlformats.org/officeDocument/2006/relationships" r:embed="rId1"/>
        <a:stretch>
          <a:fillRect/>
        </a:stretch>
      </xdr:blipFill>
      <xdr:spPr>
        <a:xfrm>
          <a:off x="11296650" y="0"/>
          <a:ext cx="1438275" cy="37598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47625</xdr:colOff>
      <xdr:row>0</xdr:row>
      <xdr:rowOff>0</xdr:rowOff>
    </xdr:from>
    <xdr:to>
      <xdr:col>15</xdr:col>
      <xdr:colOff>676275</xdr:colOff>
      <xdr:row>0</xdr:row>
      <xdr:rowOff>375981</xdr:rowOff>
    </xdr:to>
    <xdr:pic>
      <xdr:nvPicPr>
        <xdr:cNvPr id="2" name="Picture 1">
          <a:extLst>
            <a:ext uri="{FF2B5EF4-FFF2-40B4-BE49-F238E27FC236}">
              <a16:creationId xmlns:a16="http://schemas.microsoft.com/office/drawing/2014/main" id="{21811D28-FA3B-494B-A7C0-119A945F7437}"/>
            </a:ext>
          </a:extLst>
        </xdr:cNvPr>
        <xdr:cNvPicPr>
          <a:picLocks noChangeAspect="1"/>
        </xdr:cNvPicPr>
      </xdr:nvPicPr>
      <xdr:blipFill>
        <a:blip xmlns:r="http://schemas.openxmlformats.org/officeDocument/2006/relationships" r:embed="rId1"/>
        <a:stretch>
          <a:fillRect/>
        </a:stretch>
      </xdr:blipFill>
      <xdr:spPr>
        <a:xfrm>
          <a:off x="11296650" y="0"/>
          <a:ext cx="1438275" cy="37598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47625</xdr:colOff>
      <xdr:row>0</xdr:row>
      <xdr:rowOff>0</xdr:rowOff>
    </xdr:from>
    <xdr:to>
      <xdr:col>15</xdr:col>
      <xdr:colOff>676275</xdr:colOff>
      <xdr:row>0</xdr:row>
      <xdr:rowOff>375981</xdr:rowOff>
    </xdr:to>
    <xdr:pic>
      <xdr:nvPicPr>
        <xdr:cNvPr id="2" name="Picture 1">
          <a:extLst>
            <a:ext uri="{FF2B5EF4-FFF2-40B4-BE49-F238E27FC236}">
              <a16:creationId xmlns:a16="http://schemas.microsoft.com/office/drawing/2014/main" id="{C27464D9-FEC5-407B-9E28-BBA11028CDA7}"/>
            </a:ext>
          </a:extLst>
        </xdr:cNvPr>
        <xdr:cNvPicPr>
          <a:picLocks noChangeAspect="1"/>
        </xdr:cNvPicPr>
      </xdr:nvPicPr>
      <xdr:blipFill>
        <a:blip xmlns:r="http://schemas.openxmlformats.org/officeDocument/2006/relationships" r:embed="rId1"/>
        <a:stretch>
          <a:fillRect/>
        </a:stretch>
      </xdr:blipFill>
      <xdr:spPr>
        <a:xfrm>
          <a:off x="11296650" y="0"/>
          <a:ext cx="1438275" cy="3759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14</xdr:col>
      <xdr:colOff>47625</xdr:colOff>
      <xdr:row>0</xdr:row>
      <xdr:rowOff>0</xdr:rowOff>
    </xdr:from>
    <xdr:to>
      <xdr:col>15</xdr:col>
      <xdr:colOff>676275</xdr:colOff>
      <xdr:row>0</xdr:row>
      <xdr:rowOff>375981</xdr:rowOff>
    </xdr:to>
    <xdr:pic>
      <xdr:nvPicPr>
        <xdr:cNvPr id="2" name="Picture 1">
          <a:extLst>
            <a:ext uri="{FF2B5EF4-FFF2-40B4-BE49-F238E27FC236}">
              <a16:creationId xmlns:a16="http://schemas.microsoft.com/office/drawing/2014/main" id="{F219C139-FF97-42C6-BE9C-5014260B90BC}"/>
            </a:ext>
          </a:extLst>
        </xdr:cNvPr>
        <xdr:cNvPicPr>
          <a:picLocks noChangeAspect="1"/>
        </xdr:cNvPicPr>
      </xdr:nvPicPr>
      <xdr:blipFill>
        <a:blip xmlns:r="http://schemas.openxmlformats.org/officeDocument/2006/relationships" r:embed="rId1"/>
        <a:stretch>
          <a:fillRect/>
        </a:stretch>
      </xdr:blipFill>
      <xdr:spPr>
        <a:xfrm>
          <a:off x="11296650" y="0"/>
          <a:ext cx="1438275" cy="37598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14</xdr:col>
      <xdr:colOff>47625</xdr:colOff>
      <xdr:row>0</xdr:row>
      <xdr:rowOff>0</xdr:rowOff>
    </xdr:from>
    <xdr:to>
      <xdr:col>15</xdr:col>
      <xdr:colOff>676275</xdr:colOff>
      <xdr:row>0</xdr:row>
      <xdr:rowOff>375981</xdr:rowOff>
    </xdr:to>
    <xdr:pic>
      <xdr:nvPicPr>
        <xdr:cNvPr id="2" name="Picture 1">
          <a:extLst>
            <a:ext uri="{FF2B5EF4-FFF2-40B4-BE49-F238E27FC236}">
              <a16:creationId xmlns:a16="http://schemas.microsoft.com/office/drawing/2014/main" id="{9025CAB7-ACDE-4F28-BD27-F4DAB35FE01A}"/>
            </a:ext>
          </a:extLst>
        </xdr:cNvPr>
        <xdr:cNvPicPr>
          <a:picLocks noChangeAspect="1"/>
        </xdr:cNvPicPr>
      </xdr:nvPicPr>
      <xdr:blipFill>
        <a:blip xmlns:r="http://schemas.openxmlformats.org/officeDocument/2006/relationships" r:embed="rId1"/>
        <a:stretch>
          <a:fillRect/>
        </a:stretch>
      </xdr:blipFill>
      <xdr:spPr>
        <a:xfrm>
          <a:off x="11296650" y="0"/>
          <a:ext cx="1438275" cy="375981"/>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gov.uk/guidance/proving-originating-status-and-claiming-a-reduced-rate-of-customs-duty-for-trade-between-the-uk-and-eu" TargetMode="External"/><Relationship Id="rId2" Type="http://schemas.openxmlformats.org/officeDocument/2006/relationships/hyperlink" Target="https://www.gov.uk/guidance/using-an-origin-declaration-for-the-developing-countries-trading-scheme" TargetMode="External"/><Relationship Id="rId1" Type="http://schemas.openxmlformats.org/officeDocument/2006/relationships/hyperlink" Target="https://taxation-customs.ec.europa.eu/generalised-system-preferences-gsp_en" TargetMode="External"/><Relationship Id="rId5" Type="http://schemas.openxmlformats.org/officeDocument/2006/relationships/printerSettings" Target="../printerSettings/printerSettings2.bin"/><Relationship Id="rId4" Type="http://schemas.openxmlformats.org/officeDocument/2006/relationships/hyperlink" Target="https://www.gov.uk/guidance/summary-of-the-uk-turkey-trade-agreement"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93604-38F2-479A-980B-C7F8FB7034FD}">
  <sheetPr>
    <outlinePr summaryBelow="0" summaryRight="0"/>
    <pageSetUpPr fitToPage="1"/>
  </sheetPr>
  <dimension ref="A1:AD89"/>
  <sheetViews>
    <sheetView zoomScaleNormal="100" workbookViewId="0">
      <selection activeCell="C45" sqref="C45:D45"/>
    </sheetView>
  </sheetViews>
  <sheetFormatPr defaultColWidth="12.5703125" defaultRowHeight="15.75" customHeight="1"/>
  <cols>
    <col min="1" max="1" width="12.7109375" customWidth="1"/>
    <col min="2" max="2" width="13.85546875" customWidth="1"/>
    <col min="3" max="3" width="11.42578125" customWidth="1"/>
    <col min="4" max="4" width="11.28515625" customWidth="1"/>
    <col min="5" max="5" width="11" customWidth="1"/>
    <col min="6" max="6" width="11.5703125" customWidth="1"/>
    <col min="8" max="8" width="12.7109375" customWidth="1"/>
    <col min="9" max="9" width="11.85546875" customWidth="1"/>
    <col min="10" max="11" width="12.28515625" customWidth="1"/>
    <col min="12" max="12" width="12.42578125" customWidth="1"/>
    <col min="14" max="14" width="12.5703125" customWidth="1"/>
    <col min="15" max="15" width="12.140625" customWidth="1"/>
    <col min="16" max="16" width="11" customWidth="1"/>
  </cols>
  <sheetData>
    <row r="1" spans="1:21" ht="33.75" customHeight="1">
      <c r="A1" s="177" t="s">
        <v>0</v>
      </c>
      <c r="B1" s="177"/>
      <c r="C1" s="177"/>
      <c r="D1" s="177"/>
      <c r="E1" s="177"/>
      <c r="F1" s="177"/>
      <c r="G1" s="177"/>
      <c r="H1" s="177"/>
      <c r="I1" s="177"/>
      <c r="J1" s="177"/>
      <c r="K1" s="177"/>
      <c r="L1" s="177"/>
      <c r="M1" s="177"/>
      <c r="N1" s="177"/>
      <c r="O1" s="177"/>
      <c r="P1" s="177"/>
      <c r="R1" s="11"/>
      <c r="S1" s="11"/>
      <c r="T1" s="11"/>
      <c r="U1" s="11"/>
    </row>
    <row r="2" spans="1:21" ht="21.75" customHeight="1">
      <c r="A2" s="178" t="s">
        <v>1</v>
      </c>
      <c r="B2" s="179"/>
      <c r="C2" s="303"/>
      <c r="D2" s="304"/>
      <c r="E2" s="304"/>
      <c r="F2" s="304"/>
      <c r="G2" s="304"/>
      <c r="H2" s="305"/>
      <c r="I2" s="44"/>
      <c r="J2" s="221" t="s">
        <v>2</v>
      </c>
      <c r="K2" s="222"/>
      <c r="L2" s="232" t="s">
        <v>3</v>
      </c>
      <c r="M2" s="232"/>
      <c r="N2" s="232"/>
      <c r="O2" s="232"/>
      <c r="P2" s="233"/>
      <c r="R2" s="11"/>
      <c r="S2" s="11"/>
      <c r="T2" s="11"/>
      <c r="U2" s="11"/>
    </row>
    <row r="3" spans="1:21" ht="21.75" customHeight="1">
      <c r="A3" s="186" t="s">
        <v>4</v>
      </c>
      <c r="B3" s="187"/>
      <c r="C3" s="306"/>
      <c r="D3" s="307"/>
      <c r="E3" s="307"/>
      <c r="F3" s="307"/>
      <c r="G3" s="307"/>
      <c r="H3" s="308"/>
      <c r="I3" s="44"/>
      <c r="J3" s="191" t="s">
        <v>5</v>
      </c>
      <c r="K3" s="192"/>
      <c r="L3" s="309" t="s">
        <v>6</v>
      </c>
      <c r="M3" s="192"/>
      <c r="N3" s="192"/>
      <c r="O3" s="192"/>
      <c r="P3" s="201"/>
      <c r="R3" s="11"/>
      <c r="S3" s="11"/>
      <c r="T3" s="11"/>
      <c r="U3" s="11"/>
    </row>
    <row r="4" spans="1:21" ht="48" customHeight="1">
      <c r="A4" s="208" t="s">
        <v>7</v>
      </c>
      <c r="B4" s="179"/>
      <c r="C4" s="336"/>
      <c r="D4" s="337"/>
      <c r="E4" s="337"/>
      <c r="F4" s="337"/>
      <c r="G4" s="337"/>
      <c r="H4" s="338"/>
      <c r="I4" s="44"/>
      <c r="J4" s="339" t="s">
        <v>8</v>
      </c>
      <c r="K4" s="340"/>
      <c r="L4" s="340" t="s">
        <v>9</v>
      </c>
      <c r="M4" s="340"/>
      <c r="N4" s="340"/>
      <c r="O4" s="340"/>
      <c r="P4" s="341"/>
      <c r="R4" s="11"/>
      <c r="S4" s="11"/>
      <c r="T4" s="11"/>
      <c r="U4" s="11"/>
    </row>
    <row r="5" spans="1:21" ht="15">
      <c r="A5" s="11"/>
      <c r="B5" s="50"/>
      <c r="C5" s="50"/>
      <c r="D5" s="5"/>
      <c r="E5" s="5"/>
      <c r="F5" s="5"/>
      <c r="G5" s="5"/>
      <c r="H5" s="5"/>
      <c r="I5" s="5"/>
      <c r="J5" s="59"/>
      <c r="K5" s="59"/>
      <c r="L5" s="58"/>
      <c r="M5" s="58"/>
      <c r="N5" s="58"/>
      <c r="O5" s="58"/>
      <c r="P5" s="58"/>
      <c r="R5" s="11"/>
      <c r="S5" s="11"/>
      <c r="T5" s="11"/>
      <c r="U5" s="11"/>
    </row>
    <row r="6" spans="1:21" ht="22.5" customHeight="1">
      <c r="A6" s="325" t="s">
        <v>10</v>
      </c>
      <c r="B6" s="342"/>
      <c r="C6" s="342"/>
      <c r="D6" s="303"/>
      <c r="E6" s="304"/>
      <c r="F6" s="304"/>
      <c r="G6" s="304"/>
      <c r="H6" s="305"/>
      <c r="I6" s="44"/>
      <c r="J6" s="91" t="s">
        <v>11</v>
      </c>
      <c r="K6" s="73"/>
      <c r="L6" s="73"/>
      <c r="M6" s="73"/>
      <c r="N6" s="73"/>
      <c r="O6" s="73"/>
      <c r="P6" s="74" t="s">
        <v>12</v>
      </c>
      <c r="R6" s="50"/>
      <c r="S6" s="50"/>
      <c r="T6" s="50"/>
      <c r="U6" s="50"/>
    </row>
    <row r="7" spans="1:21" ht="23.25" customHeight="1">
      <c r="A7" s="325" t="s">
        <v>13</v>
      </c>
      <c r="B7" s="326"/>
      <c r="C7" s="326"/>
      <c r="D7" s="303"/>
      <c r="E7" s="304"/>
      <c r="F7" s="304"/>
      <c r="G7" s="304"/>
      <c r="H7" s="305"/>
      <c r="I7" s="44"/>
      <c r="J7" s="327" t="s">
        <v>14</v>
      </c>
      <c r="K7" s="328"/>
      <c r="L7" s="328"/>
      <c r="M7" s="328"/>
      <c r="N7" s="328"/>
      <c r="O7" s="329"/>
      <c r="P7" s="195"/>
      <c r="R7" s="50"/>
      <c r="S7" s="50"/>
      <c r="T7" s="50"/>
      <c r="U7" s="50"/>
    </row>
    <row r="8" spans="1:21" ht="21" customHeight="1">
      <c r="A8" s="245"/>
      <c r="B8" s="246"/>
      <c r="C8" s="246"/>
      <c r="D8" s="246"/>
      <c r="E8" s="246"/>
      <c r="F8" s="246"/>
      <c r="G8" s="246"/>
      <c r="H8" s="246"/>
      <c r="J8" s="330" t="s">
        <v>15</v>
      </c>
      <c r="K8" s="331"/>
      <c r="L8" s="331"/>
      <c r="M8" s="331"/>
      <c r="N8" s="331"/>
      <c r="O8" s="332"/>
      <c r="P8" s="196"/>
      <c r="R8" s="50"/>
      <c r="S8" s="50"/>
      <c r="T8" s="50"/>
      <c r="U8" s="50"/>
    </row>
    <row r="9" spans="1:21" ht="15.75" customHeight="1">
      <c r="A9" s="333" t="s">
        <v>16</v>
      </c>
      <c r="B9" s="334"/>
      <c r="C9" s="334"/>
      <c r="D9" s="334"/>
      <c r="E9" s="334"/>
      <c r="F9" s="334"/>
      <c r="G9" s="334"/>
      <c r="H9" s="335"/>
      <c r="I9" s="44"/>
      <c r="J9" s="205"/>
      <c r="K9" s="206"/>
      <c r="L9" s="206"/>
      <c r="M9" s="206"/>
      <c r="N9" s="206"/>
      <c r="O9" s="207"/>
      <c r="P9" s="197"/>
      <c r="R9" s="50"/>
      <c r="S9" s="50"/>
      <c r="T9" s="50"/>
      <c r="U9" s="50"/>
    </row>
    <row r="10" spans="1:21" ht="19.5" customHeight="1">
      <c r="A10" s="221" t="s">
        <v>17</v>
      </c>
      <c r="B10" s="354"/>
      <c r="C10" s="221" t="s">
        <v>18</v>
      </c>
      <c r="D10" s="222"/>
      <c r="E10" s="222"/>
      <c r="F10" s="222"/>
      <c r="G10" s="222"/>
      <c r="H10" s="355"/>
      <c r="I10" s="44"/>
      <c r="J10" s="95" t="s">
        <v>19</v>
      </c>
      <c r="K10" s="96"/>
      <c r="L10" s="96"/>
      <c r="M10" s="96"/>
      <c r="N10" s="96"/>
      <c r="O10" s="85"/>
      <c r="P10" s="344"/>
      <c r="R10" s="50"/>
      <c r="S10" s="50"/>
      <c r="T10" s="50"/>
      <c r="U10" s="50"/>
    </row>
    <row r="11" spans="1:21" ht="19.5" customHeight="1">
      <c r="A11" s="356" t="s">
        <v>20</v>
      </c>
      <c r="B11" s="357"/>
      <c r="C11" s="191" t="s">
        <v>21</v>
      </c>
      <c r="D11" s="309"/>
      <c r="E11" s="309"/>
      <c r="F11" s="309"/>
      <c r="G11" s="309"/>
      <c r="H11" s="358"/>
      <c r="I11" s="44"/>
      <c r="J11" s="77" t="s">
        <v>22</v>
      </c>
      <c r="K11" s="75"/>
      <c r="L11" s="75"/>
      <c r="M11" s="75"/>
      <c r="N11" s="75"/>
      <c r="O11" s="76"/>
      <c r="P11" s="345"/>
      <c r="R11" s="50"/>
      <c r="S11" s="50"/>
      <c r="T11" s="50"/>
      <c r="U11" s="50"/>
    </row>
    <row r="12" spans="1:21" ht="18.75" customHeight="1">
      <c r="A12" s="339" t="s">
        <v>23</v>
      </c>
      <c r="B12" s="359"/>
      <c r="C12" s="339" t="s">
        <v>24</v>
      </c>
      <c r="D12" s="360"/>
      <c r="E12" s="360"/>
      <c r="F12" s="360"/>
      <c r="G12" s="360"/>
      <c r="H12" s="361"/>
      <c r="I12" s="44"/>
      <c r="J12" s="77" t="s">
        <v>15</v>
      </c>
      <c r="K12" s="82"/>
      <c r="L12" s="82"/>
      <c r="M12" s="82"/>
      <c r="N12" s="83"/>
      <c r="O12" s="84"/>
      <c r="P12" s="345"/>
      <c r="R12" s="62"/>
      <c r="S12" s="62"/>
      <c r="T12" s="62"/>
      <c r="U12" s="62"/>
    </row>
    <row r="13" spans="1:21" ht="16.5" customHeight="1">
      <c r="A13" s="234"/>
      <c r="B13" s="234"/>
      <c r="C13" s="234"/>
      <c r="D13" s="234"/>
      <c r="E13" s="234"/>
      <c r="F13" s="234"/>
      <c r="G13" s="234"/>
      <c r="H13" s="234"/>
      <c r="J13" s="77"/>
      <c r="K13" s="78"/>
      <c r="L13" s="78"/>
      <c r="M13" s="78"/>
      <c r="N13" s="79"/>
      <c r="O13" s="80"/>
      <c r="P13" s="346"/>
      <c r="R13" s="61"/>
      <c r="S13" s="50"/>
      <c r="T13" s="50"/>
      <c r="U13" s="50"/>
    </row>
    <row r="14" spans="1:21" ht="18" customHeight="1">
      <c r="A14" s="343" t="s">
        <v>25</v>
      </c>
      <c r="B14" s="304"/>
      <c r="C14" s="304"/>
      <c r="D14" s="343"/>
      <c r="E14" s="304"/>
      <c r="F14" s="304"/>
      <c r="G14" s="304"/>
      <c r="H14" s="305"/>
      <c r="I14" s="44"/>
      <c r="J14" s="327" t="s">
        <v>26</v>
      </c>
      <c r="K14" s="328"/>
      <c r="L14" s="328"/>
      <c r="M14" s="328"/>
      <c r="N14" s="328"/>
      <c r="O14" s="329"/>
      <c r="P14" s="195"/>
      <c r="Q14" s="63"/>
      <c r="R14" s="63"/>
      <c r="S14" s="63"/>
      <c r="T14" s="63"/>
      <c r="U14" s="50"/>
    </row>
    <row r="15" spans="1:21" ht="17.25" customHeight="1">
      <c r="A15" s="303" t="s">
        <v>27</v>
      </c>
      <c r="B15" s="347"/>
      <c r="C15" s="347"/>
      <c r="D15" s="348">
        <f>I55</f>
        <v>0</v>
      </c>
      <c r="E15" s="349"/>
      <c r="F15" s="349"/>
      <c r="G15" s="349"/>
      <c r="H15" s="350"/>
      <c r="I15" s="44"/>
      <c r="J15" s="351" t="s">
        <v>28</v>
      </c>
      <c r="K15" s="352"/>
      <c r="L15" s="352"/>
      <c r="M15" s="352"/>
      <c r="N15" s="352"/>
      <c r="O15" s="353"/>
      <c r="P15" s="196"/>
      <c r="Q15" s="1"/>
      <c r="R15" s="1"/>
      <c r="S15" s="2"/>
      <c r="T15" s="101"/>
      <c r="U15" s="50"/>
    </row>
    <row r="16" spans="1:21" ht="15" customHeight="1">
      <c r="A16" s="245"/>
      <c r="B16" s="246"/>
      <c r="C16" s="246"/>
      <c r="D16" s="246"/>
      <c r="E16" s="246"/>
      <c r="F16" s="246"/>
      <c r="G16" s="246"/>
      <c r="H16" s="246"/>
      <c r="J16" s="205"/>
      <c r="K16" s="206"/>
      <c r="L16" s="206"/>
      <c r="M16" s="206"/>
      <c r="N16" s="206"/>
      <c r="O16" s="207"/>
      <c r="P16" s="197"/>
      <c r="Q16" s="60"/>
      <c r="R16" s="50"/>
      <c r="S16" s="50"/>
      <c r="T16" s="64"/>
      <c r="U16" s="50"/>
    </row>
    <row r="17" spans="1:21" ht="20.25" customHeight="1">
      <c r="A17" s="362" t="s">
        <v>29</v>
      </c>
      <c r="B17" s="326"/>
      <c r="C17" s="326"/>
      <c r="D17" s="326"/>
      <c r="E17" s="303"/>
      <c r="F17" s="304"/>
      <c r="G17" s="304"/>
      <c r="H17" s="305"/>
      <c r="I17" s="44"/>
      <c r="J17" s="247"/>
      <c r="K17" s="247"/>
      <c r="L17" s="247"/>
      <c r="M17" s="247"/>
      <c r="N17" s="247"/>
      <c r="O17" s="247"/>
      <c r="P17" s="247"/>
      <c r="Q17" s="50"/>
      <c r="R17" s="50"/>
      <c r="S17" s="50"/>
      <c r="T17" s="50"/>
      <c r="U17" s="50"/>
    </row>
    <row r="18" spans="1:21" ht="21.75" customHeight="1">
      <c r="A18" s="325" t="s">
        <v>30</v>
      </c>
      <c r="B18" s="326"/>
      <c r="C18" s="326"/>
      <c r="D18" s="363"/>
      <c r="E18" s="303" t="s">
        <v>31</v>
      </c>
      <c r="F18" s="347"/>
      <c r="G18" s="347"/>
      <c r="H18" s="364"/>
      <c r="I18" s="44"/>
      <c r="J18" s="365" t="s">
        <v>32</v>
      </c>
      <c r="K18" s="366"/>
      <c r="L18" s="366"/>
      <c r="M18" s="367"/>
      <c r="N18" s="368"/>
      <c r="O18" s="368"/>
      <c r="P18" s="368"/>
      <c r="Q18" s="50"/>
      <c r="R18" s="50"/>
      <c r="S18" s="50"/>
      <c r="T18" s="50"/>
      <c r="U18" s="50"/>
    </row>
    <row r="19" spans="1:21" ht="18.75" customHeight="1">
      <c r="I19" s="44"/>
      <c r="J19" s="50"/>
      <c r="K19" s="50"/>
      <c r="L19" s="50"/>
      <c r="M19" s="61"/>
      <c r="N19" s="61"/>
      <c r="O19" s="50"/>
      <c r="P19" s="50"/>
      <c r="Q19" s="50"/>
      <c r="R19" s="50"/>
      <c r="S19" s="50"/>
      <c r="T19" s="50"/>
      <c r="U19" s="50"/>
    </row>
    <row r="20" spans="1:21" ht="15">
      <c r="A20" s="53" t="s">
        <v>33</v>
      </c>
      <c r="B20" s="71"/>
      <c r="C20" s="71"/>
      <c r="D20" s="53"/>
      <c r="E20" s="53"/>
      <c r="F20" s="53"/>
      <c r="G20" s="54"/>
      <c r="H20" s="54"/>
      <c r="I20" s="54"/>
      <c r="J20" s="54"/>
      <c r="K20" s="54"/>
      <c r="L20" s="54"/>
      <c r="M20" s="54"/>
      <c r="N20" s="54"/>
      <c r="O20" s="54"/>
      <c r="P20" s="54"/>
      <c r="Q20" s="11"/>
      <c r="R20" s="11"/>
      <c r="S20" s="11"/>
      <c r="T20" s="11"/>
      <c r="U20" s="11"/>
    </row>
    <row r="21" spans="1:21" ht="15">
      <c r="A21" s="53" t="s">
        <v>34</v>
      </c>
      <c r="B21" s="53" t="s">
        <v>35</v>
      </c>
      <c r="C21" s="386" t="s">
        <v>36</v>
      </c>
      <c r="D21" s="386"/>
      <c r="E21" s="386" t="s">
        <v>37</v>
      </c>
      <c r="F21" s="386"/>
      <c r="G21" s="53" t="s">
        <v>38</v>
      </c>
      <c r="H21" s="53" t="s">
        <v>39</v>
      </c>
      <c r="I21" s="386" t="s">
        <v>40</v>
      </c>
      <c r="J21" s="386"/>
      <c r="K21" s="53" t="s">
        <v>41</v>
      </c>
      <c r="L21" s="53" t="s">
        <v>42</v>
      </c>
      <c r="M21" s="53" t="s">
        <v>43</v>
      </c>
      <c r="N21" s="72" t="s">
        <v>44</v>
      </c>
      <c r="O21" s="386" t="s">
        <v>45</v>
      </c>
      <c r="P21" s="386"/>
      <c r="Q21" s="64"/>
      <c r="R21" s="64"/>
      <c r="S21" s="64"/>
      <c r="T21" s="64"/>
      <c r="U21" s="64"/>
    </row>
    <row r="22" spans="1:21" ht="15" customHeight="1">
      <c r="A22" s="369" t="s">
        <v>46</v>
      </c>
      <c r="B22" s="370"/>
      <c r="C22" s="371" t="s">
        <v>47</v>
      </c>
      <c r="D22" s="372"/>
      <c r="E22" s="371" t="s">
        <v>48</v>
      </c>
      <c r="F22" s="372"/>
      <c r="G22" s="375" t="s">
        <v>49</v>
      </c>
      <c r="H22" s="375" t="s">
        <v>50</v>
      </c>
      <c r="I22" s="377" t="s">
        <v>51</v>
      </c>
      <c r="J22" s="378"/>
      <c r="K22" s="369" t="s">
        <v>52</v>
      </c>
      <c r="L22" s="381"/>
      <c r="M22" s="370"/>
      <c r="N22" s="377" t="s">
        <v>53</v>
      </c>
      <c r="O22" s="377" t="s">
        <v>54</v>
      </c>
      <c r="P22" s="378"/>
      <c r="Q22" s="3"/>
      <c r="R22" s="3"/>
      <c r="S22" s="3"/>
      <c r="T22" s="3"/>
      <c r="U22" s="3"/>
    </row>
    <row r="23" spans="1:21" s="66" customFormat="1" ht="30.75" customHeight="1">
      <c r="A23" s="45" t="s">
        <v>55</v>
      </c>
      <c r="B23" s="46" t="s">
        <v>56</v>
      </c>
      <c r="C23" s="373"/>
      <c r="D23" s="374"/>
      <c r="E23" s="373"/>
      <c r="F23" s="374"/>
      <c r="G23" s="376"/>
      <c r="H23" s="376"/>
      <c r="I23" s="379"/>
      <c r="J23" s="380"/>
      <c r="K23" s="46" t="s">
        <v>57</v>
      </c>
      <c r="L23" s="46" t="s">
        <v>58</v>
      </c>
      <c r="M23" s="46" t="s">
        <v>59</v>
      </c>
      <c r="N23" s="379"/>
      <c r="O23" s="379"/>
      <c r="P23" s="380"/>
      <c r="Q23" s="47"/>
      <c r="R23" s="47"/>
      <c r="S23" s="47"/>
      <c r="T23" s="47"/>
      <c r="U23" s="47"/>
    </row>
    <row r="24" spans="1:21" ht="20.25" customHeight="1">
      <c r="A24" s="46"/>
      <c r="B24" s="46"/>
      <c r="C24" s="382"/>
      <c r="D24" s="383"/>
      <c r="E24" s="382">
        <v>3</v>
      </c>
      <c r="F24" s="383"/>
      <c r="G24" s="46"/>
      <c r="H24" s="46"/>
      <c r="I24" s="384"/>
      <c r="J24" s="385"/>
      <c r="K24" s="46"/>
      <c r="L24" s="46"/>
      <c r="M24" s="46"/>
      <c r="N24" s="65"/>
      <c r="O24" s="382"/>
      <c r="P24" s="383"/>
      <c r="Q24" s="7"/>
      <c r="R24" s="7"/>
      <c r="S24" s="7"/>
      <c r="T24" s="7"/>
      <c r="U24" s="7"/>
    </row>
    <row r="25" spans="1:21" ht="20.25" customHeight="1">
      <c r="A25" s="46"/>
      <c r="B25" s="46"/>
      <c r="C25" s="382"/>
      <c r="D25" s="383"/>
      <c r="E25" s="382">
        <v>3</v>
      </c>
      <c r="F25" s="383"/>
      <c r="G25" s="46"/>
      <c r="H25" s="46"/>
      <c r="I25" s="384"/>
      <c r="J25" s="385"/>
      <c r="K25" s="46"/>
      <c r="L25" s="46"/>
      <c r="M25" s="46"/>
      <c r="N25" s="65"/>
      <c r="O25" s="382"/>
      <c r="P25" s="383"/>
      <c r="Q25" s="7"/>
      <c r="R25" s="7"/>
      <c r="S25" s="7"/>
      <c r="T25" s="7"/>
      <c r="U25" s="7"/>
    </row>
    <row r="26" spans="1:21" ht="20.25" customHeight="1">
      <c r="A26" s="46"/>
      <c r="B26" s="46"/>
      <c r="C26" s="382"/>
      <c r="D26" s="383"/>
      <c r="E26" s="382">
        <v>4</v>
      </c>
      <c r="F26" s="383"/>
      <c r="G26" s="46"/>
      <c r="H26" s="46"/>
      <c r="I26" s="384"/>
      <c r="J26" s="385"/>
      <c r="K26" s="46"/>
      <c r="L26" s="46"/>
      <c r="M26" s="46"/>
      <c r="N26" s="65"/>
      <c r="O26" s="382"/>
      <c r="P26" s="383"/>
      <c r="Q26" s="7"/>
      <c r="R26" s="7"/>
      <c r="S26" s="7"/>
      <c r="T26" s="7"/>
      <c r="U26" s="7"/>
    </row>
    <row r="27" spans="1:21" ht="20.25" customHeight="1">
      <c r="A27" s="46"/>
      <c r="B27" s="46"/>
      <c r="C27" s="382"/>
      <c r="D27" s="383"/>
      <c r="E27" s="382">
        <v>4</v>
      </c>
      <c r="F27" s="383"/>
      <c r="G27" s="46"/>
      <c r="H27" s="46"/>
      <c r="I27" s="384"/>
      <c r="J27" s="385"/>
      <c r="K27" s="46"/>
      <c r="L27" s="46"/>
      <c r="M27" s="46"/>
      <c r="N27" s="65"/>
      <c r="O27" s="382"/>
      <c r="P27" s="383"/>
      <c r="Q27" s="7"/>
      <c r="R27" s="7"/>
      <c r="S27" s="7"/>
      <c r="T27" s="7"/>
      <c r="U27" s="7"/>
    </row>
    <row r="28" spans="1:21" ht="20.25" customHeight="1">
      <c r="A28" s="46"/>
      <c r="B28" s="46"/>
      <c r="C28" s="382"/>
      <c r="D28" s="383"/>
      <c r="E28" s="382">
        <v>5</v>
      </c>
      <c r="F28" s="383"/>
      <c r="G28" s="46"/>
      <c r="H28" s="46"/>
      <c r="I28" s="384"/>
      <c r="J28" s="385"/>
      <c r="K28" s="46"/>
      <c r="L28" s="46"/>
      <c r="M28" s="46"/>
      <c r="N28" s="65"/>
      <c r="O28" s="382"/>
      <c r="P28" s="383"/>
      <c r="Q28" s="7"/>
      <c r="R28" s="7"/>
      <c r="S28" s="7"/>
      <c r="T28" s="7"/>
      <c r="U28" s="7"/>
    </row>
    <row r="29" spans="1:21" ht="20.25" customHeight="1">
      <c r="A29" s="46"/>
      <c r="B29" s="46"/>
      <c r="C29" s="382"/>
      <c r="D29" s="383"/>
      <c r="E29" s="382">
        <v>5</v>
      </c>
      <c r="F29" s="383"/>
      <c r="G29" s="46"/>
      <c r="H29" s="46"/>
      <c r="I29" s="384"/>
      <c r="J29" s="385"/>
      <c r="K29" s="46"/>
      <c r="L29" s="46"/>
      <c r="M29" s="46"/>
      <c r="N29" s="65"/>
      <c r="O29" s="382"/>
      <c r="P29" s="383"/>
      <c r="Q29" s="7"/>
      <c r="R29" s="7"/>
      <c r="S29" s="7"/>
      <c r="T29" s="7"/>
      <c r="U29" s="7"/>
    </row>
    <row r="30" spans="1:21" ht="20.25" customHeight="1">
      <c r="A30" s="46"/>
      <c r="B30" s="46"/>
      <c r="C30" s="382"/>
      <c r="D30" s="383"/>
      <c r="E30" s="382">
        <v>6</v>
      </c>
      <c r="F30" s="383"/>
      <c r="G30" s="46"/>
      <c r="H30" s="46"/>
      <c r="I30" s="384"/>
      <c r="J30" s="385"/>
      <c r="K30" s="46"/>
      <c r="L30" s="46"/>
      <c r="M30" s="46"/>
      <c r="N30" s="65"/>
      <c r="O30" s="382"/>
      <c r="P30" s="383"/>
      <c r="Q30" s="7"/>
      <c r="R30" s="7"/>
      <c r="S30" s="7"/>
      <c r="T30" s="7"/>
      <c r="U30" s="7"/>
    </row>
    <row r="31" spans="1:21" ht="20.25" customHeight="1">
      <c r="A31" s="46"/>
      <c r="B31" s="46"/>
      <c r="C31" s="382"/>
      <c r="D31" s="383"/>
      <c r="E31" s="382">
        <v>6</v>
      </c>
      <c r="F31" s="383"/>
      <c r="G31" s="46"/>
      <c r="H31" s="46"/>
      <c r="I31" s="384"/>
      <c r="J31" s="385"/>
      <c r="K31" s="46"/>
      <c r="L31" s="46"/>
      <c r="M31" s="46"/>
      <c r="N31" s="65"/>
      <c r="O31" s="382"/>
      <c r="P31" s="383"/>
      <c r="Q31" s="7"/>
      <c r="R31" s="7"/>
      <c r="S31" s="7"/>
      <c r="T31" s="7"/>
      <c r="U31" s="7"/>
    </row>
    <row r="32" spans="1:21" ht="20.25" customHeight="1">
      <c r="A32" s="46"/>
      <c r="B32" s="46"/>
      <c r="C32" s="382"/>
      <c r="D32" s="383"/>
      <c r="E32" s="382">
        <v>7</v>
      </c>
      <c r="F32" s="383"/>
      <c r="G32" s="46"/>
      <c r="H32" s="46"/>
      <c r="I32" s="384"/>
      <c r="J32" s="385"/>
      <c r="K32" s="46"/>
      <c r="L32" s="46"/>
      <c r="M32" s="46"/>
      <c r="N32" s="65"/>
      <c r="O32" s="382"/>
      <c r="P32" s="383"/>
      <c r="Q32" s="7"/>
      <c r="R32" s="7"/>
      <c r="S32" s="7"/>
      <c r="T32" s="7"/>
      <c r="U32" s="7"/>
    </row>
    <row r="33" spans="1:21" ht="20.25" customHeight="1">
      <c r="A33" s="46"/>
      <c r="B33" s="46"/>
      <c r="C33" s="382"/>
      <c r="D33" s="383"/>
      <c r="E33" s="382">
        <v>7</v>
      </c>
      <c r="F33" s="383"/>
      <c r="G33" s="46"/>
      <c r="H33" s="46"/>
      <c r="I33" s="384"/>
      <c r="J33" s="385"/>
      <c r="K33" s="46"/>
      <c r="L33" s="46"/>
      <c r="M33" s="46"/>
      <c r="N33" s="65"/>
      <c r="O33" s="382"/>
      <c r="P33" s="383"/>
      <c r="Q33" s="7"/>
      <c r="R33" s="7"/>
      <c r="S33" s="7"/>
      <c r="T33" s="7"/>
      <c r="U33" s="7"/>
    </row>
    <row r="34" spans="1:21" ht="20.25" customHeight="1">
      <c r="A34" s="46"/>
      <c r="B34" s="46"/>
      <c r="C34" s="382"/>
      <c r="D34" s="383"/>
      <c r="E34" s="382">
        <v>8</v>
      </c>
      <c r="F34" s="383"/>
      <c r="G34" s="46"/>
      <c r="H34" s="46"/>
      <c r="I34" s="384"/>
      <c r="J34" s="385"/>
      <c r="K34" s="46"/>
      <c r="L34" s="46"/>
      <c r="M34" s="46"/>
      <c r="N34" s="65"/>
      <c r="O34" s="382"/>
      <c r="P34" s="383"/>
      <c r="Q34" s="7"/>
      <c r="R34" s="7"/>
      <c r="S34" s="7"/>
      <c r="T34" s="7"/>
      <c r="U34" s="7"/>
    </row>
    <row r="35" spans="1:21" ht="20.25" customHeight="1">
      <c r="A35" s="46"/>
      <c r="B35" s="46"/>
      <c r="C35" s="382"/>
      <c r="D35" s="383"/>
      <c r="E35" s="382">
        <v>8</v>
      </c>
      <c r="F35" s="383"/>
      <c r="G35" s="46"/>
      <c r="H35" s="46"/>
      <c r="I35" s="384"/>
      <c r="J35" s="385"/>
      <c r="K35" s="46"/>
      <c r="L35" s="46"/>
      <c r="M35" s="46"/>
      <c r="N35" s="65"/>
      <c r="O35" s="382"/>
      <c r="P35" s="383"/>
      <c r="Q35" s="7"/>
      <c r="R35" s="7"/>
      <c r="S35" s="7"/>
      <c r="T35" s="7"/>
      <c r="U35" s="7"/>
    </row>
    <row r="36" spans="1:21" ht="20.25" customHeight="1">
      <c r="A36" s="46"/>
      <c r="B36" s="46"/>
      <c r="C36" s="382"/>
      <c r="D36" s="383"/>
      <c r="E36" s="382">
        <v>9</v>
      </c>
      <c r="F36" s="383"/>
      <c r="G36" s="46"/>
      <c r="H36" s="46"/>
      <c r="I36" s="384"/>
      <c r="J36" s="385"/>
      <c r="K36" s="46"/>
      <c r="L36" s="46"/>
      <c r="M36" s="46"/>
      <c r="N36" s="65"/>
      <c r="O36" s="382"/>
      <c r="P36" s="383"/>
      <c r="Q36" s="7"/>
      <c r="R36" s="7"/>
      <c r="S36" s="7"/>
      <c r="T36" s="7"/>
      <c r="U36" s="7"/>
    </row>
    <row r="37" spans="1:21" ht="20.25" customHeight="1">
      <c r="A37" s="46"/>
      <c r="B37" s="46"/>
      <c r="C37" s="382"/>
      <c r="D37" s="383"/>
      <c r="E37" s="382">
        <v>9</v>
      </c>
      <c r="F37" s="383"/>
      <c r="G37" s="46"/>
      <c r="H37" s="46"/>
      <c r="I37" s="384"/>
      <c r="J37" s="385"/>
      <c r="K37" s="46"/>
      <c r="L37" s="46"/>
      <c r="M37" s="46"/>
      <c r="N37" s="65"/>
      <c r="O37" s="382"/>
      <c r="P37" s="383"/>
      <c r="Q37" s="7"/>
      <c r="R37" s="7"/>
      <c r="S37" s="7"/>
      <c r="T37" s="7"/>
      <c r="U37" s="7"/>
    </row>
    <row r="38" spans="1:21" ht="20.25" customHeight="1">
      <c r="A38" s="46"/>
      <c r="B38" s="46"/>
      <c r="C38" s="382"/>
      <c r="D38" s="383"/>
      <c r="E38" s="382">
        <v>10</v>
      </c>
      <c r="F38" s="383"/>
      <c r="G38" s="46"/>
      <c r="H38" s="46"/>
      <c r="I38" s="384"/>
      <c r="J38" s="385"/>
      <c r="K38" s="46"/>
      <c r="L38" s="46"/>
      <c r="M38" s="46"/>
      <c r="N38" s="65"/>
      <c r="O38" s="382"/>
      <c r="P38" s="383"/>
      <c r="Q38" s="7"/>
      <c r="R38" s="7"/>
      <c r="S38" s="7"/>
      <c r="T38" s="7"/>
      <c r="U38" s="7"/>
    </row>
    <row r="39" spans="1:21" ht="20.25" customHeight="1">
      <c r="A39" s="46"/>
      <c r="B39" s="46"/>
      <c r="C39" s="382"/>
      <c r="D39" s="383"/>
      <c r="E39" s="382">
        <v>10</v>
      </c>
      <c r="F39" s="383"/>
      <c r="G39" s="46"/>
      <c r="H39" s="46"/>
      <c r="I39" s="384"/>
      <c r="J39" s="385"/>
      <c r="K39" s="46"/>
      <c r="L39" s="46"/>
      <c r="M39" s="46"/>
      <c r="N39" s="65"/>
      <c r="O39" s="382"/>
      <c r="P39" s="383"/>
      <c r="Q39" s="7"/>
      <c r="R39" s="7"/>
      <c r="S39" s="7"/>
      <c r="T39" s="7"/>
      <c r="U39" s="7"/>
    </row>
    <row r="40" spans="1:21" ht="20.25" customHeight="1">
      <c r="A40" s="46"/>
      <c r="B40" s="46"/>
      <c r="C40" s="382"/>
      <c r="D40" s="383"/>
      <c r="E40" s="382">
        <v>11</v>
      </c>
      <c r="F40" s="383"/>
      <c r="G40" s="46"/>
      <c r="H40" s="46"/>
      <c r="I40" s="384"/>
      <c r="J40" s="385"/>
      <c r="K40" s="46"/>
      <c r="L40" s="46"/>
      <c r="M40" s="46"/>
      <c r="N40" s="65"/>
      <c r="O40" s="382"/>
      <c r="P40" s="383"/>
      <c r="Q40" s="7"/>
      <c r="R40" s="7"/>
      <c r="S40" s="7"/>
      <c r="T40" s="7"/>
      <c r="U40" s="7"/>
    </row>
    <row r="41" spans="1:21" ht="20.25" customHeight="1">
      <c r="A41" s="46"/>
      <c r="B41" s="46"/>
      <c r="C41" s="382"/>
      <c r="D41" s="383"/>
      <c r="E41" s="382">
        <v>11</v>
      </c>
      <c r="F41" s="383"/>
      <c r="G41" s="46"/>
      <c r="H41" s="46"/>
      <c r="I41" s="384"/>
      <c r="J41" s="385"/>
      <c r="K41" s="46"/>
      <c r="L41" s="46"/>
      <c r="M41" s="46"/>
      <c r="N41" s="65"/>
      <c r="O41" s="382"/>
      <c r="P41" s="383"/>
      <c r="Q41" s="7"/>
      <c r="R41" s="7"/>
      <c r="S41" s="7"/>
      <c r="T41" s="7"/>
      <c r="U41" s="7"/>
    </row>
    <row r="42" spans="1:21" ht="20.25" customHeight="1">
      <c r="A42" s="46"/>
      <c r="B42" s="46"/>
      <c r="C42" s="382"/>
      <c r="D42" s="383"/>
      <c r="E42" s="382">
        <v>12</v>
      </c>
      <c r="F42" s="383"/>
      <c r="G42" s="46"/>
      <c r="H42" s="46"/>
      <c r="I42" s="384"/>
      <c r="J42" s="385"/>
      <c r="K42" s="46"/>
      <c r="L42" s="46"/>
      <c r="M42" s="46"/>
      <c r="N42" s="65"/>
      <c r="O42" s="382"/>
      <c r="P42" s="383"/>
      <c r="Q42" s="7"/>
      <c r="R42" s="7"/>
      <c r="S42" s="7"/>
      <c r="T42" s="7"/>
      <c r="U42" s="7"/>
    </row>
    <row r="43" spans="1:21" ht="20.25" customHeight="1">
      <c r="A43" s="46"/>
      <c r="B43" s="46"/>
      <c r="C43" s="382"/>
      <c r="D43" s="383"/>
      <c r="E43" s="382">
        <v>12</v>
      </c>
      <c r="F43" s="383"/>
      <c r="G43" s="46"/>
      <c r="H43" s="46"/>
      <c r="I43" s="384"/>
      <c r="J43" s="385"/>
      <c r="K43" s="46"/>
      <c r="L43" s="46"/>
      <c r="M43" s="46"/>
      <c r="N43" s="65"/>
      <c r="O43" s="382"/>
      <c r="P43" s="383"/>
      <c r="Q43" s="7"/>
      <c r="R43" s="7"/>
      <c r="S43" s="7"/>
      <c r="T43" s="7"/>
      <c r="U43" s="7"/>
    </row>
    <row r="44" spans="1:21" ht="20.25" customHeight="1">
      <c r="A44" s="46"/>
      <c r="B44" s="46"/>
      <c r="C44" s="382"/>
      <c r="D44" s="383"/>
      <c r="E44" s="382">
        <v>13</v>
      </c>
      <c r="F44" s="383"/>
      <c r="G44" s="46"/>
      <c r="H44" s="46"/>
      <c r="I44" s="384"/>
      <c r="J44" s="385"/>
      <c r="K44" s="46"/>
      <c r="L44" s="46"/>
      <c r="M44" s="46"/>
      <c r="N44" s="65"/>
      <c r="O44" s="382"/>
      <c r="P44" s="383"/>
      <c r="Q44" s="7"/>
      <c r="R44" s="7"/>
      <c r="S44" s="7"/>
      <c r="T44" s="7"/>
      <c r="U44" s="7"/>
    </row>
    <row r="45" spans="1:21" ht="20.25" customHeight="1">
      <c r="A45" s="46"/>
      <c r="B45" s="46"/>
      <c r="C45" s="382"/>
      <c r="D45" s="383"/>
      <c r="E45" s="382">
        <v>13</v>
      </c>
      <c r="F45" s="383"/>
      <c r="G45" s="46"/>
      <c r="H45" s="46"/>
      <c r="I45" s="384"/>
      <c r="J45" s="385"/>
      <c r="K45" s="46"/>
      <c r="L45" s="46"/>
      <c r="M45" s="46"/>
      <c r="N45" s="65"/>
      <c r="O45" s="382"/>
      <c r="P45" s="383"/>
      <c r="Q45" s="7"/>
      <c r="R45" s="7"/>
      <c r="S45" s="7"/>
      <c r="T45" s="7"/>
      <c r="U45" s="7"/>
    </row>
    <row r="46" spans="1:21" ht="20.25" customHeight="1">
      <c r="A46" s="46"/>
      <c r="B46" s="46"/>
      <c r="C46" s="382"/>
      <c r="D46" s="383"/>
      <c r="E46" s="382">
        <v>14</v>
      </c>
      <c r="F46" s="383"/>
      <c r="G46" s="46"/>
      <c r="H46" s="46"/>
      <c r="I46" s="384"/>
      <c r="J46" s="385"/>
      <c r="K46" s="46"/>
      <c r="L46" s="46"/>
      <c r="M46" s="46"/>
      <c r="N46" s="65"/>
      <c r="O46" s="382"/>
      <c r="P46" s="383"/>
      <c r="Q46" s="7"/>
      <c r="R46" s="7"/>
      <c r="S46" s="7"/>
      <c r="T46" s="7"/>
      <c r="U46" s="7"/>
    </row>
    <row r="47" spans="1:21" ht="20.25" customHeight="1">
      <c r="A47" s="46"/>
      <c r="B47" s="46"/>
      <c r="C47" s="382"/>
      <c r="D47" s="383"/>
      <c r="E47" s="382">
        <v>14</v>
      </c>
      <c r="F47" s="383"/>
      <c r="G47" s="46"/>
      <c r="H47" s="46"/>
      <c r="I47" s="384"/>
      <c r="J47" s="385"/>
      <c r="K47" s="46"/>
      <c r="L47" s="46"/>
      <c r="M47" s="46"/>
      <c r="N47" s="65"/>
      <c r="O47" s="382"/>
      <c r="P47" s="383"/>
      <c r="Q47" s="7"/>
      <c r="R47" s="7"/>
      <c r="S47" s="7"/>
      <c r="T47" s="7"/>
      <c r="U47" s="7"/>
    </row>
    <row r="48" spans="1:21" ht="20.25" customHeight="1">
      <c r="A48" s="46"/>
      <c r="B48" s="46"/>
      <c r="C48" s="382"/>
      <c r="D48" s="383"/>
      <c r="E48" s="382">
        <v>15</v>
      </c>
      <c r="F48" s="383"/>
      <c r="G48" s="46"/>
      <c r="H48" s="46"/>
      <c r="I48" s="384"/>
      <c r="J48" s="385"/>
      <c r="K48" s="46"/>
      <c r="L48" s="46"/>
      <c r="M48" s="46"/>
      <c r="N48" s="65"/>
      <c r="O48" s="382"/>
      <c r="P48" s="383"/>
      <c r="Q48" s="7"/>
      <c r="R48" s="7"/>
      <c r="S48" s="7"/>
      <c r="T48" s="7"/>
      <c r="U48" s="7"/>
    </row>
    <row r="49" spans="1:21" ht="20.25" customHeight="1">
      <c r="A49" s="46"/>
      <c r="B49" s="46"/>
      <c r="C49" s="65"/>
      <c r="D49" s="114"/>
      <c r="E49" s="65">
        <v>15</v>
      </c>
      <c r="F49" s="114"/>
      <c r="G49" s="46"/>
      <c r="H49" s="46"/>
      <c r="I49" s="115"/>
      <c r="J49" s="116"/>
      <c r="K49" s="46"/>
      <c r="L49" s="46"/>
      <c r="M49" s="46"/>
      <c r="N49" s="65"/>
      <c r="O49" s="65"/>
      <c r="P49" s="114"/>
      <c r="Q49" s="7"/>
      <c r="R49" s="7"/>
      <c r="S49" s="7"/>
      <c r="T49" s="7"/>
      <c r="U49" s="7"/>
    </row>
    <row r="50" spans="1:21" ht="20.25" customHeight="1">
      <c r="A50" s="46"/>
      <c r="B50" s="46"/>
      <c r="C50" s="65"/>
      <c r="D50" s="114"/>
      <c r="E50" s="65">
        <v>16</v>
      </c>
      <c r="F50" s="114"/>
      <c r="G50" s="46"/>
      <c r="H50" s="46"/>
      <c r="I50" s="115"/>
      <c r="J50" s="116"/>
      <c r="K50" s="46"/>
      <c r="L50" s="46"/>
      <c r="M50" s="46"/>
      <c r="N50" s="65"/>
      <c r="O50" s="65"/>
      <c r="P50" s="114"/>
      <c r="Q50" s="7"/>
      <c r="R50" s="7"/>
      <c r="S50" s="7"/>
      <c r="T50" s="7"/>
      <c r="U50" s="7"/>
    </row>
    <row r="51" spans="1:21" ht="20.25" customHeight="1">
      <c r="A51" s="46"/>
      <c r="B51" s="46"/>
      <c r="C51" s="65"/>
      <c r="D51" s="114"/>
      <c r="E51" s="65"/>
      <c r="F51" s="114">
        <v>16</v>
      </c>
      <c r="G51" s="46"/>
      <c r="H51" s="46"/>
      <c r="I51" s="115"/>
      <c r="J51" s="116"/>
      <c r="K51" s="46"/>
      <c r="L51" s="46"/>
      <c r="M51" s="46"/>
      <c r="N51" s="65"/>
      <c r="O51" s="65"/>
      <c r="P51" s="114"/>
      <c r="Q51" s="7"/>
      <c r="R51" s="7"/>
      <c r="S51" s="7"/>
      <c r="T51" s="7"/>
      <c r="U51" s="7"/>
    </row>
    <row r="52" spans="1:21" ht="20.25" customHeight="1">
      <c r="A52" s="46"/>
      <c r="B52" s="46"/>
      <c r="C52" s="65"/>
      <c r="D52" s="114"/>
      <c r="E52" s="65"/>
      <c r="F52" s="114"/>
      <c r="G52" s="46"/>
      <c r="H52" s="46"/>
      <c r="I52" s="115"/>
      <c r="J52" s="116"/>
      <c r="K52" s="46"/>
      <c r="L52" s="46"/>
      <c r="M52" s="46"/>
      <c r="N52" s="65"/>
      <c r="O52" s="65"/>
      <c r="P52" s="114"/>
      <c r="Q52" s="7"/>
      <c r="R52" s="7"/>
      <c r="S52" s="7"/>
      <c r="T52" s="7"/>
      <c r="U52" s="7"/>
    </row>
    <row r="53" spans="1:21" ht="20.25" customHeight="1">
      <c r="A53" s="46"/>
      <c r="B53" s="46"/>
      <c r="C53" s="382"/>
      <c r="D53" s="383"/>
      <c r="E53" s="382">
        <v>17</v>
      </c>
      <c r="F53" s="383"/>
      <c r="G53" s="46"/>
      <c r="H53" s="46"/>
      <c r="I53" s="384"/>
      <c r="J53" s="385"/>
      <c r="K53" s="46"/>
      <c r="L53" s="46"/>
      <c r="M53" s="46"/>
      <c r="N53" s="65"/>
      <c r="O53" s="382"/>
      <c r="P53" s="383"/>
      <c r="Q53" s="11"/>
      <c r="R53" s="11"/>
      <c r="S53" s="11"/>
      <c r="T53" s="11"/>
      <c r="U53" s="11"/>
    </row>
    <row r="54" spans="1:21" ht="15">
      <c r="A54" s="11"/>
      <c r="B54" s="11"/>
      <c r="C54" s="11"/>
      <c r="D54" s="64"/>
      <c r="E54" s="64"/>
      <c r="F54" s="64">
        <v>18</v>
      </c>
      <c r="G54" s="51"/>
      <c r="H54" s="11"/>
      <c r="I54" s="393"/>
      <c r="J54" s="393"/>
      <c r="K54" s="11"/>
      <c r="L54" s="11"/>
      <c r="M54" s="11"/>
      <c r="N54" s="81"/>
      <c r="O54" s="247"/>
      <c r="P54" s="247"/>
      <c r="Q54" s="11"/>
      <c r="R54" s="11"/>
      <c r="S54" s="11"/>
      <c r="T54" s="11"/>
      <c r="U54" s="11"/>
    </row>
    <row r="55" spans="1:21">
      <c r="A55" s="52" t="s">
        <v>60</v>
      </c>
      <c r="D55" s="64"/>
      <c r="E55" s="64"/>
      <c r="F55" s="64"/>
      <c r="G55" s="46">
        <f>SUM(G24:G54)</f>
        <v>0</v>
      </c>
      <c r="H55" s="11"/>
      <c r="I55" s="387">
        <f>SUM(I24:J54)</f>
        <v>0</v>
      </c>
      <c r="J55" s="388"/>
      <c r="K55" s="11"/>
      <c r="M55" s="11"/>
      <c r="N55" s="97">
        <f>SUM(N24:N54)</f>
        <v>0</v>
      </c>
      <c r="O55" s="389">
        <f>SUM(O24:P54)</f>
        <v>0</v>
      </c>
      <c r="P55" s="389"/>
      <c r="R55" s="11"/>
      <c r="S55" s="11"/>
      <c r="T55" s="11"/>
      <c r="U55" s="11"/>
    </row>
    <row r="56" spans="1:21" ht="15">
      <c r="A56" s="11"/>
      <c r="B56" s="11"/>
      <c r="C56" s="11"/>
      <c r="D56" s="64"/>
      <c r="E56" s="64"/>
      <c r="F56" s="64"/>
      <c r="G56" s="64" t="s">
        <v>61</v>
      </c>
      <c r="H56" s="64"/>
      <c r="I56" s="390" t="s">
        <v>62</v>
      </c>
      <c r="J56" s="390"/>
      <c r="K56" s="64"/>
      <c r="M56" s="64"/>
      <c r="N56" s="69" t="s">
        <v>63</v>
      </c>
      <c r="O56" s="390" t="s">
        <v>64</v>
      </c>
      <c r="P56" s="390"/>
      <c r="R56" s="11"/>
      <c r="S56" s="11"/>
      <c r="T56" s="11"/>
      <c r="U56" s="11"/>
    </row>
    <row r="57" spans="1:21" ht="15">
      <c r="A57" s="11"/>
      <c r="B57" s="11"/>
      <c r="C57" s="11"/>
      <c r="D57" s="64"/>
      <c r="E57" s="64"/>
      <c r="F57" s="64"/>
      <c r="G57" s="64"/>
      <c r="H57" s="64"/>
      <c r="I57" s="69"/>
      <c r="J57" s="69"/>
      <c r="K57" s="64"/>
      <c r="M57" s="64"/>
      <c r="N57" s="69"/>
      <c r="O57" s="69"/>
      <c r="P57" s="69"/>
      <c r="R57" s="11"/>
      <c r="S57" s="11"/>
      <c r="T57" s="11"/>
      <c r="U57" s="11"/>
    </row>
    <row r="58" spans="1:21" ht="15">
      <c r="A58" s="391" t="s">
        <v>65</v>
      </c>
      <c r="B58" s="392"/>
      <c r="C58" s="392"/>
      <c r="D58" s="392"/>
      <c r="E58" s="392"/>
      <c r="F58" s="392"/>
      <c r="G58" s="392"/>
      <c r="H58" s="392"/>
      <c r="I58" s="392"/>
      <c r="J58" s="392"/>
      <c r="K58" s="392"/>
      <c r="L58" s="70"/>
      <c r="M58" s="70"/>
      <c r="N58" s="70"/>
      <c r="O58" s="70"/>
      <c r="P58" s="70"/>
      <c r="Q58" s="70"/>
      <c r="R58" s="70"/>
      <c r="S58" s="11"/>
      <c r="T58" s="11"/>
      <c r="U58" s="11"/>
    </row>
    <row r="59" spans="1:21" ht="15.75" customHeight="1">
      <c r="A59" s="391" t="s">
        <v>66</v>
      </c>
      <c r="B59" s="392"/>
      <c r="C59" s="392"/>
      <c r="D59" s="392"/>
      <c r="E59" s="392"/>
      <c r="F59" s="392"/>
      <c r="G59" s="392"/>
      <c r="H59" s="392"/>
      <c r="I59" s="392"/>
      <c r="J59" s="392"/>
      <c r="K59" s="392"/>
      <c r="L59" s="392"/>
      <c r="M59" s="392"/>
      <c r="N59" s="392"/>
      <c r="O59" s="392"/>
      <c r="P59" s="392"/>
      <c r="Q59" s="392"/>
      <c r="R59" s="392"/>
    </row>
    <row r="60" spans="1:21" ht="15.75" customHeight="1">
      <c r="A60" s="67"/>
      <c r="B60" s="68"/>
      <c r="C60" s="68"/>
      <c r="D60" s="68"/>
      <c r="E60" s="68"/>
      <c r="F60" s="68"/>
      <c r="G60" s="68"/>
      <c r="H60" s="68"/>
      <c r="I60" s="68"/>
      <c r="J60" s="68"/>
      <c r="K60" s="68"/>
      <c r="L60" s="68"/>
      <c r="M60" s="68"/>
      <c r="N60" s="68"/>
      <c r="O60" s="68"/>
      <c r="P60" s="68"/>
      <c r="Q60" s="68"/>
      <c r="R60" s="68"/>
    </row>
    <row r="61" spans="1:21" s="49" customFormat="1" ht="21" customHeight="1">
      <c r="A61" s="55" t="s">
        <v>67</v>
      </c>
      <c r="B61" s="56"/>
      <c r="C61" s="56"/>
      <c r="D61" s="56"/>
      <c r="E61" s="56"/>
      <c r="F61" s="56"/>
      <c r="G61" s="56"/>
      <c r="H61" s="56"/>
      <c r="I61" s="56"/>
      <c r="J61" s="56"/>
      <c r="K61" s="56"/>
      <c r="L61" s="56"/>
      <c r="M61" s="56"/>
      <c r="N61" s="56"/>
      <c r="O61" s="56"/>
      <c r="P61" s="57" t="s">
        <v>68</v>
      </c>
      <c r="Q61" s="48"/>
      <c r="R61" s="48"/>
      <c r="S61" s="48"/>
    </row>
    <row r="62" spans="1:21" ht="19.5" customHeight="1">
      <c r="A62" s="109" t="s">
        <v>69</v>
      </c>
      <c r="B62" s="110"/>
      <c r="C62" s="110"/>
      <c r="D62" s="110"/>
      <c r="E62" s="110"/>
      <c r="F62" s="110"/>
      <c r="G62" s="110"/>
      <c r="H62" s="110"/>
      <c r="I62" s="110"/>
      <c r="J62" s="110"/>
      <c r="K62" s="110"/>
      <c r="L62" s="110"/>
      <c r="M62" s="110"/>
      <c r="N62" s="110"/>
      <c r="O62" s="110"/>
      <c r="P62" s="57">
        <f>SUM(A62:O62)</f>
        <v>0</v>
      </c>
      <c r="Q62" s="6"/>
      <c r="R62" s="6"/>
      <c r="S62" s="6"/>
    </row>
    <row r="63" spans="1:21" ht="18" customHeight="1">
      <c r="A63" s="109" t="s">
        <v>70</v>
      </c>
      <c r="B63" s="110"/>
      <c r="C63" s="110"/>
      <c r="D63" s="110"/>
      <c r="E63" s="110"/>
      <c r="F63" s="110"/>
      <c r="G63" s="110"/>
      <c r="H63" s="110"/>
      <c r="I63" s="110"/>
      <c r="J63" s="110"/>
      <c r="K63" s="110"/>
      <c r="L63" s="110"/>
      <c r="M63" s="110"/>
      <c r="N63" s="110"/>
      <c r="O63" s="110"/>
      <c r="P63" s="57">
        <f>SUM(A63:O63)</f>
        <v>0</v>
      </c>
      <c r="Q63" s="6"/>
      <c r="R63" s="6"/>
      <c r="S63" s="6"/>
    </row>
    <row r="64" spans="1:21" ht="18.75" customHeight="1">
      <c r="A64" s="86" t="s">
        <v>71</v>
      </c>
      <c r="B64" s="87">
        <f>B63-B62</f>
        <v>0</v>
      </c>
      <c r="C64" s="87">
        <f>C63-C62</f>
        <v>0</v>
      </c>
      <c r="D64" s="87">
        <f t="shared" ref="D64:O64" si="0">D63-D62</f>
        <v>0</v>
      </c>
      <c r="E64" s="87">
        <f t="shared" si="0"/>
        <v>0</v>
      </c>
      <c r="F64" s="87">
        <f t="shared" si="0"/>
        <v>0</v>
      </c>
      <c r="G64" s="87">
        <f t="shared" si="0"/>
        <v>0</v>
      </c>
      <c r="H64" s="87">
        <f t="shared" si="0"/>
        <v>0</v>
      </c>
      <c r="I64" s="87">
        <f t="shared" si="0"/>
        <v>0</v>
      </c>
      <c r="J64" s="87">
        <f t="shared" si="0"/>
        <v>0</v>
      </c>
      <c r="K64" s="87">
        <f t="shared" si="0"/>
        <v>0</v>
      </c>
      <c r="L64" s="87">
        <f t="shared" si="0"/>
        <v>0</v>
      </c>
      <c r="M64" s="87">
        <f t="shared" si="0"/>
        <v>0</v>
      </c>
      <c r="N64" s="87">
        <f t="shared" si="0"/>
        <v>0</v>
      </c>
      <c r="O64" s="87">
        <f t="shared" si="0"/>
        <v>0</v>
      </c>
      <c r="P64" s="88">
        <f>SUM(A64:O64)</f>
        <v>0</v>
      </c>
      <c r="Q64" s="6"/>
      <c r="R64" s="6"/>
      <c r="S64" s="6"/>
    </row>
    <row r="65" spans="1:30" ht="18" customHeight="1">
      <c r="A65" s="86" t="s">
        <v>72</v>
      </c>
      <c r="B65" s="89" t="e">
        <f>B64/B62</f>
        <v>#DIV/0!</v>
      </c>
      <c r="C65" s="89" t="e">
        <f>C64/C62</f>
        <v>#DIV/0!</v>
      </c>
      <c r="D65" s="89" t="e">
        <f t="shared" ref="D65:P65" si="1">D64/D62</f>
        <v>#DIV/0!</v>
      </c>
      <c r="E65" s="89" t="e">
        <f t="shared" si="1"/>
        <v>#DIV/0!</v>
      </c>
      <c r="F65" s="89" t="e">
        <f t="shared" si="1"/>
        <v>#DIV/0!</v>
      </c>
      <c r="G65" s="89" t="e">
        <f t="shared" si="1"/>
        <v>#DIV/0!</v>
      </c>
      <c r="H65" s="89" t="e">
        <f t="shared" si="1"/>
        <v>#DIV/0!</v>
      </c>
      <c r="I65" s="89" t="e">
        <f t="shared" si="1"/>
        <v>#DIV/0!</v>
      </c>
      <c r="J65" s="89" t="e">
        <f t="shared" si="1"/>
        <v>#DIV/0!</v>
      </c>
      <c r="K65" s="89" t="e">
        <f t="shared" si="1"/>
        <v>#DIV/0!</v>
      </c>
      <c r="L65" s="89" t="e">
        <f t="shared" si="1"/>
        <v>#DIV/0!</v>
      </c>
      <c r="M65" s="89" t="e">
        <f t="shared" si="1"/>
        <v>#DIV/0!</v>
      </c>
      <c r="N65" s="89" t="e">
        <f t="shared" si="1"/>
        <v>#DIV/0!</v>
      </c>
      <c r="O65" s="89" t="e">
        <f t="shared" si="1"/>
        <v>#DIV/0!</v>
      </c>
      <c r="P65" s="90" t="e">
        <f t="shared" si="1"/>
        <v>#DIV/0!</v>
      </c>
      <c r="Q65" s="6"/>
      <c r="R65" s="6"/>
      <c r="S65" s="6"/>
    </row>
    <row r="66" spans="1:30" ht="18" customHeight="1">
      <c r="A66" s="98"/>
      <c r="B66" s="99"/>
      <c r="C66" s="99"/>
      <c r="D66" s="99"/>
      <c r="E66" s="99"/>
      <c r="F66" s="99"/>
      <c r="G66" s="99"/>
      <c r="H66" s="99"/>
      <c r="I66" s="99"/>
      <c r="J66" s="99"/>
      <c r="K66" s="99"/>
      <c r="L66" s="99"/>
      <c r="M66" s="99"/>
      <c r="N66" s="99"/>
      <c r="O66" s="99"/>
      <c r="P66" s="100"/>
      <c r="Q66" s="6"/>
      <c r="R66" s="6"/>
      <c r="S66" s="6"/>
    </row>
    <row r="67" spans="1:30" ht="18" hidden="1" customHeight="1">
      <c r="A67" s="55" t="s">
        <v>67</v>
      </c>
      <c r="B67" s="56"/>
      <c r="C67" s="56"/>
      <c r="D67" s="56"/>
      <c r="E67" s="56"/>
      <c r="F67" s="56"/>
      <c r="G67" s="56"/>
      <c r="H67" s="56"/>
      <c r="I67" s="56"/>
      <c r="J67" s="56"/>
      <c r="K67" s="56"/>
      <c r="L67" s="56"/>
      <c r="M67" s="56"/>
      <c r="N67" s="56"/>
      <c r="O67" s="56"/>
      <c r="P67" s="57" t="s">
        <v>68</v>
      </c>
      <c r="Q67" s="6"/>
      <c r="R67" s="6"/>
      <c r="S67" s="6"/>
    </row>
    <row r="68" spans="1:30" ht="18" hidden="1" customHeight="1">
      <c r="A68" s="109" t="s">
        <v>69</v>
      </c>
      <c r="B68" s="110"/>
      <c r="C68" s="110"/>
      <c r="D68" s="110"/>
      <c r="E68" s="110"/>
      <c r="F68" s="110"/>
      <c r="G68" s="110"/>
      <c r="H68" s="110"/>
      <c r="I68" s="110"/>
      <c r="J68" s="110"/>
      <c r="K68" s="110"/>
      <c r="L68" s="110"/>
      <c r="M68" s="110"/>
      <c r="N68" s="110"/>
      <c r="O68" s="110"/>
      <c r="P68" s="57">
        <f>SUM(A68:O68)</f>
        <v>0</v>
      </c>
      <c r="Q68" s="6"/>
      <c r="R68" s="6"/>
      <c r="S68" s="6"/>
    </row>
    <row r="69" spans="1:30" ht="18" hidden="1" customHeight="1">
      <c r="A69" s="109" t="s">
        <v>70</v>
      </c>
      <c r="B69" s="110"/>
      <c r="C69" s="110"/>
      <c r="D69" s="110"/>
      <c r="E69" s="110"/>
      <c r="F69" s="110"/>
      <c r="G69" s="110"/>
      <c r="H69" s="110"/>
      <c r="I69" s="110"/>
      <c r="J69" s="110"/>
      <c r="K69" s="110"/>
      <c r="L69" s="110"/>
      <c r="M69" s="110"/>
      <c r="N69" s="110"/>
      <c r="O69" s="110"/>
      <c r="P69" s="57">
        <f>SUM(A69:O69)</f>
        <v>0</v>
      </c>
      <c r="Q69" s="6"/>
      <c r="R69" s="6"/>
      <c r="S69" s="6"/>
    </row>
    <row r="70" spans="1:30" ht="18" hidden="1" customHeight="1">
      <c r="A70" s="86" t="s">
        <v>71</v>
      </c>
      <c r="B70" s="87">
        <f>B69-B68</f>
        <v>0</v>
      </c>
      <c r="C70" s="87">
        <f>C69-C68</f>
        <v>0</v>
      </c>
      <c r="D70" s="87">
        <f t="shared" ref="D70:O70" si="2">D69-D68</f>
        <v>0</v>
      </c>
      <c r="E70" s="87">
        <f t="shared" si="2"/>
        <v>0</v>
      </c>
      <c r="F70" s="87">
        <f t="shared" si="2"/>
        <v>0</v>
      </c>
      <c r="G70" s="87">
        <f t="shared" si="2"/>
        <v>0</v>
      </c>
      <c r="H70" s="87">
        <f t="shared" si="2"/>
        <v>0</v>
      </c>
      <c r="I70" s="87">
        <f t="shared" si="2"/>
        <v>0</v>
      </c>
      <c r="J70" s="87">
        <f t="shared" si="2"/>
        <v>0</v>
      </c>
      <c r="K70" s="87">
        <f t="shared" si="2"/>
        <v>0</v>
      </c>
      <c r="L70" s="87">
        <f t="shared" si="2"/>
        <v>0</v>
      </c>
      <c r="M70" s="87">
        <f t="shared" si="2"/>
        <v>0</v>
      </c>
      <c r="N70" s="87">
        <f t="shared" si="2"/>
        <v>0</v>
      </c>
      <c r="O70" s="87">
        <f t="shared" si="2"/>
        <v>0</v>
      </c>
      <c r="P70" s="88">
        <f>SUM(A70:O70)</f>
        <v>0</v>
      </c>
      <c r="Q70" s="6"/>
      <c r="R70" s="6"/>
      <c r="S70" s="6"/>
    </row>
    <row r="71" spans="1:30" ht="18" hidden="1" customHeight="1">
      <c r="A71" s="86" t="s">
        <v>72</v>
      </c>
      <c r="B71" s="89" t="e">
        <f>B70/B68</f>
        <v>#DIV/0!</v>
      </c>
      <c r="C71" s="89" t="e">
        <f>C70/C68</f>
        <v>#DIV/0!</v>
      </c>
      <c r="D71" s="89" t="e">
        <f t="shared" ref="D71:P71" si="3">D70/D68</f>
        <v>#DIV/0!</v>
      </c>
      <c r="E71" s="89" t="e">
        <f t="shared" si="3"/>
        <v>#DIV/0!</v>
      </c>
      <c r="F71" s="89" t="e">
        <f t="shared" si="3"/>
        <v>#DIV/0!</v>
      </c>
      <c r="G71" s="89" t="e">
        <f t="shared" si="3"/>
        <v>#DIV/0!</v>
      </c>
      <c r="H71" s="89" t="e">
        <f t="shared" si="3"/>
        <v>#DIV/0!</v>
      </c>
      <c r="I71" s="89" t="e">
        <f t="shared" si="3"/>
        <v>#DIV/0!</v>
      </c>
      <c r="J71" s="89" t="e">
        <f t="shared" si="3"/>
        <v>#DIV/0!</v>
      </c>
      <c r="K71" s="89" t="e">
        <f t="shared" si="3"/>
        <v>#DIV/0!</v>
      </c>
      <c r="L71" s="89" t="e">
        <f t="shared" si="3"/>
        <v>#DIV/0!</v>
      </c>
      <c r="M71" s="89" t="e">
        <f t="shared" si="3"/>
        <v>#DIV/0!</v>
      </c>
      <c r="N71" s="89" t="e">
        <f t="shared" si="3"/>
        <v>#DIV/0!</v>
      </c>
      <c r="O71" s="89" t="e">
        <f t="shared" si="3"/>
        <v>#DIV/0!</v>
      </c>
      <c r="P71" s="90" t="e">
        <f t="shared" si="3"/>
        <v>#DIV/0!</v>
      </c>
      <c r="Q71" s="6"/>
      <c r="R71" s="6"/>
      <c r="S71" s="6"/>
    </row>
    <row r="72" spans="1:30" ht="18" hidden="1" customHeight="1">
      <c r="A72" s="98"/>
      <c r="B72" s="99"/>
      <c r="C72" s="99"/>
      <c r="D72" s="99"/>
      <c r="E72" s="99"/>
      <c r="F72" s="99"/>
      <c r="G72" s="99"/>
      <c r="H72" s="99"/>
      <c r="I72" s="99"/>
      <c r="J72" s="99"/>
      <c r="K72" s="99"/>
      <c r="L72" s="99"/>
      <c r="M72" s="99"/>
      <c r="N72" s="99"/>
      <c r="O72" s="99"/>
      <c r="P72" s="100"/>
      <c r="Q72" s="6"/>
      <c r="R72" s="6"/>
      <c r="S72" s="6"/>
    </row>
    <row r="73" spans="1:30" ht="18" hidden="1" customHeight="1">
      <c r="A73" s="55" t="s">
        <v>67</v>
      </c>
      <c r="B73" s="56"/>
      <c r="C73" s="56"/>
      <c r="D73" s="56"/>
      <c r="E73" s="56"/>
      <c r="F73" s="56"/>
      <c r="G73" s="56"/>
      <c r="H73" s="56"/>
      <c r="I73" s="56"/>
      <c r="J73" s="56"/>
      <c r="K73" s="56"/>
      <c r="L73" s="56"/>
      <c r="M73" s="56"/>
      <c r="N73" s="56"/>
      <c r="O73" s="56"/>
      <c r="P73" s="57" t="s">
        <v>68</v>
      </c>
      <c r="Q73" s="6"/>
      <c r="R73" s="6"/>
      <c r="S73" s="6"/>
    </row>
    <row r="74" spans="1:30" ht="18" hidden="1" customHeight="1">
      <c r="A74" s="109" t="s">
        <v>69</v>
      </c>
      <c r="B74" s="110"/>
      <c r="C74" s="110"/>
      <c r="D74" s="110"/>
      <c r="E74" s="110"/>
      <c r="F74" s="110"/>
      <c r="G74" s="110"/>
      <c r="H74" s="110"/>
      <c r="I74" s="110"/>
      <c r="J74" s="110"/>
      <c r="K74" s="110"/>
      <c r="L74" s="110"/>
      <c r="M74" s="110"/>
      <c r="N74" s="110"/>
      <c r="O74" s="110"/>
      <c r="P74" s="57">
        <f>SUM(A74:O74)</f>
        <v>0</v>
      </c>
      <c r="Q74" s="6"/>
      <c r="R74" s="6"/>
      <c r="S74" s="6"/>
    </row>
    <row r="75" spans="1:30" ht="18" hidden="1" customHeight="1">
      <c r="A75" s="109" t="s">
        <v>70</v>
      </c>
      <c r="B75" s="110"/>
      <c r="C75" s="110"/>
      <c r="D75" s="110"/>
      <c r="E75" s="110"/>
      <c r="F75" s="110"/>
      <c r="G75" s="110"/>
      <c r="H75" s="110"/>
      <c r="I75" s="110"/>
      <c r="J75" s="110"/>
      <c r="K75" s="110"/>
      <c r="L75" s="110"/>
      <c r="M75" s="110"/>
      <c r="N75" s="110"/>
      <c r="O75" s="110"/>
      <c r="P75" s="57">
        <f>SUM(A75:O75)</f>
        <v>0</v>
      </c>
      <c r="Q75" s="6"/>
      <c r="R75" s="6"/>
      <c r="S75" s="6"/>
    </row>
    <row r="76" spans="1:30" ht="18" hidden="1" customHeight="1">
      <c r="A76" s="86" t="s">
        <v>71</v>
      </c>
      <c r="B76" s="87">
        <f>B75-B74</f>
        <v>0</v>
      </c>
      <c r="C76" s="87">
        <f>C75-C74</f>
        <v>0</v>
      </c>
      <c r="D76" s="87">
        <f t="shared" ref="D76:O76" si="4">D75-D74</f>
        <v>0</v>
      </c>
      <c r="E76" s="87">
        <f t="shared" si="4"/>
        <v>0</v>
      </c>
      <c r="F76" s="87">
        <f t="shared" si="4"/>
        <v>0</v>
      </c>
      <c r="G76" s="87">
        <f t="shared" si="4"/>
        <v>0</v>
      </c>
      <c r="H76" s="87">
        <f t="shared" si="4"/>
        <v>0</v>
      </c>
      <c r="I76" s="87">
        <f t="shared" si="4"/>
        <v>0</v>
      </c>
      <c r="J76" s="87">
        <f t="shared" si="4"/>
        <v>0</v>
      </c>
      <c r="K76" s="87">
        <f t="shared" si="4"/>
        <v>0</v>
      </c>
      <c r="L76" s="87">
        <f t="shared" si="4"/>
        <v>0</v>
      </c>
      <c r="M76" s="87">
        <f t="shared" si="4"/>
        <v>0</v>
      </c>
      <c r="N76" s="87">
        <f t="shared" si="4"/>
        <v>0</v>
      </c>
      <c r="O76" s="87">
        <f t="shared" si="4"/>
        <v>0</v>
      </c>
      <c r="P76" s="88">
        <f>SUM(A76:O76)</f>
        <v>0</v>
      </c>
      <c r="Q76" s="6"/>
      <c r="R76" s="6"/>
      <c r="S76" s="6"/>
    </row>
    <row r="77" spans="1:30" ht="18" hidden="1" customHeight="1">
      <c r="A77" s="86" t="s">
        <v>72</v>
      </c>
      <c r="B77" s="89" t="e">
        <f>B76/B74</f>
        <v>#DIV/0!</v>
      </c>
      <c r="C77" s="89" t="e">
        <f>C76/C74</f>
        <v>#DIV/0!</v>
      </c>
      <c r="D77" s="89" t="e">
        <f t="shared" ref="D77:P77" si="5">D76/D74</f>
        <v>#DIV/0!</v>
      </c>
      <c r="E77" s="89" t="e">
        <f t="shared" si="5"/>
        <v>#DIV/0!</v>
      </c>
      <c r="F77" s="89" t="e">
        <f t="shared" si="5"/>
        <v>#DIV/0!</v>
      </c>
      <c r="G77" s="89" t="e">
        <f t="shared" si="5"/>
        <v>#DIV/0!</v>
      </c>
      <c r="H77" s="89" t="e">
        <f t="shared" si="5"/>
        <v>#DIV/0!</v>
      </c>
      <c r="I77" s="89" t="e">
        <f t="shared" si="5"/>
        <v>#DIV/0!</v>
      </c>
      <c r="J77" s="89" t="e">
        <f t="shared" si="5"/>
        <v>#DIV/0!</v>
      </c>
      <c r="K77" s="89" t="e">
        <f t="shared" si="5"/>
        <v>#DIV/0!</v>
      </c>
      <c r="L77" s="89" t="e">
        <f t="shared" si="5"/>
        <v>#DIV/0!</v>
      </c>
      <c r="M77" s="89" t="e">
        <f t="shared" si="5"/>
        <v>#DIV/0!</v>
      </c>
      <c r="N77" s="89" t="e">
        <f t="shared" si="5"/>
        <v>#DIV/0!</v>
      </c>
      <c r="O77" s="89" t="e">
        <f t="shared" si="5"/>
        <v>#DIV/0!</v>
      </c>
      <c r="P77" s="90" t="e">
        <f t="shared" si="5"/>
        <v>#DIV/0!</v>
      </c>
      <c r="Q77" s="6"/>
      <c r="R77" s="6"/>
      <c r="S77" s="6"/>
    </row>
    <row r="78" spans="1:30" ht="18" hidden="1" customHeight="1">
      <c r="A78" s="98"/>
      <c r="B78" s="99"/>
      <c r="C78" s="99"/>
      <c r="D78" s="99"/>
      <c r="E78" s="99"/>
      <c r="F78" s="99"/>
      <c r="G78" s="99"/>
      <c r="H78" s="99"/>
      <c r="I78" s="99"/>
      <c r="J78" s="99"/>
      <c r="K78" s="99"/>
      <c r="L78" s="99"/>
      <c r="M78" s="99"/>
      <c r="N78" s="99"/>
      <c r="O78" s="99"/>
      <c r="P78" s="100"/>
      <c r="Q78" s="6"/>
      <c r="R78" s="6"/>
      <c r="S78" s="6"/>
    </row>
    <row r="79" spans="1:30" ht="42" customHeight="1">
      <c r="A79" s="287" t="s">
        <v>73</v>
      </c>
      <c r="B79" s="287"/>
      <c r="C79" s="287"/>
      <c r="D79" s="287"/>
      <c r="E79" s="287"/>
      <c r="F79" s="287"/>
      <c r="G79" s="287"/>
      <c r="H79" s="287"/>
      <c r="I79" s="287"/>
      <c r="J79" s="287"/>
      <c r="K79" s="287"/>
      <c r="L79" s="287"/>
      <c r="M79" s="287"/>
      <c r="N79" s="287"/>
      <c r="O79" s="287"/>
      <c r="P79" s="287"/>
      <c r="R79" s="4"/>
      <c r="S79" s="4"/>
      <c r="T79" s="4"/>
      <c r="U79" s="4"/>
      <c r="V79" s="4"/>
      <c r="W79" s="4"/>
      <c r="X79" s="4"/>
      <c r="Y79" s="4"/>
      <c r="Z79" s="4"/>
      <c r="AA79" s="4"/>
      <c r="AB79" s="4"/>
      <c r="AC79" s="4"/>
      <c r="AD79" s="4"/>
    </row>
    <row r="80" spans="1:30" ht="38.25" customHeight="1">
      <c r="A80" s="287" t="s">
        <v>74</v>
      </c>
      <c r="B80" s="287"/>
      <c r="C80" s="287"/>
      <c r="D80" s="287"/>
      <c r="E80" s="287"/>
      <c r="F80" s="287"/>
      <c r="G80" s="287"/>
      <c r="H80" s="287"/>
      <c r="I80" s="287"/>
      <c r="J80" s="287"/>
      <c r="K80" s="287"/>
      <c r="L80" s="287"/>
      <c r="M80" s="287"/>
      <c r="N80" s="287"/>
      <c r="O80" s="287"/>
      <c r="P80" s="287"/>
      <c r="R80" s="4"/>
      <c r="S80" s="4"/>
      <c r="T80" s="4"/>
      <c r="U80" s="4"/>
      <c r="V80" s="4"/>
      <c r="W80" s="4"/>
      <c r="X80" s="4"/>
      <c r="Y80" s="4"/>
      <c r="Z80" s="4"/>
      <c r="AA80" s="4"/>
      <c r="AB80" s="4"/>
      <c r="AC80" s="4"/>
      <c r="AD80" s="4"/>
    </row>
    <row r="81" spans="1:30" ht="18.75" customHeight="1">
      <c r="A81" s="287" t="s">
        <v>75</v>
      </c>
      <c r="B81" s="287"/>
      <c r="C81" s="287"/>
      <c r="D81" s="287"/>
      <c r="E81" s="287"/>
      <c r="F81" s="287"/>
      <c r="G81" s="287"/>
      <c r="H81" s="287"/>
      <c r="I81" s="287"/>
      <c r="J81" s="287"/>
      <c r="K81" s="287"/>
      <c r="L81" s="287"/>
      <c r="M81" s="287"/>
      <c r="N81" s="287"/>
      <c r="O81" s="287"/>
      <c r="P81" s="287"/>
      <c r="R81" s="4"/>
      <c r="S81" s="4"/>
      <c r="T81" s="4"/>
      <c r="U81" s="4"/>
      <c r="V81" s="4"/>
      <c r="W81" s="4"/>
      <c r="X81" s="4"/>
      <c r="Y81" s="4"/>
      <c r="Z81" s="4"/>
      <c r="AA81" s="4"/>
      <c r="AB81" s="4"/>
      <c r="AC81" s="4"/>
      <c r="AD81" s="4"/>
    </row>
    <row r="82" spans="1:30" ht="1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row>
    <row r="83" spans="1:30" ht="18">
      <c r="A83" s="288" t="s">
        <v>76</v>
      </c>
      <c r="B83" s="246"/>
      <c r="D83" s="64"/>
      <c r="E83" s="64"/>
      <c r="F83" s="64"/>
      <c r="G83" s="11"/>
      <c r="H83" s="11"/>
      <c r="I83" s="11"/>
      <c r="J83" s="11"/>
      <c r="K83" s="11"/>
      <c r="L83" s="11"/>
      <c r="M83" s="11"/>
      <c r="N83" s="11"/>
      <c r="O83" s="11"/>
      <c r="P83" s="11"/>
      <c r="Q83" s="11"/>
    </row>
    <row r="85" spans="1:30" ht="47.25" customHeight="1">
      <c r="A85" s="289" t="s">
        <v>77</v>
      </c>
      <c r="B85" s="289"/>
      <c r="C85" s="319"/>
      <c r="D85" s="319"/>
      <c r="E85" s="319"/>
      <c r="F85" s="319"/>
      <c r="G85" s="319"/>
      <c r="H85" s="319"/>
      <c r="I85" s="44"/>
      <c r="J85" s="291" t="s">
        <v>78</v>
      </c>
      <c r="K85" s="324"/>
      <c r="L85" s="310"/>
      <c r="M85" s="311"/>
      <c r="N85" s="311"/>
      <c r="O85" s="311"/>
      <c r="P85" s="312"/>
    </row>
    <row r="86" spans="1:30" ht="15">
      <c r="G86" s="4"/>
      <c r="H86" s="4"/>
      <c r="I86" s="4"/>
      <c r="J86" s="4"/>
      <c r="K86" s="4"/>
      <c r="L86" s="313"/>
      <c r="M86" s="314"/>
      <c r="N86" s="314"/>
      <c r="O86" s="314"/>
      <c r="P86" s="315"/>
    </row>
    <row r="87" spans="1:30" ht="22.5" customHeight="1">
      <c r="A87" s="292" t="s">
        <v>79</v>
      </c>
      <c r="B87" s="292"/>
      <c r="C87" s="320"/>
      <c r="D87" s="320"/>
      <c r="E87" s="320"/>
      <c r="F87" s="320"/>
      <c r="G87" s="320"/>
      <c r="H87" s="320"/>
      <c r="I87" s="44"/>
      <c r="J87" s="4"/>
      <c r="K87" s="4"/>
      <c r="L87" s="313"/>
      <c r="M87" s="314"/>
      <c r="N87" s="314"/>
      <c r="O87" s="314"/>
      <c r="P87" s="315"/>
    </row>
    <row r="88" spans="1:30" ht="15">
      <c r="G88" s="4"/>
      <c r="H88" s="4"/>
      <c r="I88" s="4"/>
      <c r="J88" s="4"/>
      <c r="K88" s="4"/>
      <c r="L88" s="313"/>
      <c r="M88" s="314"/>
      <c r="N88" s="314"/>
      <c r="O88" s="314"/>
      <c r="P88" s="315"/>
    </row>
    <row r="89" spans="1:30">
      <c r="A89" s="280" t="s">
        <v>80</v>
      </c>
      <c r="B89" s="281"/>
      <c r="C89" s="321"/>
      <c r="D89" s="322"/>
      <c r="E89" s="322"/>
      <c r="F89" s="322"/>
      <c r="G89" s="322"/>
      <c r="H89" s="323"/>
      <c r="I89" s="44"/>
      <c r="L89" s="316"/>
      <c r="M89" s="317"/>
      <c r="N89" s="317"/>
      <c r="O89" s="317"/>
      <c r="P89" s="318"/>
    </row>
  </sheetData>
  <mergeCells count="184">
    <mergeCell ref="J2:K2"/>
    <mergeCell ref="A79:P79"/>
    <mergeCell ref="A80:P80"/>
    <mergeCell ref="A81:P81"/>
    <mergeCell ref="A83:B83"/>
    <mergeCell ref="A87:B87"/>
    <mergeCell ref="I55:J55"/>
    <mergeCell ref="O55:P55"/>
    <mergeCell ref="I56:J56"/>
    <mergeCell ref="O56:P56"/>
    <mergeCell ref="A58:K58"/>
    <mergeCell ref="A59:R59"/>
    <mergeCell ref="C53:D53"/>
    <mergeCell ref="E53:F53"/>
    <mergeCell ref="I53:J53"/>
    <mergeCell ref="O53:P53"/>
    <mergeCell ref="I54:J54"/>
    <mergeCell ref="O54:P54"/>
    <mergeCell ref="C47:D47"/>
    <mergeCell ref="E47:F47"/>
    <mergeCell ref="I47:J47"/>
    <mergeCell ref="O47:P47"/>
    <mergeCell ref="C48:D48"/>
    <mergeCell ref="E48:F48"/>
    <mergeCell ref="I48:J48"/>
    <mergeCell ref="O48:P48"/>
    <mergeCell ref="C45:D45"/>
    <mergeCell ref="E45:F45"/>
    <mergeCell ref="I45:J45"/>
    <mergeCell ref="O45:P45"/>
    <mergeCell ref="C46:D46"/>
    <mergeCell ref="E46:F46"/>
    <mergeCell ref="I46:J46"/>
    <mergeCell ref="O46:P46"/>
    <mergeCell ref="C43:D43"/>
    <mergeCell ref="E43:F43"/>
    <mergeCell ref="I43:J43"/>
    <mergeCell ref="O43:P43"/>
    <mergeCell ref="C44:D44"/>
    <mergeCell ref="E44:F44"/>
    <mergeCell ref="I44:J44"/>
    <mergeCell ref="O44:P44"/>
    <mergeCell ref="C41:D41"/>
    <mergeCell ref="E41:F41"/>
    <mergeCell ref="I41:J41"/>
    <mergeCell ref="O41:P41"/>
    <mergeCell ref="C42:D42"/>
    <mergeCell ref="E42:F42"/>
    <mergeCell ref="I42:J42"/>
    <mergeCell ref="O42:P42"/>
    <mergeCell ref="C39:D39"/>
    <mergeCell ref="E39:F39"/>
    <mergeCell ref="I39:J39"/>
    <mergeCell ref="O39:P39"/>
    <mergeCell ref="C40:D40"/>
    <mergeCell ref="E40:F40"/>
    <mergeCell ref="I40:J40"/>
    <mergeCell ref="O40:P40"/>
    <mergeCell ref="C37:D37"/>
    <mergeCell ref="E37:F37"/>
    <mergeCell ref="I37:J37"/>
    <mergeCell ref="O37:P37"/>
    <mergeCell ref="C38:D38"/>
    <mergeCell ref="E38:F38"/>
    <mergeCell ref="I38:J38"/>
    <mergeCell ref="O38:P38"/>
    <mergeCell ref="C35:D35"/>
    <mergeCell ref="E35:F35"/>
    <mergeCell ref="I35:J35"/>
    <mergeCell ref="O35:P35"/>
    <mergeCell ref="C36:D36"/>
    <mergeCell ref="E36:F36"/>
    <mergeCell ref="I36:J36"/>
    <mergeCell ref="O36:P36"/>
    <mergeCell ref="C34:D34"/>
    <mergeCell ref="E34:F34"/>
    <mergeCell ref="I34:J34"/>
    <mergeCell ref="O34:P34"/>
    <mergeCell ref="E28:F28"/>
    <mergeCell ref="I28:J28"/>
    <mergeCell ref="O28:P28"/>
    <mergeCell ref="C33:D33"/>
    <mergeCell ref="E33:F33"/>
    <mergeCell ref="I33:J33"/>
    <mergeCell ref="O33:P33"/>
    <mergeCell ref="O26:P26"/>
    <mergeCell ref="C31:D31"/>
    <mergeCell ref="E31:F31"/>
    <mergeCell ref="I31:J31"/>
    <mergeCell ref="O31:P31"/>
    <mergeCell ref="C32:D32"/>
    <mergeCell ref="E32:F32"/>
    <mergeCell ref="I32:J32"/>
    <mergeCell ref="O32:P32"/>
    <mergeCell ref="C30:D30"/>
    <mergeCell ref="E30:F30"/>
    <mergeCell ref="I30:J30"/>
    <mergeCell ref="O30:P30"/>
    <mergeCell ref="C24:D24"/>
    <mergeCell ref="E24:F24"/>
    <mergeCell ref="I24:J24"/>
    <mergeCell ref="O24:P24"/>
    <mergeCell ref="C29:D29"/>
    <mergeCell ref="E29:F29"/>
    <mergeCell ref="I29:J29"/>
    <mergeCell ref="O29:P29"/>
    <mergeCell ref="C21:D21"/>
    <mergeCell ref="E21:F21"/>
    <mergeCell ref="I21:J21"/>
    <mergeCell ref="O21:P21"/>
    <mergeCell ref="C27:D27"/>
    <mergeCell ref="E27:F27"/>
    <mergeCell ref="I27:J27"/>
    <mergeCell ref="O27:P27"/>
    <mergeCell ref="C25:D25"/>
    <mergeCell ref="E25:F25"/>
    <mergeCell ref="I25:J25"/>
    <mergeCell ref="O25:P25"/>
    <mergeCell ref="C26:D26"/>
    <mergeCell ref="E26:F26"/>
    <mergeCell ref="I26:J26"/>
    <mergeCell ref="C28:D28"/>
    <mergeCell ref="A22:B22"/>
    <mergeCell ref="C22:D23"/>
    <mergeCell ref="E22:F23"/>
    <mergeCell ref="G22:G23"/>
    <mergeCell ref="H22:H23"/>
    <mergeCell ref="I22:J23"/>
    <mergeCell ref="K22:M22"/>
    <mergeCell ref="N22:N23"/>
    <mergeCell ref="O22:P23"/>
    <mergeCell ref="A16:H16"/>
    <mergeCell ref="J16:O16"/>
    <mergeCell ref="A17:D17"/>
    <mergeCell ref="E17:H17"/>
    <mergeCell ref="J17:P17"/>
    <mergeCell ref="A18:D18"/>
    <mergeCell ref="E18:H18"/>
    <mergeCell ref="J18:L18"/>
    <mergeCell ref="M18:P18"/>
    <mergeCell ref="A15:C15"/>
    <mergeCell ref="D15:H15"/>
    <mergeCell ref="J15:O15"/>
    <mergeCell ref="A10:B10"/>
    <mergeCell ref="C10:H10"/>
    <mergeCell ref="A11:B11"/>
    <mergeCell ref="C11:H11"/>
    <mergeCell ref="A12:B12"/>
    <mergeCell ref="C12:H12"/>
    <mergeCell ref="A4:B4"/>
    <mergeCell ref="C4:H4"/>
    <mergeCell ref="J4:K4"/>
    <mergeCell ref="L4:P4"/>
    <mergeCell ref="A6:C6"/>
    <mergeCell ref="D6:H6"/>
    <mergeCell ref="A13:H13"/>
    <mergeCell ref="A14:C14"/>
    <mergeCell ref="D14:H14"/>
    <mergeCell ref="J14:O14"/>
    <mergeCell ref="P10:P13"/>
    <mergeCell ref="A1:P1"/>
    <mergeCell ref="A2:B2"/>
    <mergeCell ref="C2:H2"/>
    <mergeCell ref="L2:P2"/>
    <mergeCell ref="A3:B3"/>
    <mergeCell ref="C3:H3"/>
    <mergeCell ref="J3:K3"/>
    <mergeCell ref="L3:P3"/>
    <mergeCell ref="A85:B85"/>
    <mergeCell ref="L85:P89"/>
    <mergeCell ref="P7:P9"/>
    <mergeCell ref="P14:P16"/>
    <mergeCell ref="C85:H85"/>
    <mergeCell ref="C87:H87"/>
    <mergeCell ref="C89:H89"/>
    <mergeCell ref="A89:B89"/>
    <mergeCell ref="J85:K85"/>
    <mergeCell ref="A7:C7"/>
    <mergeCell ref="D7:H7"/>
    <mergeCell ref="J7:O7"/>
    <mergeCell ref="A8:H8"/>
    <mergeCell ref="J8:O8"/>
    <mergeCell ref="A9:H9"/>
    <mergeCell ref="J9:O9"/>
  </mergeCells>
  <printOptions verticalCentered="1"/>
  <pageMargins left="0.39370078740157483" right="0.39370078740157483" top="0.74803149606299213" bottom="0.74803149606299213" header="0.31496062992125984" footer="0.31496062992125984"/>
  <pageSetup paperSize="9" scale="50"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1"/>
  <sheetViews>
    <sheetView workbookViewId="0">
      <selection activeCell="A8" sqref="A8"/>
    </sheetView>
  </sheetViews>
  <sheetFormatPr defaultColWidth="12.5703125" defaultRowHeight="15.75" customHeight="1"/>
  <cols>
    <col min="1" max="1" width="75.5703125" customWidth="1"/>
    <col min="2" max="2" width="3.42578125" customWidth="1"/>
    <col min="3" max="3" width="78.85546875" customWidth="1"/>
    <col min="4" max="4" width="3.7109375" customWidth="1"/>
    <col min="5" max="5" width="79.7109375" customWidth="1"/>
    <col min="6" max="6" width="4.5703125" customWidth="1"/>
    <col min="7" max="7" width="84.5703125" customWidth="1"/>
    <col min="8" max="26" width="11" customWidth="1"/>
  </cols>
  <sheetData>
    <row r="1" spans="1:26" ht="15" customHeight="1">
      <c r="A1" s="113" t="s">
        <v>81</v>
      </c>
      <c r="B1" s="8"/>
      <c r="C1" s="9"/>
      <c r="D1" s="10"/>
      <c r="E1" s="11"/>
      <c r="F1" s="11"/>
      <c r="G1" s="12"/>
      <c r="H1" s="11"/>
      <c r="I1" s="11"/>
      <c r="J1" s="11"/>
      <c r="K1" s="11"/>
      <c r="L1" s="11"/>
      <c r="M1" s="11"/>
      <c r="N1" s="11"/>
      <c r="O1" s="11"/>
      <c r="P1" s="11"/>
      <c r="Q1" s="11"/>
      <c r="R1" s="11"/>
      <c r="S1" s="11"/>
      <c r="T1" s="11"/>
      <c r="U1" s="11"/>
      <c r="V1" s="11"/>
      <c r="W1" s="11"/>
      <c r="X1" s="11"/>
      <c r="Y1" s="11"/>
      <c r="Z1" s="11"/>
    </row>
    <row r="2" spans="1:26" ht="15" customHeight="1">
      <c r="A2" s="13"/>
      <c r="B2" s="13"/>
      <c r="C2" s="13"/>
      <c r="D2" s="13"/>
      <c r="E2" s="13"/>
      <c r="F2" s="11"/>
      <c r="G2" s="14"/>
      <c r="H2" s="11"/>
      <c r="I2" s="11"/>
      <c r="J2" s="11"/>
      <c r="K2" s="11"/>
      <c r="L2" s="11"/>
      <c r="M2" s="11"/>
      <c r="N2" s="11"/>
      <c r="O2" s="11"/>
      <c r="P2" s="11"/>
      <c r="Q2" s="11"/>
      <c r="R2" s="11"/>
      <c r="S2" s="11"/>
      <c r="T2" s="11"/>
      <c r="U2" s="11"/>
      <c r="V2" s="11"/>
      <c r="W2" s="11"/>
      <c r="X2" s="11"/>
      <c r="Y2" s="11"/>
      <c r="Z2" s="11"/>
    </row>
    <row r="3" spans="1:26" ht="15" customHeight="1">
      <c r="A3" s="15" t="s">
        <v>82</v>
      </c>
      <c r="B3" s="13"/>
      <c r="C3" s="15" t="s">
        <v>83</v>
      </c>
      <c r="D3" s="13"/>
      <c r="E3" s="15" t="s">
        <v>84</v>
      </c>
      <c r="F3" s="11"/>
      <c r="G3" s="15" t="s">
        <v>85</v>
      </c>
      <c r="H3" s="11"/>
      <c r="I3" s="11"/>
      <c r="J3" s="11"/>
      <c r="K3" s="11"/>
      <c r="L3" s="11"/>
      <c r="M3" s="11"/>
      <c r="N3" s="11"/>
      <c r="O3" s="11"/>
      <c r="P3" s="11"/>
      <c r="Q3" s="11"/>
      <c r="R3" s="11"/>
      <c r="S3" s="11"/>
      <c r="T3" s="11"/>
      <c r="U3" s="11"/>
      <c r="V3" s="11"/>
      <c r="W3" s="11"/>
      <c r="X3" s="11"/>
      <c r="Y3" s="11"/>
      <c r="Z3" s="11"/>
    </row>
    <row r="4" spans="1:26" ht="15" customHeight="1">
      <c r="A4" s="16"/>
      <c r="B4" s="11"/>
      <c r="C4" s="16"/>
      <c r="D4" s="11"/>
      <c r="E4" s="16"/>
      <c r="F4" s="11"/>
      <c r="G4" s="16"/>
      <c r="H4" s="11"/>
      <c r="I4" s="11"/>
      <c r="J4" s="11"/>
      <c r="K4" s="11"/>
      <c r="L4" s="11"/>
      <c r="M4" s="11"/>
      <c r="N4" s="11"/>
      <c r="O4" s="11"/>
      <c r="P4" s="11"/>
      <c r="Q4" s="11"/>
      <c r="R4" s="11"/>
      <c r="S4" s="11"/>
      <c r="T4" s="11"/>
      <c r="U4" s="11"/>
      <c r="V4" s="11"/>
      <c r="W4" s="11"/>
      <c r="X4" s="11"/>
      <c r="Y4" s="11"/>
      <c r="Z4" s="11"/>
    </row>
    <row r="5" spans="1:26" ht="105.75" customHeight="1">
      <c r="A5" s="102" t="s">
        <v>86</v>
      </c>
      <c r="B5" s="11"/>
      <c r="C5" s="105" t="s">
        <v>87</v>
      </c>
      <c r="D5" s="10"/>
      <c r="E5" s="106" t="s">
        <v>88</v>
      </c>
      <c r="F5" s="11"/>
      <c r="G5" s="107" t="s">
        <v>89</v>
      </c>
      <c r="H5" s="11"/>
      <c r="I5" s="11"/>
      <c r="J5" s="11"/>
      <c r="K5" s="11"/>
      <c r="L5" s="11"/>
      <c r="M5" s="11"/>
      <c r="N5" s="11"/>
      <c r="O5" s="11"/>
      <c r="P5" s="11"/>
      <c r="Q5" s="11"/>
      <c r="R5" s="11"/>
      <c r="S5" s="11"/>
      <c r="T5" s="11"/>
      <c r="U5" s="11"/>
      <c r="V5" s="11"/>
      <c r="W5" s="11"/>
      <c r="X5" s="11"/>
      <c r="Y5" s="11"/>
      <c r="Z5" s="11"/>
    </row>
    <row r="6" spans="1:26" ht="15">
      <c r="A6" s="17"/>
      <c r="B6" s="11"/>
      <c r="C6" s="19" t="s">
        <v>90</v>
      </c>
      <c r="D6" s="11"/>
      <c r="E6" s="108" t="s">
        <v>91</v>
      </c>
      <c r="F6" s="11"/>
      <c r="G6" s="18" t="s">
        <v>92</v>
      </c>
      <c r="H6" s="11"/>
      <c r="I6" s="11"/>
      <c r="J6" s="11"/>
      <c r="K6" s="11"/>
      <c r="L6" s="11"/>
      <c r="M6" s="11"/>
      <c r="N6" s="11"/>
      <c r="O6" s="11"/>
      <c r="P6" s="11"/>
      <c r="Q6" s="11"/>
      <c r="R6" s="11"/>
      <c r="S6" s="11"/>
      <c r="T6" s="11"/>
      <c r="U6" s="11"/>
      <c r="V6" s="11"/>
      <c r="W6" s="11"/>
      <c r="X6" s="11"/>
      <c r="Y6" s="11"/>
      <c r="Z6" s="11"/>
    </row>
    <row r="7" spans="1:26" ht="15">
      <c r="A7" s="17"/>
      <c r="B7" s="11"/>
      <c r="C7" s="20" t="s">
        <v>93</v>
      </c>
      <c r="D7" s="21"/>
      <c r="E7" s="22" t="s">
        <v>94</v>
      </c>
      <c r="F7" s="11"/>
      <c r="G7" s="18"/>
      <c r="H7" s="11"/>
      <c r="I7" s="11"/>
      <c r="J7" s="11"/>
      <c r="K7" s="11"/>
      <c r="L7" s="11"/>
      <c r="M7" s="11"/>
      <c r="N7" s="11"/>
      <c r="O7" s="11"/>
      <c r="P7" s="11"/>
      <c r="Q7" s="11"/>
      <c r="R7" s="11"/>
      <c r="S7" s="11"/>
      <c r="T7" s="11"/>
      <c r="U7" s="11"/>
      <c r="V7" s="11"/>
      <c r="W7" s="11"/>
      <c r="X7" s="11"/>
      <c r="Y7" s="11"/>
      <c r="Z7" s="11"/>
    </row>
    <row r="8" spans="1:26" ht="30">
      <c r="A8" s="17"/>
      <c r="B8" s="11"/>
      <c r="C8" s="23"/>
      <c r="D8" s="11"/>
      <c r="E8" s="22" t="s">
        <v>95</v>
      </c>
      <c r="F8" s="11"/>
      <c r="G8" s="18" t="s">
        <v>96</v>
      </c>
      <c r="H8" s="11"/>
      <c r="I8" s="11"/>
      <c r="J8" s="11"/>
      <c r="K8" s="11"/>
      <c r="L8" s="11"/>
      <c r="M8" s="11"/>
      <c r="N8" s="11"/>
      <c r="O8" s="11"/>
      <c r="P8" s="11"/>
      <c r="Q8" s="11"/>
      <c r="R8" s="11"/>
      <c r="S8" s="11"/>
      <c r="T8" s="11"/>
      <c r="U8" s="11"/>
      <c r="V8" s="11"/>
      <c r="W8" s="11"/>
      <c r="X8" s="11"/>
      <c r="Y8" s="11"/>
      <c r="Z8" s="11"/>
    </row>
    <row r="9" spans="1:26" ht="15">
      <c r="A9" s="24"/>
      <c r="C9" s="24"/>
      <c r="D9" s="25"/>
      <c r="E9" s="22" t="s">
        <v>97</v>
      </c>
      <c r="F9" s="11"/>
      <c r="G9" s="18"/>
      <c r="H9" s="11"/>
      <c r="I9" s="11"/>
      <c r="J9" s="11"/>
      <c r="K9" s="11"/>
      <c r="L9" s="11"/>
      <c r="M9" s="11"/>
      <c r="N9" s="11"/>
      <c r="O9" s="11"/>
      <c r="P9" s="11"/>
      <c r="Q9" s="11"/>
      <c r="R9" s="11"/>
      <c r="S9" s="11"/>
      <c r="T9" s="11"/>
      <c r="U9" s="11"/>
      <c r="V9" s="11"/>
      <c r="W9" s="11"/>
      <c r="X9" s="11"/>
      <c r="Y9" s="11"/>
      <c r="Z9" s="11"/>
    </row>
    <row r="10" spans="1:26" ht="15">
      <c r="A10" s="26"/>
      <c r="B10" s="27"/>
      <c r="C10" s="26"/>
      <c r="D10" s="25"/>
      <c r="E10" s="28"/>
      <c r="F10" s="11"/>
      <c r="G10" s="26"/>
      <c r="H10" s="11"/>
      <c r="I10" s="11"/>
      <c r="J10" s="11"/>
      <c r="K10" s="11"/>
      <c r="L10" s="11"/>
      <c r="M10" s="11"/>
      <c r="N10" s="11"/>
      <c r="O10" s="11"/>
      <c r="P10" s="11"/>
      <c r="Q10" s="11"/>
      <c r="R10" s="11"/>
      <c r="S10" s="11"/>
      <c r="T10" s="11"/>
      <c r="U10" s="11"/>
      <c r="V10" s="11"/>
      <c r="W10" s="11"/>
      <c r="X10" s="11"/>
      <c r="Y10" s="11"/>
      <c r="Z10" s="11"/>
    </row>
    <row r="11" spans="1:26" ht="15">
      <c r="A11" s="26" t="s">
        <v>98</v>
      </c>
      <c r="B11" s="27"/>
      <c r="C11" s="26" t="s">
        <v>98</v>
      </c>
      <c r="D11" s="25"/>
      <c r="E11" s="28" t="s">
        <v>99</v>
      </c>
      <c r="F11" s="11"/>
      <c r="G11" s="26" t="s">
        <v>98</v>
      </c>
      <c r="H11" s="11"/>
      <c r="I11" s="11"/>
      <c r="J11" s="11"/>
      <c r="K11" s="11"/>
      <c r="L11" s="11"/>
      <c r="M11" s="11"/>
      <c r="N11" s="11"/>
      <c r="O11" s="11"/>
      <c r="P11" s="11"/>
      <c r="Q11" s="11"/>
      <c r="R11" s="11"/>
      <c r="S11" s="11"/>
      <c r="T11" s="11"/>
      <c r="U11" s="11"/>
      <c r="V11" s="11"/>
      <c r="W11" s="11"/>
      <c r="X11" s="11"/>
      <c r="Y11" s="11"/>
      <c r="Z11" s="11"/>
    </row>
    <row r="12" spans="1:26" ht="108" customHeight="1">
      <c r="A12" s="29" t="s">
        <v>100</v>
      </c>
      <c r="B12" s="27"/>
      <c r="C12" s="30" t="s">
        <v>101</v>
      </c>
      <c r="D12" s="25"/>
      <c r="E12" s="31" t="s">
        <v>102</v>
      </c>
      <c r="F12" s="11"/>
      <c r="G12" s="32" t="s">
        <v>103</v>
      </c>
      <c r="H12" s="11"/>
      <c r="I12" s="11"/>
      <c r="J12" s="11"/>
      <c r="K12" s="11"/>
      <c r="L12" s="11"/>
      <c r="M12" s="11"/>
      <c r="N12" s="11"/>
      <c r="O12" s="11"/>
      <c r="P12" s="11"/>
      <c r="Q12" s="11"/>
      <c r="R12" s="11"/>
      <c r="S12" s="11"/>
      <c r="T12" s="11"/>
      <c r="U12" s="11"/>
      <c r="V12" s="11"/>
      <c r="W12" s="11"/>
      <c r="X12" s="11"/>
      <c r="Y12" s="11"/>
      <c r="Z12" s="11"/>
    </row>
    <row r="13" spans="1:26" ht="93" customHeight="1">
      <c r="A13" s="29" t="s">
        <v>104</v>
      </c>
      <c r="B13" s="27"/>
      <c r="C13" s="30" t="s">
        <v>104</v>
      </c>
      <c r="D13" s="33"/>
      <c r="E13" s="31" t="s">
        <v>105</v>
      </c>
      <c r="F13" s="11"/>
      <c r="G13" s="32" t="s">
        <v>106</v>
      </c>
      <c r="H13" s="11"/>
      <c r="I13" s="11"/>
      <c r="J13" s="11"/>
      <c r="K13" s="11"/>
      <c r="L13" s="11"/>
      <c r="M13" s="11"/>
      <c r="N13" s="11"/>
      <c r="O13" s="11"/>
      <c r="P13" s="11"/>
      <c r="Q13" s="11"/>
      <c r="R13" s="11"/>
      <c r="S13" s="11"/>
      <c r="T13" s="11"/>
      <c r="U13" s="11"/>
      <c r="V13" s="11"/>
      <c r="W13" s="11"/>
      <c r="X13" s="11"/>
      <c r="Y13" s="11"/>
      <c r="Z13" s="11"/>
    </row>
    <row r="14" spans="1:26" ht="83.25" customHeight="1">
      <c r="A14" s="34" t="s">
        <v>107</v>
      </c>
      <c r="B14" s="27"/>
      <c r="C14" s="35" t="s">
        <v>108</v>
      </c>
      <c r="D14" s="25"/>
      <c r="E14" s="31" t="s">
        <v>109</v>
      </c>
      <c r="F14" s="11"/>
      <c r="G14" s="32" t="s">
        <v>110</v>
      </c>
      <c r="H14" s="11"/>
      <c r="I14" s="11"/>
      <c r="J14" s="11"/>
      <c r="K14" s="11"/>
      <c r="L14" s="11"/>
      <c r="M14" s="11"/>
      <c r="N14" s="11"/>
      <c r="O14" s="11"/>
      <c r="P14" s="11"/>
      <c r="Q14" s="11"/>
      <c r="R14" s="11"/>
      <c r="S14" s="11"/>
      <c r="T14" s="11"/>
      <c r="U14" s="11"/>
      <c r="V14" s="11"/>
      <c r="W14" s="11"/>
      <c r="X14" s="11"/>
      <c r="Y14" s="11"/>
      <c r="Z14" s="11"/>
    </row>
    <row r="15" spans="1:26" ht="30" customHeight="1">
      <c r="A15" s="29"/>
      <c r="B15" s="27"/>
      <c r="C15" s="30" t="s">
        <v>111</v>
      </c>
      <c r="D15" s="11"/>
      <c r="E15" s="31" t="s">
        <v>112</v>
      </c>
      <c r="F15" s="11"/>
      <c r="G15" s="32" t="s">
        <v>113</v>
      </c>
      <c r="H15" s="11"/>
      <c r="I15" s="11"/>
      <c r="J15" s="11"/>
      <c r="K15" s="11"/>
      <c r="L15" s="11"/>
      <c r="M15" s="11"/>
      <c r="N15" s="11"/>
      <c r="O15" s="11"/>
      <c r="P15" s="11"/>
      <c r="Q15" s="11"/>
      <c r="R15" s="11"/>
      <c r="S15" s="11"/>
      <c r="T15" s="11"/>
      <c r="U15" s="11"/>
      <c r="V15" s="11"/>
      <c r="W15" s="11"/>
      <c r="X15" s="11"/>
      <c r="Y15" s="11"/>
      <c r="Z15" s="11"/>
    </row>
    <row r="16" spans="1:26" ht="48" customHeight="1">
      <c r="A16" s="36" t="s">
        <v>114</v>
      </c>
      <c r="B16" s="27"/>
      <c r="C16" s="104" t="s">
        <v>115</v>
      </c>
      <c r="D16" s="37"/>
      <c r="E16" s="111" t="s">
        <v>116</v>
      </c>
      <c r="F16" s="11"/>
      <c r="G16" s="38" t="s">
        <v>117</v>
      </c>
      <c r="H16" s="11"/>
      <c r="I16" s="11"/>
      <c r="J16" s="11"/>
      <c r="K16" s="11"/>
      <c r="L16" s="11"/>
      <c r="M16" s="11"/>
      <c r="N16" s="11"/>
      <c r="O16" s="11"/>
      <c r="P16" s="11"/>
      <c r="Q16" s="11"/>
      <c r="R16" s="11"/>
      <c r="S16" s="11"/>
      <c r="T16" s="11"/>
      <c r="U16" s="11"/>
      <c r="V16" s="11"/>
      <c r="W16" s="11"/>
      <c r="X16" s="11"/>
      <c r="Y16" s="11"/>
      <c r="Z16" s="11"/>
    </row>
    <row r="17" spans="1:26" ht="15" customHeight="1">
      <c r="A17" s="39"/>
      <c r="B17" s="27"/>
      <c r="C17" s="40"/>
      <c r="D17" s="11"/>
      <c r="E17" s="11"/>
      <c r="F17" s="11"/>
      <c r="G17" s="41"/>
      <c r="H17" s="11"/>
      <c r="I17" s="11"/>
      <c r="J17" s="11"/>
      <c r="K17" s="11"/>
      <c r="L17" s="11"/>
      <c r="M17" s="11"/>
      <c r="N17" s="11"/>
      <c r="O17" s="11"/>
      <c r="P17" s="11"/>
      <c r="Q17" s="11"/>
      <c r="R17" s="11"/>
      <c r="S17" s="11"/>
      <c r="T17" s="11"/>
      <c r="U17" s="11"/>
      <c r="V17" s="11"/>
      <c r="W17" s="11"/>
      <c r="X17" s="11"/>
      <c r="Y17" s="11"/>
      <c r="Z17" s="11"/>
    </row>
    <row r="18" spans="1:26" ht="15" customHeight="1">
      <c r="A18" s="42"/>
      <c r="B18" s="11"/>
      <c r="C18" s="11"/>
      <c r="D18" s="11"/>
      <c r="E18" s="11"/>
      <c r="F18" s="11"/>
      <c r="G18" s="41"/>
      <c r="H18" s="11"/>
      <c r="I18" s="11"/>
      <c r="J18" s="11"/>
      <c r="K18" s="11"/>
      <c r="L18" s="11"/>
      <c r="M18" s="11"/>
      <c r="N18" s="11"/>
      <c r="O18" s="11"/>
      <c r="P18" s="11"/>
      <c r="Q18" s="11"/>
      <c r="R18" s="11"/>
      <c r="S18" s="11"/>
      <c r="T18" s="11"/>
      <c r="U18" s="11"/>
      <c r="V18" s="11"/>
      <c r="W18" s="11"/>
      <c r="X18" s="11"/>
      <c r="Y18" s="11"/>
      <c r="Z18" s="11"/>
    </row>
    <row r="19" spans="1:26" ht="15" customHeight="1">
      <c r="A19" s="42"/>
      <c r="B19" s="11"/>
      <c r="C19" s="11"/>
      <c r="D19" s="11"/>
      <c r="E19" s="11"/>
      <c r="F19" s="11"/>
      <c r="G19" s="43"/>
      <c r="H19" s="11"/>
      <c r="I19" s="11"/>
      <c r="J19" s="11"/>
      <c r="K19" s="11"/>
      <c r="L19" s="11"/>
      <c r="M19" s="11"/>
      <c r="N19" s="11"/>
      <c r="O19" s="11"/>
      <c r="P19" s="11"/>
      <c r="Q19" s="11"/>
      <c r="R19" s="11"/>
      <c r="S19" s="11"/>
      <c r="T19" s="11"/>
      <c r="U19" s="11"/>
      <c r="V19" s="11"/>
      <c r="W19" s="11"/>
      <c r="X19" s="11"/>
      <c r="Y19" s="11"/>
      <c r="Z19" s="11"/>
    </row>
    <row r="20" spans="1:26" ht="15" customHeight="1">
      <c r="A20" s="42"/>
      <c r="B20" s="11"/>
      <c r="C20" s="11"/>
      <c r="D20" s="11"/>
      <c r="E20" s="11"/>
      <c r="F20" s="11"/>
      <c r="G20" s="43"/>
      <c r="H20" s="11"/>
      <c r="I20" s="11"/>
      <c r="J20" s="11"/>
      <c r="K20" s="11"/>
      <c r="L20" s="11"/>
      <c r="M20" s="11"/>
      <c r="N20" s="11"/>
      <c r="O20" s="11"/>
      <c r="P20" s="11"/>
      <c r="Q20" s="11"/>
      <c r="R20" s="11"/>
      <c r="S20" s="11"/>
      <c r="T20" s="11"/>
      <c r="U20" s="11"/>
      <c r="V20" s="11"/>
      <c r="W20" s="11"/>
      <c r="X20" s="11"/>
      <c r="Y20" s="11"/>
      <c r="Z20" s="11"/>
    </row>
    <row r="21" spans="1:26" ht="15" customHeight="1">
      <c r="A21" s="42"/>
      <c r="B21" s="11"/>
      <c r="C21" s="11"/>
      <c r="D21" s="11"/>
      <c r="E21" s="11"/>
      <c r="F21" s="11"/>
      <c r="G21" s="12"/>
      <c r="H21" s="11"/>
      <c r="I21" s="11"/>
      <c r="J21" s="11"/>
      <c r="K21" s="11"/>
      <c r="L21" s="11"/>
      <c r="M21" s="11"/>
      <c r="N21" s="11"/>
      <c r="O21" s="11"/>
      <c r="P21" s="11"/>
      <c r="Q21" s="11"/>
      <c r="R21" s="11"/>
      <c r="S21" s="11"/>
      <c r="T21" s="11"/>
      <c r="U21" s="11"/>
      <c r="V21" s="11"/>
      <c r="W21" s="11"/>
      <c r="X21" s="11"/>
      <c r="Y21" s="11"/>
      <c r="Z21" s="11"/>
    </row>
    <row r="22" spans="1:26" ht="15">
      <c r="A22" s="42"/>
      <c r="B22" s="11"/>
      <c r="C22" s="11"/>
      <c r="D22" s="11"/>
      <c r="E22" s="11"/>
      <c r="F22" s="11"/>
      <c r="G22" s="12"/>
      <c r="H22" s="11"/>
      <c r="I22" s="11"/>
      <c r="J22" s="11"/>
      <c r="K22" s="11"/>
      <c r="L22" s="11"/>
      <c r="M22" s="11"/>
      <c r="N22" s="11"/>
      <c r="O22" s="11"/>
      <c r="P22" s="11"/>
      <c r="Q22" s="11"/>
      <c r="R22" s="11"/>
      <c r="S22" s="11"/>
      <c r="T22" s="11"/>
      <c r="U22" s="11"/>
      <c r="V22" s="11"/>
      <c r="W22" s="11"/>
      <c r="X22" s="11"/>
      <c r="Y22" s="11"/>
      <c r="Z22" s="11"/>
    </row>
    <row r="23" spans="1:26" ht="15">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15">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1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15">
      <c r="A26" s="42"/>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5">
      <c r="A27" s="42"/>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5">
      <c r="A28" s="42"/>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15">
      <c r="A29" s="42"/>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5">
      <c r="A30" s="42"/>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5">
      <c r="A31" s="42"/>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5">
      <c r="A32" s="42"/>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5">
      <c r="A33" s="42"/>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5">
      <c r="A34" s="42"/>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5">
      <c r="A35" s="42"/>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5">
      <c r="A36" s="42"/>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5">
      <c r="A37" s="42"/>
      <c r="B37" s="11"/>
      <c r="C37" s="37"/>
      <c r="D37" s="11"/>
      <c r="E37" s="11"/>
      <c r="F37" s="11"/>
      <c r="G37" s="11"/>
      <c r="H37" s="11"/>
      <c r="I37" s="11"/>
      <c r="J37" s="11"/>
      <c r="K37" s="11"/>
      <c r="L37" s="11"/>
      <c r="M37" s="11"/>
      <c r="N37" s="11"/>
      <c r="O37" s="11"/>
      <c r="P37" s="11"/>
      <c r="Q37" s="11"/>
      <c r="R37" s="11"/>
      <c r="S37" s="11"/>
      <c r="T37" s="11"/>
      <c r="U37" s="11"/>
      <c r="V37" s="11"/>
      <c r="W37" s="11"/>
      <c r="X37" s="11"/>
      <c r="Y37" s="11"/>
      <c r="Z37" s="11"/>
    </row>
    <row r="38" spans="1:26" ht="15">
      <c r="A38" s="42"/>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5">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5">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5">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5">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5">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5">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5">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5">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5">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5">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5">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5">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5">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5">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spans="1:26" ht="15">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sheetData>
  <hyperlinks>
    <hyperlink ref="A16" r:id="rId1" xr:uid="{00000000-0004-0000-0800-000000000000}"/>
    <hyperlink ref="C16" r:id="rId2" xr:uid="{00000000-0004-0000-0800-000001000000}"/>
    <hyperlink ref="E16" r:id="rId3" location="four" xr:uid="{00000000-0004-0000-0800-000002000000}"/>
    <hyperlink ref="G16" r:id="rId4" xr:uid="{00000000-0004-0000-0800-000003000000}"/>
  </hyperlinks>
  <pageMargins left="0.7" right="0.7" top="0.75" bottom="0.75" header="0" footer="0"/>
  <pageSetup paperSize="9"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BDE73-61E3-4FAA-9DF1-793A3783CC16}">
  <sheetPr>
    <tabColor theme="7" tint="0.79998168889431442"/>
    <outlinePr summaryBelow="0" summaryRight="0"/>
    <pageSetUpPr fitToPage="1"/>
  </sheetPr>
  <dimension ref="A1:AE89"/>
  <sheetViews>
    <sheetView tabSelected="1" topLeftCell="B36" zoomScale="85" zoomScaleNormal="85" workbookViewId="0">
      <selection activeCell="S52" sqref="S52"/>
    </sheetView>
  </sheetViews>
  <sheetFormatPr defaultColWidth="12.5703125" defaultRowHeight="15.75" customHeight="1"/>
  <cols>
    <col min="1" max="1" width="12.85546875" customWidth="1"/>
    <col min="2" max="2" width="13.7109375" customWidth="1"/>
    <col min="3" max="3" width="11.42578125" customWidth="1"/>
    <col min="4" max="4" width="11.28515625" customWidth="1"/>
    <col min="5" max="5" width="11" customWidth="1"/>
    <col min="6" max="6" width="11.5703125" customWidth="1"/>
    <col min="8" max="8" width="12.7109375" customWidth="1"/>
    <col min="9" max="9" width="11.85546875" customWidth="1"/>
    <col min="10" max="10" width="11.5703125" customWidth="1"/>
    <col min="12" max="12" width="12.42578125" customWidth="1"/>
    <col min="14" max="14" width="12.5703125" customWidth="1"/>
    <col min="15" max="16" width="12.140625" customWidth="1"/>
    <col min="17" max="17" width="11" customWidth="1"/>
  </cols>
  <sheetData>
    <row r="1" spans="1:22" ht="33.75" customHeight="1" thickBot="1">
      <c r="A1" s="177" t="s">
        <v>212</v>
      </c>
      <c r="B1" s="177"/>
      <c r="C1" s="177"/>
      <c r="D1" s="177"/>
      <c r="E1" s="177"/>
      <c r="F1" s="177"/>
      <c r="G1" s="177"/>
      <c r="H1" s="177"/>
      <c r="I1" s="177"/>
      <c r="J1" s="177"/>
      <c r="K1" s="177"/>
      <c r="L1" s="177"/>
      <c r="M1" s="177"/>
      <c r="N1" s="177"/>
      <c r="O1" s="177"/>
      <c r="P1" s="177"/>
      <c r="Q1" s="177"/>
      <c r="S1" s="11"/>
      <c r="T1" s="11"/>
      <c r="U1" s="11"/>
      <c r="V1" s="11"/>
    </row>
    <row r="2" spans="1:22" ht="27" customHeight="1" thickBot="1">
      <c r="A2" s="121"/>
      <c r="B2" s="121"/>
      <c r="C2" s="121"/>
      <c r="D2" s="121"/>
      <c r="E2" s="121"/>
      <c r="F2" s="121"/>
      <c r="G2" s="121"/>
      <c r="H2" s="121"/>
      <c r="I2" s="121"/>
      <c r="J2" s="121"/>
      <c r="K2" s="121"/>
      <c r="L2" s="121"/>
      <c r="M2" s="223" t="s">
        <v>221</v>
      </c>
      <c r="N2" s="224"/>
      <c r="O2" s="224"/>
      <c r="P2" s="225"/>
      <c r="Q2" s="121"/>
      <c r="S2" s="11"/>
      <c r="T2" s="11"/>
      <c r="U2" s="11"/>
      <c r="V2" s="11"/>
    </row>
    <row r="3" spans="1:22" ht="21.75" customHeight="1">
      <c r="A3" s="178" t="s">
        <v>1</v>
      </c>
      <c r="B3" s="179"/>
      <c r="C3" s="180" t="s">
        <v>184</v>
      </c>
      <c r="D3" s="181"/>
      <c r="E3" s="181"/>
      <c r="F3" s="181"/>
      <c r="G3" s="181"/>
      <c r="H3" s="182"/>
      <c r="I3" s="44"/>
      <c r="J3" s="221" t="s">
        <v>2</v>
      </c>
      <c r="K3" s="222"/>
      <c r="L3" s="183" t="s">
        <v>3</v>
      </c>
      <c r="M3" s="184"/>
      <c r="N3" s="184"/>
      <c r="O3" s="184"/>
      <c r="P3" s="184"/>
      <c r="Q3" s="185"/>
      <c r="S3" s="11"/>
      <c r="T3" s="11"/>
      <c r="U3" s="11"/>
      <c r="V3" s="11"/>
    </row>
    <row r="4" spans="1:22" ht="21.75" customHeight="1">
      <c r="A4" s="186" t="s">
        <v>4</v>
      </c>
      <c r="B4" s="187"/>
      <c r="C4" s="188" t="s">
        <v>186</v>
      </c>
      <c r="D4" s="189"/>
      <c r="E4" s="189"/>
      <c r="F4" s="189"/>
      <c r="G4" s="189"/>
      <c r="H4" s="190"/>
      <c r="I4" s="44"/>
      <c r="J4" s="191" t="s">
        <v>5</v>
      </c>
      <c r="K4" s="192"/>
      <c r="L4" s="193" t="s">
        <v>120</v>
      </c>
      <c r="M4" s="193"/>
      <c r="N4" s="193"/>
      <c r="O4" s="193"/>
      <c r="P4" s="193"/>
      <c r="Q4" s="194"/>
      <c r="S4" s="11"/>
      <c r="T4" s="11"/>
      <c r="U4" s="11"/>
      <c r="V4" s="11"/>
    </row>
    <row r="5" spans="1:22" ht="48" customHeight="1">
      <c r="A5" s="208" t="s">
        <v>7</v>
      </c>
      <c r="B5" s="179"/>
      <c r="C5" s="209" t="s">
        <v>187</v>
      </c>
      <c r="D5" s="210"/>
      <c r="E5" s="210"/>
      <c r="F5" s="210"/>
      <c r="G5" s="210"/>
      <c r="H5" s="211"/>
      <c r="I5" s="44"/>
      <c r="J5" s="212" t="s">
        <v>8</v>
      </c>
      <c r="K5" s="213"/>
      <c r="L5" s="214" t="s">
        <v>9</v>
      </c>
      <c r="M5" s="214"/>
      <c r="N5" s="214"/>
      <c r="O5" s="214"/>
      <c r="P5" s="214"/>
      <c r="Q5" s="215"/>
      <c r="S5" s="11"/>
      <c r="T5" s="11"/>
      <c r="U5" s="11"/>
      <c r="V5" s="11"/>
    </row>
    <row r="6" spans="1:22" ht="15">
      <c r="A6" s="11"/>
      <c r="B6" s="50"/>
      <c r="C6" s="50"/>
      <c r="D6" s="5"/>
      <c r="E6" s="5"/>
      <c r="F6" s="5"/>
      <c r="G6" s="5"/>
      <c r="H6" s="5"/>
      <c r="I6" s="5"/>
      <c r="J6" s="59"/>
      <c r="K6" s="59"/>
      <c r="L6" s="58"/>
      <c r="M6" s="58"/>
      <c r="N6" s="58"/>
      <c r="O6" s="58"/>
      <c r="P6" s="58"/>
      <c r="Q6" s="58"/>
      <c r="S6" s="11"/>
      <c r="T6" s="11"/>
      <c r="U6" s="11"/>
      <c r="V6" s="11"/>
    </row>
    <row r="7" spans="1:22" ht="22.5" customHeight="1">
      <c r="A7" s="216" t="s">
        <v>10</v>
      </c>
      <c r="B7" s="217"/>
      <c r="C7" s="217"/>
      <c r="D7" s="218" t="s">
        <v>220</v>
      </c>
      <c r="E7" s="219"/>
      <c r="F7" s="219"/>
      <c r="G7" s="219"/>
      <c r="H7" s="220"/>
      <c r="I7" s="44"/>
      <c r="J7" s="165" t="s">
        <v>11</v>
      </c>
      <c r="K7" s="73"/>
      <c r="L7" s="73"/>
      <c r="M7" s="73"/>
      <c r="N7" s="73"/>
      <c r="O7" s="73"/>
      <c r="P7" s="73"/>
      <c r="Q7" s="74" t="s">
        <v>12</v>
      </c>
      <c r="S7" s="50"/>
      <c r="T7" s="50"/>
      <c r="U7" s="50"/>
      <c r="V7" s="50"/>
    </row>
    <row r="8" spans="1:22" ht="23.25" customHeight="1">
      <c r="A8" s="216" t="s">
        <v>13</v>
      </c>
      <c r="B8" s="217"/>
      <c r="C8" s="217"/>
      <c r="D8" s="218" t="s">
        <v>213</v>
      </c>
      <c r="E8" s="219"/>
      <c r="F8" s="219"/>
      <c r="G8" s="219"/>
      <c r="H8" s="220"/>
      <c r="I8" s="44"/>
      <c r="J8" s="231" t="s">
        <v>14</v>
      </c>
      <c r="K8" s="232"/>
      <c r="L8" s="232"/>
      <c r="M8" s="232"/>
      <c r="N8" s="232"/>
      <c r="O8" s="233"/>
      <c r="P8" s="119"/>
      <c r="Q8" s="195" t="s">
        <v>185</v>
      </c>
      <c r="S8" s="50"/>
      <c r="T8" s="50"/>
      <c r="U8" s="50"/>
      <c r="V8" s="50"/>
    </row>
    <row r="9" spans="1:22" ht="21" customHeight="1">
      <c r="A9" s="198" t="s">
        <v>219</v>
      </c>
      <c r="B9" s="199"/>
      <c r="C9" s="199"/>
      <c r="D9" s="199"/>
      <c r="E9" s="199"/>
      <c r="F9" s="199"/>
      <c r="G9" s="199"/>
      <c r="H9" s="199"/>
      <c r="J9" s="200" t="s">
        <v>15</v>
      </c>
      <c r="K9" s="192"/>
      <c r="L9" s="192"/>
      <c r="M9" s="192"/>
      <c r="N9" s="192"/>
      <c r="O9" s="201"/>
      <c r="P9" s="120"/>
      <c r="Q9" s="196"/>
      <c r="S9" s="50"/>
      <c r="T9" s="50"/>
      <c r="U9" s="50"/>
      <c r="V9" s="50"/>
    </row>
    <row r="10" spans="1:22" ht="15.75" customHeight="1">
      <c r="A10" s="202" t="s">
        <v>210</v>
      </c>
      <c r="B10" s="203"/>
      <c r="C10" s="203"/>
      <c r="D10" s="203"/>
      <c r="E10" s="203"/>
      <c r="F10" s="203"/>
      <c r="G10" s="203"/>
      <c r="H10" s="204"/>
      <c r="I10" s="44"/>
      <c r="J10" s="205"/>
      <c r="K10" s="206"/>
      <c r="L10" s="206"/>
      <c r="M10" s="206"/>
      <c r="N10" s="206"/>
      <c r="O10" s="207"/>
      <c r="P10" s="117"/>
      <c r="Q10" s="197"/>
      <c r="S10" s="50"/>
      <c r="T10" s="50"/>
      <c r="U10" s="50"/>
      <c r="V10" s="50"/>
    </row>
    <row r="11" spans="1:22" ht="19.5" customHeight="1">
      <c r="A11" s="235" t="s">
        <v>17</v>
      </c>
      <c r="B11" s="236"/>
      <c r="C11" s="235" t="s">
        <v>188</v>
      </c>
      <c r="D11" s="237"/>
      <c r="E11" s="237"/>
      <c r="F11" s="237"/>
      <c r="G11" s="237"/>
      <c r="H11" s="238"/>
      <c r="I11" s="44"/>
      <c r="J11" s="95" t="s">
        <v>19</v>
      </c>
      <c r="K11" s="160"/>
      <c r="L11" s="160"/>
      <c r="M11" s="160"/>
      <c r="N11" s="160"/>
      <c r="O11" s="85"/>
      <c r="P11" s="85"/>
      <c r="Q11" s="92"/>
      <c r="S11" s="50"/>
      <c r="T11" s="50"/>
      <c r="U11" s="50"/>
      <c r="V11" s="50"/>
    </row>
    <row r="12" spans="1:22" ht="19.5" customHeight="1">
      <c r="A12" s="226" t="s">
        <v>20</v>
      </c>
      <c r="B12" s="227"/>
      <c r="C12" s="228" t="s">
        <v>189</v>
      </c>
      <c r="D12" s="193"/>
      <c r="E12" s="193"/>
      <c r="F12" s="193"/>
      <c r="G12" s="193"/>
      <c r="H12" s="194"/>
      <c r="I12" s="44"/>
      <c r="J12" s="161" t="s">
        <v>22</v>
      </c>
      <c r="K12" s="162"/>
      <c r="L12" s="162"/>
      <c r="M12" s="162"/>
      <c r="N12" s="162"/>
      <c r="O12" s="76"/>
      <c r="P12" s="76"/>
      <c r="Q12" s="93"/>
      <c r="S12" s="50"/>
      <c r="T12" s="50"/>
      <c r="U12" s="50"/>
      <c r="V12" s="50"/>
    </row>
    <row r="13" spans="1:22" ht="18.75" customHeight="1">
      <c r="A13" s="229" t="s">
        <v>23</v>
      </c>
      <c r="B13" s="230"/>
      <c r="C13" s="229" t="s">
        <v>190</v>
      </c>
      <c r="D13" s="214"/>
      <c r="E13" s="214"/>
      <c r="F13" s="214"/>
      <c r="G13" s="214"/>
      <c r="H13" s="215"/>
      <c r="I13" s="44"/>
      <c r="J13" s="161" t="s">
        <v>15</v>
      </c>
      <c r="K13" s="163"/>
      <c r="L13" s="163"/>
      <c r="M13" s="163"/>
      <c r="N13" s="164"/>
      <c r="O13" s="84"/>
      <c r="P13" s="84"/>
      <c r="Q13" s="93"/>
      <c r="S13" s="62"/>
      <c r="T13" s="62"/>
      <c r="U13" s="62"/>
      <c r="V13" s="62"/>
    </row>
    <row r="14" spans="1:22" ht="16.5" customHeight="1">
      <c r="A14" s="234"/>
      <c r="B14" s="234"/>
      <c r="C14" s="234"/>
      <c r="D14" s="234"/>
      <c r="E14" s="234"/>
      <c r="F14" s="234"/>
      <c r="G14" s="234"/>
      <c r="H14" s="234"/>
      <c r="J14" s="77"/>
      <c r="K14" s="78"/>
      <c r="L14" s="78"/>
      <c r="M14" s="126"/>
      <c r="N14" s="79"/>
      <c r="O14" s="80"/>
      <c r="P14" s="80"/>
      <c r="Q14" s="94"/>
      <c r="S14" s="61"/>
      <c r="T14" s="50"/>
      <c r="U14" s="50"/>
      <c r="V14" s="50"/>
    </row>
    <row r="15" spans="1:22" ht="18" customHeight="1">
      <c r="A15" s="180" t="s">
        <v>25</v>
      </c>
      <c r="B15" s="181"/>
      <c r="C15" s="181"/>
      <c r="D15" s="180">
        <f>T53</f>
        <v>1733.1000000000004</v>
      </c>
      <c r="E15" s="181"/>
      <c r="F15" s="181"/>
      <c r="G15" s="181"/>
      <c r="H15" s="182"/>
      <c r="I15" s="44"/>
      <c r="J15" s="231" t="s">
        <v>26</v>
      </c>
      <c r="K15" s="232"/>
      <c r="L15" s="232"/>
      <c r="M15" s="232"/>
      <c r="N15" s="232"/>
      <c r="O15" s="233"/>
      <c r="P15" s="119"/>
      <c r="Q15" s="195"/>
      <c r="R15" s="63"/>
      <c r="S15" s="63"/>
      <c r="T15" s="63"/>
      <c r="U15" s="63"/>
      <c r="V15" s="50"/>
    </row>
    <row r="16" spans="1:22" ht="17.25" customHeight="1">
      <c r="A16" s="180" t="s">
        <v>27</v>
      </c>
      <c r="B16" s="181"/>
      <c r="C16" s="181"/>
      <c r="D16" s="239">
        <f>I53</f>
        <v>2114</v>
      </c>
      <c r="E16" s="240"/>
      <c r="F16" s="240"/>
      <c r="G16" s="240"/>
      <c r="H16" s="241"/>
      <c r="I16" s="44"/>
      <c r="J16" s="242" t="s">
        <v>28</v>
      </c>
      <c r="K16" s="243"/>
      <c r="L16" s="243"/>
      <c r="M16" s="243"/>
      <c r="N16" s="243"/>
      <c r="O16" s="244"/>
      <c r="P16" s="118"/>
      <c r="Q16" s="196"/>
      <c r="R16" s="1"/>
      <c r="S16" s="1"/>
      <c r="T16" s="2"/>
      <c r="U16" s="2"/>
      <c r="V16" s="50"/>
    </row>
    <row r="17" spans="1:22" ht="15" customHeight="1">
      <c r="A17" s="245"/>
      <c r="B17" s="246"/>
      <c r="C17" s="246"/>
      <c r="D17" s="246"/>
      <c r="E17" s="246"/>
      <c r="F17" s="246"/>
      <c r="G17" s="246"/>
      <c r="H17" s="246"/>
      <c r="J17" s="205"/>
      <c r="K17" s="206"/>
      <c r="L17" s="206"/>
      <c r="M17" s="206"/>
      <c r="N17" s="206"/>
      <c r="O17" s="207"/>
      <c r="P17" s="117"/>
      <c r="Q17" s="197"/>
      <c r="R17" s="60"/>
      <c r="S17" s="50"/>
      <c r="T17" s="50"/>
      <c r="U17" s="64"/>
      <c r="V17" s="50"/>
    </row>
    <row r="18" spans="1:22" ht="20.25" customHeight="1">
      <c r="A18" s="216" t="s">
        <v>29</v>
      </c>
      <c r="B18" s="217"/>
      <c r="C18" s="217"/>
      <c r="D18" s="217"/>
      <c r="E18" s="180" t="s">
        <v>128</v>
      </c>
      <c r="F18" s="181"/>
      <c r="G18" s="181"/>
      <c r="H18" s="182"/>
      <c r="I18" s="44"/>
      <c r="J18" s="247"/>
      <c r="K18" s="247"/>
      <c r="L18" s="247"/>
      <c r="M18" s="247"/>
      <c r="N18" s="247"/>
      <c r="O18" s="247"/>
      <c r="P18" s="247"/>
      <c r="Q18" s="247"/>
      <c r="R18" s="50"/>
      <c r="S18" s="50"/>
      <c r="T18" s="50"/>
      <c r="U18" s="50"/>
      <c r="V18" s="50"/>
    </row>
    <row r="19" spans="1:22" ht="21.75" customHeight="1">
      <c r="A19" s="216" t="s">
        <v>129</v>
      </c>
      <c r="B19" s="217"/>
      <c r="C19" s="217"/>
      <c r="D19" s="248"/>
      <c r="E19" s="180" t="s">
        <v>130</v>
      </c>
      <c r="F19" s="181"/>
      <c r="G19" s="181"/>
      <c r="H19" s="182"/>
      <c r="I19" s="44"/>
      <c r="J19" s="249" t="s">
        <v>32</v>
      </c>
      <c r="K19" s="249"/>
      <c r="L19" s="249"/>
      <c r="M19" s="250">
        <v>46207</v>
      </c>
      <c r="N19" s="251"/>
      <c r="O19" s="251"/>
      <c r="P19" s="251"/>
      <c r="Q19" s="251"/>
      <c r="R19" s="50"/>
      <c r="S19" s="50"/>
      <c r="T19" s="50"/>
      <c r="U19" s="50"/>
      <c r="V19" s="50"/>
    </row>
    <row r="20" spans="1:22" ht="18.75" customHeight="1">
      <c r="I20" s="44"/>
      <c r="J20" s="50"/>
      <c r="K20" s="50"/>
      <c r="L20" s="50"/>
      <c r="M20" s="61"/>
      <c r="N20" s="61"/>
      <c r="O20" s="50"/>
      <c r="P20" s="50"/>
      <c r="Q20" s="50"/>
      <c r="R20" s="50"/>
      <c r="S20" s="50"/>
      <c r="T20" s="50"/>
      <c r="U20" s="50"/>
      <c r="V20" s="50"/>
    </row>
    <row r="21" spans="1:22" ht="15">
      <c r="A21" s="53" t="s">
        <v>33</v>
      </c>
      <c r="B21" s="71"/>
      <c r="C21" s="71"/>
      <c r="D21" s="53"/>
      <c r="E21" s="53"/>
      <c r="F21" s="53"/>
      <c r="G21" s="54"/>
      <c r="H21" s="54"/>
      <c r="I21" s="54"/>
      <c r="J21" s="54"/>
      <c r="K21" s="54"/>
      <c r="L21" s="54"/>
      <c r="M21" s="54"/>
      <c r="N21" s="54"/>
      <c r="O21" s="54"/>
      <c r="P21" s="54"/>
      <c r="Q21" s="54"/>
      <c r="R21" s="11"/>
      <c r="S21" s="11"/>
      <c r="T21" s="11"/>
      <c r="U21" s="11"/>
      <c r="V21" s="11"/>
    </row>
    <row r="22" spans="1:22">
      <c r="A22" s="130" t="s">
        <v>34</v>
      </c>
      <c r="B22" s="130" t="s">
        <v>35</v>
      </c>
      <c r="C22" s="261" t="s">
        <v>36</v>
      </c>
      <c r="D22" s="261"/>
      <c r="E22" s="261" t="s">
        <v>37</v>
      </c>
      <c r="F22" s="261"/>
      <c r="G22" s="130" t="s">
        <v>38</v>
      </c>
      <c r="H22" s="130" t="s">
        <v>39</v>
      </c>
      <c r="I22" s="261" t="s">
        <v>40</v>
      </c>
      <c r="J22" s="261"/>
      <c r="K22" s="130" t="s">
        <v>41</v>
      </c>
      <c r="L22" s="130" t="s">
        <v>42</v>
      </c>
      <c r="M22" s="130" t="s">
        <v>43</v>
      </c>
      <c r="N22" s="131" t="s">
        <v>44</v>
      </c>
      <c r="O22" s="261" t="s">
        <v>45</v>
      </c>
      <c r="P22" s="261"/>
      <c r="Q22" s="261"/>
      <c r="R22" s="132"/>
      <c r="S22" s="132"/>
      <c r="T22" s="64"/>
      <c r="U22" s="64"/>
      <c r="V22" s="64"/>
    </row>
    <row r="23" spans="1:22" ht="15" customHeight="1">
      <c r="A23" s="252" t="s">
        <v>46</v>
      </c>
      <c r="B23" s="254"/>
      <c r="C23" s="262" t="s">
        <v>47</v>
      </c>
      <c r="D23" s="263"/>
      <c r="E23" s="262" t="s">
        <v>48</v>
      </c>
      <c r="F23" s="263"/>
      <c r="G23" s="266" t="s">
        <v>49</v>
      </c>
      <c r="H23" s="266" t="s">
        <v>50</v>
      </c>
      <c r="I23" s="255" t="s">
        <v>51</v>
      </c>
      <c r="J23" s="258"/>
      <c r="K23" s="252" t="s">
        <v>52</v>
      </c>
      <c r="L23" s="253"/>
      <c r="M23" s="254"/>
      <c r="N23" s="255" t="s">
        <v>53</v>
      </c>
      <c r="O23" s="255" t="s">
        <v>54</v>
      </c>
      <c r="P23" s="257"/>
      <c r="Q23" s="258"/>
      <c r="R23" s="133"/>
      <c r="S23" s="133"/>
      <c r="T23" s="3"/>
      <c r="U23" s="3"/>
      <c r="V23" s="3"/>
    </row>
    <row r="24" spans="1:22" s="66" customFormat="1" ht="30.75" customHeight="1">
      <c r="A24" s="134" t="s">
        <v>55</v>
      </c>
      <c r="B24" s="135" t="s">
        <v>56</v>
      </c>
      <c r="C24" s="264"/>
      <c r="D24" s="265"/>
      <c r="E24" s="264"/>
      <c r="F24" s="265"/>
      <c r="G24" s="267"/>
      <c r="H24" s="267"/>
      <c r="I24" s="256"/>
      <c r="J24" s="260"/>
      <c r="K24" s="152" t="s">
        <v>57</v>
      </c>
      <c r="L24" s="152" t="s">
        <v>58</v>
      </c>
      <c r="M24" s="152" t="s">
        <v>59</v>
      </c>
      <c r="N24" s="256"/>
      <c r="O24" s="256"/>
      <c r="P24" s="259"/>
      <c r="Q24" s="260"/>
      <c r="R24" s="123" t="s">
        <v>206</v>
      </c>
      <c r="S24" s="123" t="s">
        <v>207</v>
      </c>
      <c r="T24" s="124" t="s">
        <v>208</v>
      </c>
      <c r="U24" s="47"/>
      <c r="V24" s="47"/>
    </row>
    <row r="25" spans="1:22" ht="20.25" customHeight="1">
      <c r="A25" s="135">
        <v>1</v>
      </c>
      <c r="B25" s="135">
        <f>A25-1+G25</f>
        <v>2</v>
      </c>
      <c r="C25" s="175" t="s">
        <v>218</v>
      </c>
      <c r="D25" s="176"/>
      <c r="E25" s="168" t="s">
        <v>191</v>
      </c>
      <c r="F25" s="169"/>
      <c r="G25" s="135">
        <v>2</v>
      </c>
      <c r="H25" s="135">
        <v>9</v>
      </c>
      <c r="I25" s="170">
        <f>H25*G25</f>
        <v>18</v>
      </c>
      <c r="J25" s="171"/>
      <c r="K25" s="135">
        <v>60</v>
      </c>
      <c r="L25" s="135">
        <v>30</v>
      </c>
      <c r="M25" s="158">
        <v>40</v>
      </c>
      <c r="N25" s="153">
        <f>K25*L25*M25/1000000*G25</f>
        <v>0.14399999999999999</v>
      </c>
      <c r="O25" s="172">
        <f>R25*G25</f>
        <v>12.2</v>
      </c>
      <c r="P25" s="173"/>
      <c r="Q25" s="174"/>
      <c r="R25" s="136">
        <v>6.1</v>
      </c>
      <c r="S25" s="137">
        <f>R25-1.8</f>
        <v>4.3</v>
      </c>
      <c r="T25" s="125">
        <f>S25*G25</f>
        <v>8.6</v>
      </c>
      <c r="U25" s="7"/>
      <c r="V25" s="7"/>
    </row>
    <row r="26" spans="1:22" ht="20.25" customHeight="1">
      <c r="A26" s="135">
        <f>+B25+1</f>
        <v>3</v>
      </c>
      <c r="B26" s="122">
        <f>A26-1+G26</f>
        <v>3</v>
      </c>
      <c r="C26" s="175" t="s">
        <v>218</v>
      </c>
      <c r="D26" s="176"/>
      <c r="E26" s="168" t="s">
        <v>191</v>
      </c>
      <c r="F26" s="169"/>
      <c r="G26" s="135">
        <v>1</v>
      </c>
      <c r="H26" s="135">
        <v>2</v>
      </c>
      <c r="I26" s="170">
        <f>H26*G26</f>
        <v>2</v>
      </c>
      <c r="J26" s="171"/>
      <c r="K26" s="135">
        <v>60</v>
      </c>
      <c r="L26" s="135">
        <v>30</v>
      </c>
      <c r="M26" s="158">
        <v>20</v>
      </c>
      <c r="N26" s="153">
        <f>K26*L26*M26/1000000*G26</f>
        <v>3.5999999999999997E-2</v>
      </c>
      <c r="O26" s="172">
        <f>R26*G26</f>
        <v>6.1</v>
      </c>
      <c r="P26" s="173"/>
      <c r="Q26" s="174"/>
      <c r="R26" s="136">
        <v>6.1</v>
      </c>
      <c r="S26" s="137">
        <f>R26-1.4</f>
        <v>4.6999999999999993</v>
      </c>
      <c r="T26" s="125">
        <f>S26*G26</f>
        <v>4.6999999999999993</v>
      </c>
      <c r="U26" s="7"/>
      <c r="V26" s="7"/>
    </row>
    <row r="27" spans="1:22" ht="20.25" customHeight="1">
      <c r="A27" s="135">
        <f t="shared" ref="A27:A51" si="0">+B26+1</f>
        <v>4</v>
      </c>
      <c r="B27" s="122">
        <f t="shared" ref="B27:B29" si="1">A27-1+G27</f>
        <v>4</v>
      </c>
      <c r="C27" s="175" t="s">
        <v>214</v>
      </c>
      <c r="D27" s="176"/>
      <c r="E27" s="168" t="s">
        <v>192</v>
      </c>
      <c r="F27" s="169"/>
      <c r="G27" s="159">
        <v>1</v>
      </c>
      <c r="H27" s="159">
        <v>9</v>
      </c>
      <c r="I27" s="268">
        <f t="shared" ref="I27:I51" si="2">H27*G27</f>
        <v>9</v>
      </c>
      <c r="J27" s="269"/>
      <c r="K27" s="135">
        <v>60</v>
      </c>
      <c r="L27" s="135">
        <v>30</v>
      </c>
      <c r="M27" s="158">
        <v>40</v>
      </c>
      <c r="N27" s="153">
        <f t="shared" ref="N27:N49" si="3">K27*L27*M27/1000000*G27</f>
        <v>7.1999999999999995E-2</v>
      </c>
      <c r="O27" s="172">
        <f t="shared" ref="O27:O51" si="4">R27*G27</f>
        <v>6.4</v>
      </c>
      <c r="P27" s="173"/>
      <c r="Q27" s="174"/>
      <c r="R27" s="136">
        <v>6.4</v>
      </c>
      <c r="S27" s="137">
        <f t="shared" ref="S26:S51" si="5">R27-1.8</f>
        <v>4.6000000000000005</v>
      </c>
      <c r="T27" s="125">
        <f t="shared" ref="T27:T51" si="6">S27*G27</f>
        <v>4.6000000000000005</v>
      </c>
      <c r="U27" s="7"/>
      <c r="V27" s="7"/>
    </row>
    <row r="28" spans="1:22" ht="20.25" customHeight="1">
      <c r="A28" s="135">
        <f t="shared" si="0"/>
        <v>5</v>
      </c>
      <c r="B28" s="122">
        <f t="shared" si="1"/>
        <v>5</v>
      </c>
      <c r="C28" s="175" t="s">
        <v>214</v>
      </c>
      <c r="D28" s="176"/>
      <c r="E28" s="168" t="s">
        <v>192</v>
      </c>
      <c r="F28" s="169"/>
      <c r="G28" s="159">
        <v>1</v>
      </c>
      <c r="H28" s="159">
        <v>3</v>
      </c>
      <c r="I28" s="268">
        <f t="shared" ref="I28" si="7">H28*G28</f>
        <v>3</v>
      </c>
      <c r="J28" s="269"/>
      <c r="K28" s="135">
        <v>60</v>
      </c>
      <c r="L28" s="135">
        <v>30</v>
      </c>
      <c r="M28" s="158">
        <v>20</v>
      </c>
      <c r="N28" s="153">
        <f t="shared" ref="N28" si="8">K28*L28*M28/1000000*G28</f>
        <v>3.5999999999999997E-2</v>
      </c>
      <c r="O28" s="172">
        <f t="shared" ref="O28" si="9">R28*G28</f>
        <v>6.1</v>
      </c>
      <c r="P28" s="173"/>
      <c r="Q28" s="174"/>
      <c r="R28" s="136">
        <v>6.1</v>
      </c>
      <c r="S28" s="137">
        <f>R28-1.4</f>
        <v>4.6999999999999993</v>
      </c>
      <c r="T28" s="125">
        <f t="shared" si="6"/>
        <v>4.6999999999999993</v>
      </c>
      <c r="U28" s="7"/>
      <c r="V28" s="7"/>
    </row>
    <row r="29" spans="1:22" ht="20.25" customHeight="1">
      <c r="A29" s="135">
        <f t="shared" si="0"/>
        <v>6</v>
      </c>
      <c r="B29" s="122">
        <f t="shared" si="1"/>
        <v>8</v>
      </c>
      <c r="C29" s="175" t="s">
        <v>215</v>
      </c>
      <c r="D29" s="176"/>
      <c r="E29" s="168" t="s">
        <v>193</v>
      </c>
      <c r="F29" s="169"/>
      <c r="G29" s="159">
        <v>3</v>
      </c>
      <c r="H29" s="159">
        <v>9</v>
      </c>
      <c r="I29" s="268">
        <f t="shared" si="2"/>
        <v>27</v>
      </c>
      <c r="J29" s="269"/>
      <c r="K29" s="135">
        <v>60</v>
      </c>
      <c r="L29" s="135">
        <v>30</v>
      </c>
      <c r="M29" s="158">
        <v>40</v>
      </c>
      <c r="N29" s="153">
        <f t="shared" si="3"/>
        <v>0.21599999999999997</v>
      </c>
      <c r="O29" s="172">
        <f t="shared" si="4"/>
        <v>19.53</v>
      </c>
      <c r="P29" s="173"/>
      <c r="Q29" s="174"/>
      <c r="R29" s="136">
        <v>6.51</v>
      </c>
      <c r="S29" s="137">
        <f t="shared" si="5"/>
        <v>4.71</v>
      </c>
      <c r="T29" s="125">
        <f t="shared" si="6"/>
        <v>14.129999999999999</v>
      </c>
      <c r="U29" s="7"/>
      <c r="V29" s="7"/>
    </row>
    <row r="30" spans="1:22" ht="20.25" customHeight="1">
      <c r="A30" s="135">
        <f t="shared" si="0"/>
        <v>9</v>
      </c>
      <c r="B30" s="122">
        <f t="shared" ref="B30:B51" si="10">A30-1+G30</f>
        <v>9</v>
      </c>
      <c r="C30" s="175" t="s">
        <v>215</v>
      </c>
      <c r="D30" s="176"/>
      <c r="E30" s="168" t="s">
        <v>193</v>
      </c>
      <c r="F30" s="169"/>
      <c r="G30" s="159">
        <v>1</v>
      </c>
      <c r="H30" s="159">
        <v>8</v>
      </c>
      <c r="I30" s="268">
        <f t="shared" ref="I30" si="11">H30*G30</f>
        <v>8</v>
      </c>
      <c r="J30" s="269"/>
      <c r="K30" s="135">
        <v>60</v>
      </c>
      <c r="L30" s="135">
        <v>30</v>
      </c>
      <c r="M30" s="158">
        <v>40</v>
      </c>
      <c r="N30" s="153">
        <f t="shared" ref="N30" si="12">K30*L30*M30/1000000*G30</f>
        <v>7.1999999999999995E-2</v>
      </c>
      <c r="O30" s="172">
        <f t="shared" ref="O30" si="13">R30*G30</f>
        <v>6.51</v>
      </c>
      <c r="P30" s="173"/>
      <c r="Q30" s="174"/>
      <c r="R30" s="136">
        <v>6.51</v>
      </c>
      <c r="S30" s="137">
        <f t="shared" si="5"/>
        <v>4.71</v>
      </c>
      <c r="T30" s="125">
        <f t="shared" ref="T30" si="14">S30*G30</f>
        <v>4.71</v>
      </c>
      <c r="U30" s="7"/>
      <c r="V30" s="7"/>
    </row>
    <row r="31" spans="1:22" ht="20.25" customHeight="1">
      <c r="A31" s="135">
        <f t="shared" si="0"/>
        <v>10</v>
      </c>
      <c r="B31" s="122">
        <f t="shared" si="10"/>
        <v>14</v>
      </c>
      <c r="C31" s="270" t="s">
        <v>216</v>
      </c>
      <c r="D31" s="271"/>
      <c r="E31" s="168" t="s">
        <v>194</v>
      </c>
      <c r="F31" s="169"/>
      <c r="G31" s="135">
        <v>5</v>
      </c>
      <c r="H31" s="135">
        <v>8</v>
      </c>
      <c r="I31" s="170">
        <f t="shared" ref="I31" si="15">H31*G31</f>
        <v>40</v>
      </c>
      <c r="J31" s="171"/>
      <c r="K31" s="135">
        <v>60</v>
      </c>
      <c r="L31" s="135">
        <v>30</v>
      </c>
      <c r="M31" s="158">
        <v>40</v>
      </c>
      <c r="N31" s="153">
        <f t="shared" ref="N31" si="16">K31*L31*M31/1000000*G31</f>
        <v>0.36</v>
      </c>
      <c r="O31" s="172">
        <f t="shared" ref="O31" si="17">R31*G31</f>
        <v>33.050000000000004</v>
      </c>
      <c r="P31" s="173"/>
      <c r="Q31" s="174"/>
      <c r="R31" s="136">
        <v>6.61</v>
      </c>
      <c r="S31" s="137">
        <f t="shared" si="5"/>
        <v>4.8100000000000005</v>
      </c>
      <c r="T31" s="125">
        <f t="shared" ref="T31" si="18">S31*G31</f>
        <v>24.050000000000004</v>
      </c>
      <c r="U31" s="7"/>
      <c r="V31" s="7"/>
    </row>
    <row r="32" spans="1:22" ht="20.25" customHeight="1">
      <c r="A32" s="135">
        <f t="shared" si="0"/>
        <v>15</v>
      </c>
      <c r="B32" s="122">
        <f t="shared" si="10"/>
        <v>15</v>
      </c>
      <c r="C32" s="270" t="s">
        <v>216</v>
      </c>
      <c r="D32" s="271"/>
      <c r="E32" s="168" t="s">
        <v>194</v>
      </c>
      <c r="F32" s="169"/>
      <c r="G32" s="135">
        <v>1</v>
      </c>
      <c r="H32" s="135">
        <v>6</v>
      </c>
      <c r="I32" s="170">
        <f t="shared" ref="I32" si="19">H32*G32</f>
        <v>6</v>
      </c>
      <c r="J32" s="171"/>
      <c r="K32" s="135">
        <v>60</v>
      </c>
      <c r="L32" s="135">
        <v>30</v>
      </c>
      <c r="M32" s="158">
        <v>40</v>
      </c>
      <c r="N32" s="153">
        <f t="shared" ref="N32" si="20">K32*L32*M32/1000000*G32</f>
        <v>7.1999999999999995E-2</v>
      </c>
      <c r="O32" s="172">
        <f t="shared" ref="O32" si="21">R32*G32</f>
        <v>6.61</v>
      </c>
      <c r="P32" s="173"/>
      <c r="Q32" s="174"/>
      <c r="R32" s="136">
        <v>6.61</v>
      </c>
      <c r="S32" s="137">
        <f t="shared" si="5"/>
        <v>4.8100000000000005</v>
      </c>
      <c r="T32" s="125">
        <f t="shared" ref="T32" si="22">S32*G32</f>
        <v>4.8100000000000005</v>
      </c>
      <c r="U32" s="7"/>
      <c r="V32" s="7"/>
    </row>
    <row r="33" spans="1:22" ht="20.25" customHeight="1">
      <c r="A33" s="135">
        <f t="shared" si="0"/>
        <v>16</v>
      </c>
      <c r="B33" s="122">
        <f t="shared" si="10"/>
        <v>22</v>
      </c>
      <c r="C33" s="175" t="s">
        <v>217</v>
      </c>
      <c r="D33" s="176"/>
      <c r="E33" s="168" t="s">
        <v>195</v>
      </c>
      <c r="F33" s="169"/>
      <c r="G33" s="135">
        <v>7</v>
      </c>
      <c r="H33" s="135">
        <v>8</v>
      </c>
      <c r="I33" s="170">
        <f t="shared" si="2"/>
        <v>56</v>
      </c>
      <c r="J33" s="171"/>
      <c r="K33" s="135">
        <v>60</v>
      </c>
      <c r="L33" s="135">
        <v>30</v>
      </c>
      <c r="M33" s="158">
        <v>40</v>
      </c>
      <c r="N33" s="153">
        <f t="shared" si="3"/>
        <v>0.504</v>
      </c>
      <c r="O33" s="172">
        <f t="shared" si="4"/>
        <v>46.97</v>
      </c>
      <c r="P33" s="173"/>
      <c r="Q33" s="174"/>
      <c r="R33" s="136">
        <v>6.71</v>
      </c>
      <c r="S33" s="137">
        <f t="shared" si="5"/>
        <v>4.91</v>
      </c>
      <c r="T33" s="125">
        <f t="shared" si="6"/>
        <v>34.370000000000005</v>
      </c>
      <c r="U33" s="7"/>
      <c r="V33" s="7"/>
    </row>
    <row r="34" spans="1:22" ht="20.25" customHeight="1">
      <c r="A34" s="135">
        <f t="shared" si="0"/>
        <v>23</v>
      </c>
      <c r="B34" s="122">
        <f t="shared" si="10"/>
        <v>23</v>
      </c>
      <c r="C34" s="175" t="s">
        <v>217</v>
      </c>
      <c r="D34" s="176"/>
      <c r="E34" s="168" t="s">
        <v>195</v>
      </c>
      <c r="F34" s="169"/>
      <c r="G34" s="135">
        <v>1</v>
      </c>
      <c r="H34" s="135">
        <v>4</v>
      </c>
      <c r="I34" s="170">
        <f t="shared" ref="I34" si="23">H34*G34</f>
        <v>4</v>
      </c>
      <c r="J34" s="171"/>
      <c r="K34" s="135">
        <v>60</v>
      </c>
      <c r="L34" s="135">
        <v>30</v>
      </c>
      <c r="M34" s="158">
        <v>40</v>
      </c>
      <c r="N34" s="153">
        <f t="shared" ref="N34" si="24">K34*L34*M34/1000000*G34</f>
        <v>7.1999999999999995E-2</v>
      </c>
      <c r="O34" s="172">
        <f t="shared" ref="O34" si="25">R34*G34</f>
        <v>6.47</v>
      </c>
      <c r="P34" s="173"/>
      <c r="Q34" s="174"/>
      <c r="R34" s="136">
        <v>6.47</v>
      </c>
      <c r="S34" s="137">
        <f t="shared" si="5"/>
        <v>4.67</v>
      </c>
      <c r="T34" s="125">
        <f t="shared" si="6"/>
        <v>4.67</v>
      </c>
      <c r="U34" s="7"/>
      <c r="V34" s="7"/>
    </row>
    <row r="35" spans="1:22" ht="20.25" customHeight="1">
      <c r="A35" s="135">
        <f t="shared" si="0"/>
        <v>24</v>
      </c>
      <c r="B35" s="122">
        <f t="shared" si="10"/>
        <v>31</v>
      </c>
      <c r="C35" s="175">
        <v>103</v>
      </c>
      <c r="D35" s="176"/>
      <c r="E35" s="168" t="s">
        <v>196</v>
      </c>
      <c r="F35" s="169"/>
      <c r="G35" s="135">
        <v>8</v>
      </c>
      <c r="H35" s="135">
        <v>8</v>
      </c>
      <c r="I35" s="170">
        <f t="shared" si="2"/>
        <v>64</v>
      </c>
      <c r="J35" s="171"/>
      <c r="K35" s="135">
        <v>60</v>
      </c>
      <c r="L35" s="135">
        <v>30</v>
      </c>
      <c r="M35" s="158">
        <v>40</v>
      </c>
      <c r="N35" s="153">
        <f t="shared" si="3"/>
        <v>0.57599999999999996</v>
      </c>
      <c r="O35" s="172">
        <f t="shared" si="4"/>
        <v>54</v>
      </c>
      <c r="P35" s="173"/>
      <c r="Q35" s="174"/>
      <c r="R35" s="136">
        <v>6.75</v>
      </c>
      <c r="S35" s="137">
        <f t="shared" si="5"/>
        <v>4.95</v>
      </c>
      <c r="T35" s="125">
        <f t="shared" si="6"/>
        <v>39.6</v>
      </c>
      <c r="U35" s="7"/>
      <c r="V35" s="7"/>
    </row>
    <row r="36" spans="1:22" ht="20.25" customHeight="1">
      <c r="A36" s="135">
        <f t="shared" si="0"/>
        <v>32</v>
      </c>
      <c r="B36" s="122">
        <f t="shared" si="10"/>
        <v>32</v>
      </c>
      <c r="C36" s="175">
        <v>103</v>
      </c>
      <c r="D36" s="176"/>
      <c r="E36" s="168" t="s">
        <v>196</v>
      </c>
      <c r="F36" s="169"/>
      <c r="G36" s="135">
        <v>1</v>
      </c>
      <c r="H36" s="135">
        <v>5</v>
      </c>
      <c r="I36" s="170">
        <f t="shared" ref="I36" si="26">H36*G36</f>
        <v>5</v>
      </c>
      <c r="J36" s="171"/>
      <c r="K36" s="135">
        <v>60</v>
      </c>
      <c r="L36" s="135">
        <v>30</v>
      </c>
      <c r="M36" s="158">
        <v>40</v>
      </c>
      <c r="N36" s="153">
        <f t="shared" ref="N36" si="27">K36*L36*M36/1000000*G36</f>
        <v>7.1999999999999995E-2</v>
      </c>
      <c r="O36" s="172">
        <f t="shared" ref="O36" si="28">R36*G36</f>
        <v>6.75</v>
      </c>
      <c r="P36" s="173"/>
      <c r="Q36" s="174"/>
      <c r="R36" s="136">
        <v>6.75</v>
      </c>
      <c r="S36" s="137">
        <f t="shared" si="5"/>
        <v>4.95</v>
      </c>
      <c r="T36" s="125">
        <f t="shared" ref="T36" si="29">S36*G36</f>
        <v>4.95</v>
      </c>
      <c r="U36" s="7"/>
      <c r="V36" s="7"/>
    </row>
    <row r="37" spans="1:22" ht="20.25" customHeight="1">
      <c r="A37" s="135">
        <f t="shared" si="0"/>
        <v>33</v>
      </c>
      <c r="B37" s="122">
        <f t="shared" si="10"/>
        <v>46</v>
      </c>
      <c r="C37" s="175">
        <v>116</v>
      </c>
      <c r="D37" s="176"/>
      <c r="E37" s="168" t="s">
        <v>197</v>
      </c>
      <c r="F37" s="169"/>
      <c r="G37" s="135">
        <v>14</v>
      </c>
      <c r="H37" s="135">
        <v>8</v>
      </c>
      <c r="I37" s="170">
        <f t="shared" si="2"/>
        <v>112</v>
      </c>
      <c r="J37" s="171"/>
      <c r="K37" s="135">
        <v>60</v>
      </c>
      <c r="L37" s="135">
        <v>30</v>
      </c>
      <c r="M37" s="158">
        <v>40</v>
      </c>
      <c r="N37" s="153">
        <f t="shared" si="3"/>
        <v>1.008</v>
      </c>
      <c r="O37" s="172">
        <f t="shared" si="4"/>
        <v>95.899999999999991</v>
      </c>
      <c r="P37" s="173"/>
      <c r="Q37" s="174"/>
      <c r="R37" s="136">
        <v>6.85</v>
      </c>
      <c r="S37" s="137">
        <f t="shared" si="5"/>
        <v>5.05</v>
      </c>
      <c r="T37" s="125">
        <f t="shared" si="6"/>
        <v>70.7</v>
      </c>
      <c r="U37" s="7"/>
      <c r="V37" s="7"/>
    </row>
    <row r="38" spans="1:22" ht="20.25" customHeight="1">
      <c r="A38" s="135">
        <f t="shared" si="0"/>
        <v>47</v>
      </c>
      <c r="B38" s="122">
        <f t="shared" si="10"/>
        <v>53</v>
      </c>
      <c r="C38" s="175">
        <v>129</v>
      </c>
      <c r="D38" s="176"/>
      <c r="E38" s="168" t="s">
        <v>198</v>
      </c>
      <c r="F38" s="169"/>
      <c r="G38" s="135">
        <v>7</v>
      </c>
      <c r="H38" s="135">
        <v>8</v>
      </c>
      <c r="I38" s="170">
        <f t="shared" si="2"/>
        <v>56</v>
      </c>
      <c r="J38" s="171"/>
      <c r="K38" s="135">
        <v>60</v>
      </c>
      <c r="L38" s="135">
        <v>30</v>
      </c>
      <c r="M38" s="158">
        <v>40</v>
      </c>
      <c r="N38" s="153">
        <f t="shared" si="3"/>
        <v>0.504</v>
      </c>
      <c r="O38" s="172">
        <f t="shared" si="4"/>
        <v>50.4</v>
      </c>
      <c r="P38" s="173"/>
      <c r="Q38" s="174"/>
      <c r="R38" s="136">
        <v>7.2</v>
      </c>
      <c r="S38" s="137">
        <f t="shared" si="5"/>
        <v>5.4</v>
      </c>
      <c r="T38" s="125">
        <f t="shared" si="6"/>
        <v>37.800000000000004</v>
      </c>
      <c r="U38" s="7"/>
      <c r="V38" s="7"/>
    </row>
    <row r="39" spans="1:22" ht="20.25" customHeight="1">
      <c r="A39" s="135">
        <f t="shared" si="0"/>
        <v>54</v>
      </c>
      <c r="B39" s="122">
        <f t="shared" si="10"/>
        <v>54</v>
      </c>
      <c r="C39" s="175">
        <v>129</v>
      </c>
      <c r="D39" s="176"/>
      <c r="E39" s="168" t="s">
        <v>198</v>
      </c>
      <c r="F39" s="169"/>
      <c r="G39" s="135">
        <v>1</v>
      </c>
      <c r="H39" s="135">
        <v>2</v>
      </c>
      <c r="I39" s="170">
        <f t="shared" ref="I39" si="30">H39*G39</f>
        <v>2</v>
      </c>
      <c r="J39" s="171"/>
      <c r="K39" s="135">
        <v>60</v>
      </c>
      <c r="L39" s="135">
        <v>30</v>
      </c>
      <c r="M39" s="158">
        <v>20</v>
      </c>
      <c r="N39" s="153">
        <f t="shared" ref="N39" si="31">K39*L39*M39/1000000*G39</f>
        <v>3.5999999999999997E-2</v>
      </c>
      <c r="O39" s="172">
        <f t="shared" ref="O39" si="32">R39*G39</f>
        <v>7.2</v>
      </c>
      <c r="P39" s="173"/>
      <c r="Q39" s="174"/>
      <c r="R39" s="136">
        <v>7.2</v>
      </c>
      <c r="S39" s="137">
        <f>R39-1.4</f>
        <v>5.8000000000000007</v>
      </c>
      <c r="T39" s="125">
        <f t="shared" ref="T39" si="33">S39*G39</f>
        <v>5.8000000000000007</v>
      </c>
      <c r="U39" s="7"/>
      <c r="V39" s="7"/>
    </row>
    <row r="40" spans="1:22" ht="20.25" customHeight="1">
      <c r="A40" s="135">
        <f t="shared" si="0"/>
        <v>55</v>
      </c>
      <c r="B40" s="122">
        <f t="shared" si="10"/>
        <v>63</v>
      </c>
      <c r="C40" s="175">
        <v>132</v>
      </c>
      <c r="D40" s="176"/>
      <c r="E40" s="168" t="s">
        <v>199</v>
      </c>
      <c r="F40" s="169"/>
      <c r="G40" s="135">
        <v>9</v>
      </c>
      <c r="H40" s="135">
        <v>8</v>
      </c>
      <c r="I40" s="170">
        <f t="shared" si="2"/>
        <v>72</v>
      </c>
      <c r="J40" s="171"/>
      <c r="K40" s="135">
        <v>60</v>
      </c>
      <c r="L40" s="135">
        <v>30</v>
      </c>
      <c r="M40" s="158">
        <v>40</v>
      </c>
      <c r="N40" s="153">
        <f t="shared" si="3"/>
        <v>0.64799999999999991</v>
      </c>
      <c r="O40" s="172">
        <f t="shared" si="4"/>
        <v>66.78</v>
      </c>
      <c r="P40" s="173"/>
      <c r="Q40" s="174"/>
      <c r="R40" s="136">
        <v>7.42</v>
      </c>
      <c r="S40" s="137">
        <f t="shared" si="5"/>
        <v>5.62</v>
      </c>
      <c r="T40" s="125">
        <f t="shared" si="6"/>
        <v>50.58</v>
      </c>
      <c r="U40" s="7"/>
      <c r="V40" s="7"/>
    </row>
    <row r="41" spans="1:22" ht="20.25" customHeight="1">
      <c r="A41" s="135">
        <f t="shared" si="0"/>
        <v>64</v>
      </c>
      <c r="B41" s="122">
        <f t="shared" si="10"/>
        <v>64</v>
      </c>
      <c r="C41" s="175">
        <v>132</v>
      </c>
      <c r="D41" s="176"/>
      <c r="E41" s="168" t="s">
        <v>199</v>
      </c>
      <c r="F41" s="169"/>
      <c r="G41" s="135">
        <v>1</v>
      </c>
      <c r="H41" s="135">
        <v>3</v>
      </c>
      <c r="I41" s="170">
        <f t="shared" ref="I41" si="34">H41*G41</f>
        <v>3</v>
      </c>
      <c r="J41" s="171"/>
      <c r="K41" s="135">
        <v>60</v>
      </c>
      <c r="L41" s="135">
        <v>30</v>
      </c>
      <c r="M41" s="158">
        <v>20</v>
      </c>
      <c r="N41" s="153">
        <f t="shared" ref="N41" si="35">K41*L41*M41/1000000*G41</f>
        <v>3.5999999999999997E-2</v>
      </c>
      <c r="O41" s="172">
        <f t="shared" ref="O41" si="36">R41*G41</f>
        <v>6.9</v>
      </c>
      <c r="P41" s="173"/>
      <c r="Q41" s="174"/>
      <c r="R41" s="136">
        <v>6.9</v>
      </c>
      <c r="S41" s="137">
        <f>R41-1.4</f>
        <v>5.5</v>
      </c>
      <c r="T41" s="125">
        <f t="shared" ref="T41" si="37">S41*G41</f>
        <v>5.5</v>
      </c>
      <c r="U41" s="7"/>
      <c r="V41" s="7"/>
    </row>
    <row r="42" spans="1:22" ht="20.25" customHeight="1">
      <c r="A42" s="135">
        <f t="shared" si="0"/>
        <v>65</v>
      </c>
      <c r="B42" s="122">
        <f t="shared" si="10"/>
        <v>87</v>
      </c>
      <c r="C42" s="175">
        <v>145</v>
      </c>
      <c r="D42" s="176"/>
      <c r="E42" s="168" t="s">
        <v>200</v>
      </c>
      <c r="F42" s="169"/>
      <c r="G42" s="135">
        <v>23</v>
      </c>
      <c r="H42" s="135">
        <v>7</v>
      </c>
      <c r="I42" s="170">
        <f t="shared" si="2"/>
        <v>161</v>
      </c>
      <c r="J42" s="171"/>
      <c r="K42" s="135">
        <v>60</v>
      </c>
      <c r="L42" s="135">
        <v>30</v>
      </c>
      <c r="M42" s="158">
        <v>40</v>
      </c>
      <c r="N42" s="153">
        <f t="shared" si="3"/>
        <v>1.6559999999999999</v>
      </c>
      <c r="O42" s="172">
        <f t="shared" si="4"/>
        <v>170.20000000000002</v>
      </c>
      <c r="P42" s="173"/>
      <c r="Q42" s="174"/>
      <c r="R42" s="136">
        <v>7.4</v>
      </c>
      <c r="S42" s="137">
        <f t="shared" si="5"/>
        <v>5.6000000000000005</v>
      </c>
      <c r="T42" s="125">
        <f t="shared" si="6"/>
        <v>128.80000000000001</v>
      </c>
      <c r="U42" s="7"/>
      <c r="V42" s="7"/>
    </row>
    <row r="43" spans="1:22" ht="20.25" customHeight="1">
      <c r="A43" s="135">
        <f t="shared" si="0"/>
        <v>88</v>
      </c>
      <c r="B43" s="122">
        <f t="shared" si="10"/>
        <v>88</v>
      </c>
      <c r="C43" s="175">
        <v>145</v>
      </c>
      <c r="D43" s="176"/>
      <c r="E43" s="168" t="s">
        <v>200</v>
      </c>
      <c r="F43" s="169"/>
      <c r="G43" s="135">
        <v>1</v>
      </c>
      <c r="H43" s="135">
        <v>4</v>
      </c>
      <c r="I43" s="170">
        <f t="shared" ref="I43" si="38">H43*G43</f>
        <v>4</v>
      </c>
      <c r="J43" s="171"/>
      <c r="K43" s="135">
        <v>60</v>
      </c>
      <c r="L43" s="135">
        <v>30</v>
      </c>
      <c r="M43" s="158">
        <v>40</v>
      </c>
      <c r="N43" s="153">
        <f t="shared" ref="N43" si="39">K43*L43*M43/1000000*G43</f>
        <v>7.1999999999999995E-2</v>
      </c>
      <c r="O43" s="172">
        <f t="shared" ref="O43" si="40">R43*G43</f>
        <v>7.4</v>
      </c>
      <c r="P43" s="173"/>
      <c r="Q43" s="174"/>
      <c r="R43" s="136">
        <v>7.4</v>
      </c>
      <c r="S43" s="137">
        <f t="shared" si="5"/>
        <v>5.6000000000000005</v>
      </c>
      <c r="T43" s="125">
        <f t="shared" ref="T43" si="41">S43*G43</f>
        <v>5.6000000000000005</v>
      </c>
      <c r="U43" s="7"/>
      <c r="V43" s="7"/>
    </row>
    <row r="44" spans="1:22" ht="20.25" customHeight="1">
      <c r="A44" s="135">
        <f t="shared" si="0"/>
        <v>89</v>
      </c>
      <c r="B44" s="122">
        <f t="shared" si="10"/>
        <v>141</v>
      </c>
      <c r="C44" s="175">
        <v>158</v>
      </c>
      <c r="D44" s="176"/>
      <c r="E44" s="168" t="s">
        <v>201</v>
      </c>
      <c r="F44" s="169"/>
      <c r="G44" s="135">
        <v>53</v>
      </c>
      <c r="H44" s="135">
        <v>7</v>
      </c>
      <c r="I44" s="170">
        <f t="shared" si="2"/>
        <v>371</v>
      </c>
      <c r="J44" s="171"/>
      <c r="K44" s="135">
        <v>60</v>
      </c>
      <c r="L44" s="135">
        <v>30</v>
      </c>
      <c r="M44" s="158">
        <v>40</v>
      </c>
      <c r="N44" s="153">
        <f t="shared" si="3"/>
        <v>3.8159999999999998</v>
      </c>
      <c r="O44" s="172">
        <f t="shared" si="4"/>
        <v>394.85</v>
      </c>
      <c r="P44" s="173"/>
      <c r="Q44" s="174"/>
      <c r="R44" s="136">
        <v>7.45</v>
      </c>
      <c r="S44" s="137">
        <f t="shared" si="5"/>
        <v>5.65</v>
      </c>
      <c r="T44" s="125">
        <f t="shared" si="6"/>
        <v>299.45000000000005</v>
      </c>
      <c r="U44" s="7"/>
      <c r="V44" s="7"/>
    </row>
    <row r="45" spans="1:22" ht="20.25" customHeight="1">
      <c r="A45" s="135">
        <f t="shared" si="0"/>
        <v>142</v>
      </c>
      <c r="B45" s="122">
        <f t="shared" si="10"/>
        <v>142</v>
      </c>
      <c r="C45" s="175">
        <v>158</v>
      </c>
      <c r="D45" s="176"/>
      <c r="E45" s="168" t="s">
        <v>201</v>
      </c>
      <c r="F45" s="169"/>
      <c r="G45" s="135">
        <v>1</v>
      </c>
      <c r="H45" s="135">
        <v>3</v>
      </c>
      <c r="I45" s="170">
        <f t="shared" ref="I45" si="42">H45*G45</f>
        <v>3</v>
      </c>
      <c r="J45" s="171"/>
      <c r="K45" s="135">
        <v>60</v>
      </c>
      <c r="L45" s="135">
        <v>30</v>
      </c>
      <c r="M45" s="158">
        <v>20</v>
      </c>
      <c r="N45" s="153">
        <f t="shared" ref="N45" si="43">K45*L45*M45/1000000*G45</f>
        <v>3.5999999999999997E-2</v>
      </c>
      <c r="O45" s="172">
        <f t="shared" ref="O45" si="44">R45*G45</f>
        <v>7.45</v>
      </c>
      <c r="P45" s="173"/>
      <c r="Q45" s="174"/>
      <c r="R45" s="136">
        <v>7.45</v>
      </c>
      <c r="S45" s="137">
        <f t="shared" si="5"/>
        <v>5.65</v>
      </c>
      <c r="T45" s="125">
        <f t="shared" ref="T45" si="45">S45*G45</f>
        <v>5.65</v>
      </c>
      <c r="U45" s="7"/>
      <c r="V45" s="7"/>
    </row>
    <row r="46" spans="1:22" ht="20.25" customHeight="1">
      <c r="A46" s="135">
        <f t="shared" si="0"/>
        <v>143</v>
      </c>
      <c r="B46" s="122">
        <f t="shared" si="10"/>
        <v>161</v>
      </c>
      <c r="C46" s="175">
        <v>161</v>
      </c>
      <c r="D46" s="176"/>
      <c r="E46" s="168" t="s">
        <v>202</v>
      </c>
      <c r="F46" s="169"/>
      <c r="G46" s="135">
        <v>19</v>
      </c>
      <c r="H46" s="135">
        <v>7</v>
      </c>
      <c r="I46" s="170">
        <f t="shared" si="2"/>
        <v>133</v>
      </c>
      <c r="J46" s="171"/>
      <c r="K46" s="135">
        <v>60</v>
      </c>
      <c r="L46" s="135">
        <v>30</v>
      </c>
      <c r="M46" s="158">
        <v>40</v>
      </c>
      <c r="N46" s="153">
        <f t="shared" si="3"/>
        <v>1.3679999999999999</v>
      </c>
      <c r="O46" s="172">
        <f t="shared" si="4"/>
        <v>142.5</v>
      </c>
      <c r="P46" s="173"/>
      <c r="Q46" s="174"/>
      <c r="R46" s="136">
        <v>7.5</v>
      </c>
      <c r="S46" s="137">
        <f>R46-1.4</f>
        <v>6.1</v>
      </c>
      <c r="T46" s="125">
        <f t="shared" si="6"/>
        <v>115.89999999999999</v>
      </c>
      <c r="U46" s="7"/>
      <c r="V46" s="7"/>
    </row>
    <row r="47" spans="1:22" ht="20.25" customHeight="1">
      <c r="A47" s="135">
        <f t="shared" si="0"/>
        <v>162</v>
      </c>
      <c r="B47" s="122">
        <f t="shared" si="10"/>
        <v>162</v>
      </c>
      <c r="C47" s="175">
        <v>161</v>
      </c>
      <c r="D47" s="176"/>
      <c r="E47" s="168" t="s">
        <v>202</v>
      </c>
      <c r="F47" s="169"/>
      <c r="G47" s="135">
        <v>1</v>
      </c>
      <c r="H47" s="135">
        <v>5</v>
      </c>
      <c r="I47" s="170">
        <f t="shared" ref="I47" si="46">H47*G47</f>
        <v>5</v>
      </c>
      <c r="J47" s="171"/>
      <c r="K47" s="135">
        <v>60</v>
      </c>
      <c r="L47" s="135">
        <v>30</v>
      </c>
      <c r="M47" s="158">
        <v>40</v>
      </c>
      <c r="N47" s="153">
        <f t="shared" ref="N47" si="47">K47*L47*M47/1000000*G47</f>
        <v>7.1999999999999995E-2</v>
      </c>
      <c r="O47" s="172">
        <f t="shared" ref="O47" si="48">R47*G47</f>
        <v>7.5</v>
      </c>
      <c r="P47" s="173"/>
      <c r="Q47" s="174"/>
      <c r="R47" s="136">
        <v>7.5</v>
      </c>
      <c r="S47" s="137">
        <f t="shared" si="5"/>
        <v>5.7</v>
      </c>
      <c r="T47" s="125">
        <f t="shared" ref="T47" si="49">S47*G47</f>
        <v>5.7</v>
      </c>
      <c r="U47" s="7"/>
      <c r="V47" s="7"/>
    </row>
    <row r="48" spans="1:22" ht="20.25" customHeight="1">
      <c r="A48" s="135">
        <f t="shared" si="0"/>
        <v>163</v>
      </c>
      <c r="B48" s="122">
        <f t="shared" si="10"/>
        <v>216</v>
      </c>
      <c r="C48" s="175">
        <v>174</v>
      </c>
      <c r="D48" s="176"/>
      <c r="E48" s="168" t="s">
        <v>203</v>
      </c>
      <c r="F48" s="169"/>
      <c r="G48" s="135">
        <v>54</v>
      </c>
      <c r="H48" s="135">
        <v>7</v>
      </c>
      <c r="I48" s="170">
        <f t="shared" si="2"/>
        <v>378</v>
      </c>
      <c r="J48" s="171"/>
      <c r="K48" s="135">
        <v>60</v>
      </c>
      <c r="L48" s="135">
        <v>30</v>
      </c>
      <c r="M48" s="158">
        <v>40</v>
      </c>
      <c r="N48" s="153">
        <f t="shared" si="3"/>
        <v>3.8879999999999999</v>
      </c>
      <c r="O48" s="172">
        <f t="shared" si="4"/>
        <v>429.3</v>
      </c>
      <c r="P48" s="173"/>
      <c r="Q48" s="174"/>
      <c r="R48" s="136">
        <v>7.95</v>
      </c>
      <c r="S48" s="137">
        <f t="shared" si="5"/>
        <v>6.15</v>
      </c>
      <c r="T48" s="125">
        <f t="shared" si="6"/>
        <v>332.1</v>
      </c>
      <c r="U48" s="7"/>
      <c r="V48" s="7"/>
    </row>
    <row r="49" spans="1:22" ht="20.25" customHeight="1">
      <c r="A49" s="135">
        <f t="shared" si="0"/>
        <v>217</v>
      </c>
      <c r="B49" s="122">
        <f t="shared" si="10"/>
        <v>263</v>
      </c>
      <c r="C49" s="175">
        <v>187</v>
      </c>
      <c r="D49" s="176"/>
      <c r="E49" s="168" t="s">
        <v>204</v>
      </c>
      <c r="F49" s="169"/>
      <c r="G49" s="135">
        <v>47</v>
      </c>
      <c r="H49" s="135">
        <v>7</v>
      </c>
      <c r="I49" s="170">
        <f t="shared" si="2"/>
        <v>329</v>
      </c>
      <c r="J49" s="171"/>
      <c r="K49" s="135">
        <v>60</v>
      </c>
      <c r="L49" s="135">
        <v>30</v>
      </c>
      <c r="M49" s="158">
        <v>40</v>
      </c>
      <c r="N49" s="153">
        <f t="shared" si="3"/>
        <v>3.3839999999999999</v>
      </c>
      <c r="O49" s="172">
        <f t="shared" si="4"/>
        <v>375.53000000000003</v>
      </c>
      <c r="P49" s="173"/>
      <c r="Q49" s="174"/>
      <c r="R49" s="136">
        <v>7.99</v>
      </c>
      <c r="S49" s="137">
        <f t="shared" si="5"/>
        <v>6.19</v>
      </c>
      <c r="T49" s="125">
        <f t="shared" si="6"/>
        <v>290.93</v>
      </c>
      <c r="U49" s="7"/>
      <c r="V49" s="7"/>
    </row>
    <row r="50" spans="1:22" ht="20.25" customHeight="1">
      <c r="A50" s="135">
        <f t="shared" si="0"/>
        <v>264</v>
      </c>
      <c r="B50" s="122">
        <f t="shared" si="10"/>
        <v>303</v>
      </c>
      <c r="C50" s="270">
        <v>190</v>
      </c>
      <c r="D50" s="271"/>
      <c r="E50" s="168" t="s">
        <v>205</v>
      </c>
      <c r="F50" s="169"/>
      <c r="G50" s="135">
        <v>40</v>
      </c>
      <c r="H50" s="135">
        <v>6</v>
      </c>
      <c r="I50" s="170">
        <f t="shared" ref="I50" si="50">H50*G50</f>
        <v>240</v>
      </c>
      <c r="J50" s="171"/>
      <c r="K50" s="135">
        <v>60</v>
      </c>
      <c r="L50" s="135">
        <v>30</v>
      </c>
      <c r="M50" s="158">
        <v>40</v>
      </c>
      <c r="N50" s="153">
        <f t="shared" ref="N50" si="51">K50*L50*M50/1000000*G50</f>
        <v>2.88</v>
      </c>
      <c r="O50" s="172">
        <f t="shared" ref="O50" si="52">R50*G50</f>
        <v>290</v>
      </c>
      <c r="P50" s="173"/>
      <c r="Q50" s="174"/>
      <c r="R50" s="136">
        <v>7.25</v>
      </c>
      <c r="S50" s="137">
        <f t="shared" si="5"/>
        <v>5.45</v>
      </c>
      <c r="T50" s="125">
        <f t="shared" ref="T50" si="53">S50*G50</f>
        <v>218</v>
      </c>
      <c r="U50" s="7"/>
      <c r="V50" s="7"/>
    </row>
    <row r="51" spans="1:22" ht="20.25" customHeight="1">
      <c r="A51" s="135">
        <f t="shared" si="0"/>
        <v>304</v>
      </c>
      <c r="B51" s="122">
        <f t="shared" si="10"/>
        <v>304</v>
      </c>
      <c r="C51" s="270">
        <v>190</v>
      </c>
      <c r="D51" s="271"/>
      <c r="E51" s="168" t="s">
        <v>205</v>
      </c>
      <c r="F51" s="169"/>
      <c r="G51" s="135">
        <v>1</v>
      </c>
      <c r="H51" s="135">
        <v>3</v>
      </c>
      <c r="I51" s="170">
        <f t="shared" si="2"/>
        <v>3</v>
      </c>
      <c r="J51" s="171"/>
      <c r="K51" s="135">
        <v>60</v>
      </c>
      <c r="L51" s="135">
        <v>30</v>
      </c>
      <c r="M51" s="158">
        <v>20</v>
      </c>
      <c r="N51" s="153">
        <f>K51*L51*M51/1000000*G51</f>
        <v>3.5999999999999997E-2</v>
      </c>
      <c r="O51" s="172">
        <f t="shared" si="4"/>
        <v>8.1</v>
      </c>
      <c r="P51" s="173"/>
      <c r="Q51" s="174"/>
      <c r="R51" s="136">
        <v>8.1</v>
      </c>
      <c r="S51" s="137">
        <f>R51-1.4</f>
        <v>6.6999999999999993</v>
      </c>
      <c r="T51" s="125">
        <f t="shared" si="6"/>
        <v>6.6999999999999993</v>
      </c>
      <c r="U51" s="7"/>
      <c r="V51" s="7"/>
    </row>
    <row r="52" spans="1:22">
      <c r="A52" s="13"/>
      <c r="B52" s="13"/>
      <c r="C52" s="13"/>
      <c r="D52" s="132"/>
      <c r="E52" s="132"/>
      <c r="F52" s="132"/>
      <c r="G52" s="138"/>
      <c r="H52" s="13"/>
      <c r="I52" s="275"/>
      <c r="J52" s="275"/>
      <c r="K52" s="13"/>
      <c r="L52" s="13"/>
      <c r="M52" s="13"/>
      <c r="N52" s="139"/>
      <c r="O52" s="276"/>
      <c r="P52" s="276"/>
      <c r="Q52" s="276"/>
      <c r="R52" s="13"/>
      <c r="S52" s="13"/>
      <c r="T52" s="11"/>
      <c r="U52" s="11"/>
      <c r="V52" s="11"/>
    </row>
    <row r="53" spans="1:22">
      <c r="A53" s="137" t="s">
        <v>60</v>
      </c>
      <c r="B53" s="49"/>
      <c r="C53" s="49"/>
      <c r="D53" s="132"/>
      <c r="E53" s="132"/>
      <c r="F53" s="132"/>
      <c r="G53" s="135">
        <f>SUM(G25:G52)</f>
        <v>304</v>
      </c>
      <c r="H53" s="13"/>
      <c r="I53" s="277">
        <f>SUM(I25:J52)</f>
        <v>2114</v>
      </c>
      <c r="J53" s="278"/>
      <c r="K53" s="13"/>
      <c r="L53" s="49"/>
      <c r="M53" s="13"/>
      <c r="N53" s="140">
        <f>SUM(N25:N52)</f>
        <v>21.671999999999997</v>
      </c>
      <c r="O53" s="279">
        <f>SUM(O25:Q52)</f>
        <v>2270.6999999999998</v>
      </c>
      <c r="P53" s="279"/>
      <c r="Q53" s="279"/>
      <c r="R53" s="49"/>
      <c r="S53" s="13"/>
      <c r="T53" s="97">
        <f>SUM(T25:T52)</f>
        <v>1733.1000000000004</v>
      </c>
      <c r="U53" s="11"/>
      <c r="V53" s="11"/>
    </row>
    <row r="54" spans="1:22">
      <c r="A54" s="13"/>
      <c r="B54" s="13"/>
      <c r="C54" s="13"/>
      <c r="D54" s="132"/>
      <c r="E54" s="132"/>
      <c r="F54" s="132"/>
      <c r="G54" s="132" t="s">
        <v>61</v>
      </c>
      <c r="H54" s="132"/>
      <c r="I54" s="272" t="s">
        <v>62</v>
      </c>
      <c r="J54" s="272"/>
      <c r="K54" s="132"/>
      <c r="L54" s="49"/>
      <c r="M54" s="132"/>
      <c r="N54" s="141" t="s">
        <v>63</v>
      </c>
      <c r="O54" s="272" t="s">
        <v>64</v>
      </c>
      <c r="P54" s="272"/>
      <c r="Q54" s="272"/>
      <c r="R54" s="49"/>
      <c r="S54" s="13"/>
      <c r="T54" s="11"/>
      <c r="U54" s="11"/>
      <c r="V54" s="11"/>
    </row>
    <row r="55" spans="1:22">
      <c r="A55" s="13"/>
      <c r="B55" s="13"/>
      <c r="C55" s="13"/>
      <c r="D55" s="132"/>
      <c r="E55" s="132"/>
      <c r="F55" s="132"/>
      <c r="G55" s="132"/>
      <c r="H55" s="132"/>
      <c r="I55" s="141"/>
      <c r="J55" s="141"/>
      <c r="K55" s="132"/>
      <c r="L55" s="49"/>
      <c r="M55" s="132"/>
      <c r="N55" s="141"/>
      <c r="O55" s="141"/>
      <c r="P55" s="141"/>
      <c r="Q55" s="141"/>
      <c r="R55" s="49"/>
      <c r="S55" s="13"/>
      <c r="T55" s="11"/>
      <c r="U55" s="11"/>
      <c r="V55" s="11"/>
    </row>
    <row r="56" spans="1:22" ht="15">
      <c r="A56" s="273" t="s">
        <v>65</v>
      </c>
      <c r="B56" s="274"/>
      <c r="C56" s="274"/>
      <c r="D56" s="274"/>
      <c r="E56" s="274"/>
      <c r="F56" s="274"/>
      <c r="G56" s="274"/>
      <c r="H56" s="274"/>
      <c r="I56" s="274"/>
      <c r="J56" s="274"/>
      <c r="K56" s="274"/>
      <c r="L56" s="142"/>
      <c r="M56" s="142"/>
      <c r="N56" s="142"/>
      <c r="O56" s="142"/>
      <c r="P56" s="142"/>
      <c r="Q56" s="142"/>
      <c r="R56" s="142"/>
      <c r="S56" s="142"/>
      <c r="T56" s="11"/>
      <c r="U56" s="11"/>
      <c r="V56" s="11"/>
    </row>
    <row r="57" spans="1:22" ht="15.75" customHeight="1">
      <c r="A57" s="273" t="s">
        <v>66</v>
      </c>
      <c r="B57" s="274"/>
      <c r="C57" s="274"/>
      <c r="D57" s="274"/>
      <c r="E57" s="274"/>
      <c r="F57" s="274"/>
      <c r="G57" s="274"/>
      <c r="H57" s="274"/>
      <c r="I57" s="274"/>
      <c r="J57" s="274"/>
      <c r="K57" s="274"/>
      <c r="L57" s="274"/>
      <c r="M57" s="274"/>
      <c r="N57" s="274"/>
      <c r="O57" s="274"/>
      <c r="P57" s="274"/>
      <c r="Q57" s="274"/>
      <c r="R57" s="274"/>
      <c r="S57" s="274"/>
    </row>
    <row r="58" spans="1:22" ht="15.75" customHeight="1">
      <c r="A58" s="143"/>
      <c r="B58" s="49"/>
      <c r="C58" s="49"/>
      <c r="D58" s="49"/>
      <c r="E58" s="49"/>
      <c r="F58" s="49"/>
      <c r="G58" s="49"/>
      <c r="H58" s="49"/>
      <c r="I58" s="49"/>
      <c r="J58" s="49"/>
      <c r="K58" s="49"/>
      <c r="L58" s="49"/>
      <c r="M58" s="49"/>
      <c r="N58" s="49"/>
      <c r="O58" s="49"/>
      <c r="P58" s="49"/>
      <c r="Q58" s="49"/>
      <c r="R58" s="49"/>
      <c r="S58" s="49"/>
    </row>
    <row r="59" spans="1:22" s="49" customFormat="1" ht="21" customHeight="1">
      <c r="A59" s="55" t="s">
        <v>67</v>
      </c>
      <c r="B59" s="147" t="s">
        <v>191</v>
      </c>
      <c r="C59" s="147" t="s">
        <v>192</v>
      </c>
      <c r="D59" s="147" t="s">
        <v>193</v>
      </c>
      <c r="E59" s="147" t="s">
        <v>194</v>
      </c>
      <c r="F59" s="147" t="s">
        <v>195</v>
      </c>
      <c r="G59" s="147" t="s">
        <v>196</v>
      </c>
      <c r="H59" s="147" t="s">
        <v>197</v>
      </c>
      <c r="I59" s="147" t="s">
        <v>198</v>
      </c>
      <c r="J59" s="147" t="s">
        <v>199</v>
      </c>
      <c r="K59" s="147" t="s">
        <v>200</v>
      </c>
      <c r="L59" s="147" t="s">
        <v>201</v>
      </c>
      <c r="M59" s="147" t="s">
        <v>202</v>
      </c>
      <c r="N59" s="147" t="s">
        <v>203</v>
      </c>
      <c r="O59" s="147" t="s">
        <v>204</v>
      </c>
      <c r="P59" s="147" t="s">
        <v>205</v>
      </c>
      <c r="Q59" s="148" t="s">
        <v>68</v>
      </c>
      <c r="R59" s="48"/>
      <c r="S59" s="48"/>
      <c r="T59" s="48"/>
    </row>
    <row r="60" spans="1:22" ht="19.5" customHeight="1">
      <c r="A60" s="55" t="s">
        <v>69</v>
      </c>
      <c r="B60" s="147">
        <v>19</v>
      </c>
      <c r="C60" s="147">
        <v>11</v>
      </c>
      <c r="D60" s="147">
        <v>33</v>
      </c>
      <c r="E60" s="147">
        <v>43</v>
      </c>
      <c r="F60" s="147">
        <v>58</v>
      </c>
      <c r="G60" s="147">
        <v>67</v>
      </c>
      <c r="H60" s="147">
        <v>112</v>
      </c>
      <c r="I60" s="147">
        <v>56</v>
      </c>
      <c r="J60" s="147">
        <v>74</v>
      </c>
      <c r="K60" s="147">
        <v>164</v>
      </c>
      <c r="L60" s="147">
        <v>376</v>
      </c>
      <c r="M60" s="147">
        <v>139</v>
      </c>
      <c r="N60" s="147">
        <v>378</v>
      </c>
      <c r="O60" s="147">
        <v>329</v>
      </c>
      <c r="P60" s="147">
        <v>244</v>
      </c>
      <c r="Q60" s="148">
        <f>SUM(A60:P60)</f>
        <v>2103</v>
      </c>
      <c r="R60" s="48"/>
      <c r="S60" s="48"/>
      <c r="T60" s="6"/>
    </row>
    <row r="61" spans="1:22" ht="18" customHeight="1">
      <c r="A61" s="55" t="s">
        <v>70</v>
      </c>
      <c r="B61" s="149">
        <f>+I25+I26</f>
        <v>20</v>
      </c>
      <c r="C61" s="149">
        <f>+I27+I28</f>
        <v>12</v>
      </c>
      <c r="D61" s="149">
        <f>+I29+I30</f>
        <v>35</v>
      </c>
      <c r="E61" s="149">
        <f>I31+I32</f>
        <v>46</v>
      </c>
      <c r="F61" s="149">
        <f>I33+I34</f>
        <v>60</v>
      </c>
      <c r="G61" s="149">
        <f>I35+I36</f>
        <v>69</v>
      </c>
      <c r="H61" s="149">
        <f>I37</f>
        <v>112</v>
      </c>
      <c r="I61" s="149">
        <f>I38+I39</f>
        <v>58</v>
      </c>
      <c r="J61" s="149">
        <f>I40+I41</f>
        <v>75</v>
      </c>
      <c r="K61" s="149">
        <f>I42+I43</f>
        <v>165</v>
      </c>
      <c r="L61" s="149">
        <f>I44+I45</f>
        <v>374</v>
      </c>
      <c r="M61" s="149">
        <f>I46+I47</f>
        <v>138</v>
      </c>
      <c r="N61" s="149">
        <f>I48</f>
        <v>378</v>
      </c>
      <c r="O61" s="149">
        <f>I49</f>
        <v>329</v>
      </c>
      <c r="P61" s="149">
        <f>+I51+I50</f>
        <v>243</v>
      </c>
      <c r="Q61" s="148">
        <f>SUM(A61:P61)</f>
        <v>2114</v>
      </c>
      <c r="R61" s="48"/>
      <c r="S61" s="48"/>
      <c r="T61" s="6"/>
    </row>
    <row r="62" spans="1:22" ht="18.75" customHeight="1">
      <c r="A62" s="144" t="s">
        <v>71</v>
      </c>
      <c r="B62" s="150">
        <f>B61-B60</f>
        <v>1</v>
      </c>
      <c r="C62" s="150">
        <f t="shared" ref="C62:P62" si="54">C61-C60</f>
        <v>1</v>
      </c>
      <c r="D62" s="166">
        <f t="shared" si="54"/>
        <v>2</v>
      </c>
      <c r="E62" s="150">
        <f t="shared" si="54"/>
        <v>3</v>
      </c>
      <c r="F62" s="150">
        <f t="shared" si="54"/>
        <v>2</v>
      </c>
      <c r="G62" s="150">
        <f t="shared" si="54"/>
        <v>2</v>
      </c>
      <c r="H62" s="150">
        <f t="shared" si="54"/>
        <v>0</v>
      </c>
      <c r="I62" s="150">
        <f t="shared" si="54"/>
        <v>2</v>
      </c>
      <c r="J62" s="150">
        <f t="shared" si="54"/>
        <v>1</v>
      </c>
      <c r="K62" s="150">
        <f t="shared" si="54"/>
        <v>1</v>
      </c>
      <c r="L62" s="150">
        <f t="shared" si="54"/>
        <v>-2</v>
      </c>
      <c r="M62" s="150">
        <f t="shared" si="54"/>
        <v>-1</v>
      </c>
      <c r="N62" s="150">
        <f t="shared" si="54"/>
        <v>0</v>
      </c>
      <c r="O62" s="150">
        <f t="shared" si="54"/>
        <v>0</v>
      </c>
      <c r="P62" s="150">
        <f t="shared" si="54"/>
        <v>-1</v>
      </c>
      <c r="Q62" s="148">
        <f>SUM(A62:P62)</f>
        <v>11</v>
      </c>
      <c r="R62" s="48"/>
      <c r="S62" s="48"/>
      <c r="T62" s="6"/>
    </row>
    <row r="63" spans="1:22" ht="18" customHeight="1">
      <c r="A63" s="144" t="s">
        <v>72</v>
      </c>
      <c r="B63" s="151">
        <f>B62/B60</f>
        <v>5.2631578947368418E-2</v>
      </c>
      <c r="C63" s="151">
        <f>C62/C60</f>
        <v>9.0909090909090912E-2</v>
      </c>
      <c r="D63" s="167">
        <f t="shared" ref="D63:K63" si="55">D62/D60</f>
        <v>6.0606060606060608E-2</v>
      </c>
      <c r="E63" s="151">
        <f t="shared" si="55"/>
        <v>6.9767441860465115E-2</v>
      </c>
      <c r="F63" s="151">
        <f t="shared" si="55"/>
        <v>3.4482758620689655E-2</v>
      </c>
      <c r="G63" s="151">
        <f t="shared" si="55"/>
        <v>2.9850746268656716E-2</v>
      </c>
      <c r="H63" s="151">
        <f t="shared" si="55"/>
        <v>0</v>
      </c>
      <c r="I63" s="151">
        <f t="shared" si="55"/>
        <v>3.5714285714285712E-2</v>
      </c>
      <c r="J63" s="151">
        <f t="shared" si="55"/>
        <v>1.3513513513513514E-2</v>
      </c>
      <c r="K63" s="151">
        <f t="shared" si="55"/>
        <v>6.0975609756097563E-3</v>
      </c>
      <c r="L63" s="151">
        <f t="shared" ref="L63:Q63" si="56">L62/L60</f>
        <v>-5.3191489361702126E-3</v>
      </c>
      <c r="M63" s="151">
        <f t="shared" si="56"/>
        <v>-7.1942446043165471E-3</v>
      </c>
      <c r="N63" s="151">
        <f t="shared" si="56"/>
        <v>0</v>
      </c>
      <c r="O63" s="151">
        <f t="shared" si="56"/>
        <v>0</v>
      </c>
      <c r="P63" s="151">
        <f t="shared" si="56"/>
        <v>-4.0983606557377051E-3</v>
      </c>
      <c r="Q63" s="151">
        <f t="shared" si="56"/>
        <v>5.2306229196386117E-3</v>
      </c>
      <c r="R63" s="48"/>
      <c r="S63" s="48"/>
      <c r="T63" s="6"/>
    </row>
    <row r="64" spans="1:22" ht="18" customHeight="1">
      <c r="A64" s="145"/>
      <c r="B64" s="100"/>
      <c r="C64" s="100"/>
      <c r="D64" s="100"/>
      <c r="E64" s="100"/>
      <c r="F64" s="100"/>
      <c r="G64" s="100"/>
      <c r="H64" s="100"/>
      <c r="I64" s="100"/>
      <c r="J64" s="100"/>
      <c r="K64" s="100"/>
      <c r="L64" s="100"/>
      <c r="M64" s="100"/>
      <c r="N64" s="100"/>
      <c r="O64" s="100"/>
      <c r="P64" s="100"/>
      <c r="Q64" s="100"/>
      <c r="R64" s="48"/>
      <c r="S64" s="48"/>
      <c r="T64" s="6"/>
    </row>
    <row r="65" spans="1:31" ht="18" hidden="1" customHeight="1">
      <c r="A65" s="55" t="s">
        <v>67</v>
      </c>
      <c r="B65" s="56"/>
      <c r="C65" s="56"/>
      <c r="D65" s="56"/>
      <c r="E65" s="56"/>
      <c r="F65" s="56"/>
      <c r="G65" s="56"/>
      <c r="H65" s="56"/>
      <c r="I65" s="56"/>
      <c r="J65" s="56"/>
      <c r="K65" s="56"/>
      <c r="L65" s="56"/>
      <c r="M65" s="56"/>
      <c r="N65" s="56"/>
      <c r="O65" s="56"/>
      <c r="P65" s="56"/>
      <c r="Q65" s="57" t="s">
        <v>68</v>
      </c>
      <c r="R65" s="48"/>
      <c r="S65" s="48"/>
      <c r="T65" s="6"/>
    </row>
    <row r="66" spans="1:31" ht="18" hidden="1" customHeight="1">
      <c r="A66" s="55" t="s">
        <v>69</v>
      </c>
      <c r="B66" s="56"/>
      <c r="C66" s="56"/>
      <c r="D66" s="56"/>
      <c r="E66" s="56"/>
      <c r="F66" s="56"/>
      <c r="G66" s="56"/>
      <c r="H66" s="56"/>
      <c r="I66" s="56"/>
      <c r="J66" s="56"/>
      <c r="K66" s="56"/>
      <c r="L66" s="56"/>
      <c r="M66" s="56"/>
      <c r="N66" s="56"/>
      <c r="O66" s="56"/>
      <c r="P66" s="56"/>
      <c r="Q66" s="57">
        <f>SUM(A66:O66)</f>
        <v>0</v>
      </c>
      <c r="R66" s="48"/>
      <c r="S66" s="48"/>
      <c r="T66" s="6"/>
    </row>
    <row r="67" spans="1:31" ht="18" hidden="1" customHeight="1">
      <c r="A67" s="55" t="s">
        <v>70</v>
      </c>
      <c r="B67" s="56"/>
      <c r="C67" s="56"/>
      <c r="D67" s="56"/>
      <c r="E67" s="56"/>
      <c r="F67" s="56"/>
      <c r="G67" s="56"/>
      <c r="H67" s="56"/>
      <c r="I67" s="56"/>
      <c r="J67" s="56"/>
      <c r="K67" s="56"/>
      <c r="L67" s="56"/>
      <c r="M67" s="56"/>
      <c r="N67" s="56"/>
      <c r="O67" s="56"/>
      <c r="P67" s="56"/>
      <c r="Q67" s="57">
        <f>SUM(A67:O67)</f>
        <v>0</v>
      </c>
      <c r="R67" s="48"/>
      <c r="S67" s="48"/>
      <c r="T67" s="6"/>
    </row>
    <row r="68" spans="1:31" ht="18" hidden="1" customHeight="1">
      <c r="A68" s="144" t="s">
        <v>71</v>
      </c>
      <c r="B68" s="88">
        <f>B67-B66</f>
        <v>0</v>
      </c>
      <c r="C68" s="88">
        <f>C67-C66</f>
        <v>0</v>
      </c>
      <c r="D68" s="88">
        <f t="shared" ref="D68:O68" si="57">D67-D66</f>
        <v>0</v>
      </c>
      <c r="E68" s="88">
        <f t="shared" si="57"/>
        <v>0</v>
      </c>
      <c r="F68" s="88">
        <f t="shared" si="57"/>
        <v>0</v>
      </c>
      <c r="G68" s="88">
        <f t="shared" si="57"/>
        <v>0</v>
      </c>
      <c r="H68" s="88">
        <f t="shared" si="57"/>
        <v>0</v>
      </c>
      <c r="I68" s="88">
        <f t="shared" si="57"/>
        <v>0</v>
      </c>
      <c r="J68" s="88">
        <f t="shared" si="57"/>
        <v>0</v>
      </c>
      <c r="K68" s="88">
        <f t="shared" si="57"/>
        <v>0</v>
      </c>
      <c r="L68" s="88">
        <f t="shared" si="57"/>
        <v>0</v>
      </c>
      <c r="M68" s="88">
        <f t="shared" si="57"/>
        <v>0</v>
      </c>
      <c r="N68" s="88">
        <f t="shared" si="57"/>
        <v>0</v>
      </c>
      <c r="O68" s="88">
        <f t="shared" si="57"/>
        <v>0</v>
      </c>
      <c r="P68" s="88"/>
      <c r="Q68" s="88">
        <f>SUM(A68:O68)</f>
        <v>0</v>
      </c>
      <c r="R68" s="48"/>
      <c r="S68" s="48"/>
      <c r="T68" s="6"/>
    </row>
    <row r="69" spans="1:31" ht="18" hidden="1" customHeight="1">
      <c r="A69" s="144" t="s">
        <v>72</v>
      </c>
      <c r="B69" s="90" t="e">
        <f>B68/B66</f>
        <v>#DIV/0!</v>
      </c>
      <c r="C69" s="90" t="e">
        <f>C68/C66</f>
        <v>#DIV/0!</v>
      </c>
      <c r="D69" s="90" t="e">
        <f t="shared" ref="D69:Q69" si="58">D68/D66</f>
        <v>#DIV/0!</v>
      </c>
      <c r="E69" s="90" t="e">
        <f t="shared" si="58"/>
        <v>#DIV/0!</v>
      </c>
      <c r="F69" s="90" t="e">
        <f t="shared" si="58"/>
        <v>#DIV/0!</v>
      </c>
      <c r="G69" s="90" t="e">
        <f t="shared" si="58"/>
        <v>#DIV/0!</v>
      </c>
      <c r="H69" s="90" t="e">
        <f t="shared" si="58"/>
        <v>#DIV/0!</v>
      </c>
      <c r="I69" s="90" t="e">
        <f t="shared" si="58"/>
        <v>#DIV/0!</v>
      </c>
      <c r="J69" s="90" t="e">
        <f t="shared" si="58"/>
        <v>#DIV/0!</v>
      </c>
      <c r="K69" s="90" t="e">
        <f t="shared" si="58"/>
        <v>#DIV/0!</v>
      </c>
      <c r="L69" s="90" t="e">
        <f t="shared" si="58"/>
        <v>#DIV/0!</v>
      </c>
      <c r="M69" s="90" t="e">
        <f t="shared" si="58"/>
        <v>#DIV/0!</v>
      </c>
      <c r="N69" s="90" t="e">
        <f t="shared" si="58"/>
        <v>#DIV/0!</v>
      </c>
      <c r="O69" s="90" t="e">
        <f t="shared" si="58"/>
        <v>#DIV/0!</v>
      </c>
      <c r="P69" s="90"/>
      <c r="Q69" s="90" t="e">
        <f t="shared" si="58"/>
        <v>#DIV/0!</v>
      </c>
      <c r="R69" s="48"/>
      <c r="S69" s="48"/>
      <c r="T69" s="6"/>
    </row>
    <row r="70" spans="1:31" ht="18" hidden="1" customHeight="1">
      <c r="A70" s="145"/>
      <c r="B70" s="100"/>
      <c r="C70" s="100"/>
      <c r="D70" s="100"/>
      <c r="E70" s="100"/>
      <c r="F70" s="100"/>
      <c r="G70" s="100"/>
      <c r="H70" s="100"/>
      <c r="I70" s="100"/>
      <c r="J70" s="100"/>
      <c r="K70" s="100"/>
      <c r="L70" s="100"/>
      <c r="M70" s="100"/>
      <c r="N70" s="100"/>
      <c r="O70" s="100"/>
      <c r="P70" s="100"/>
      <c r="Q70" s="100"/>
      <c r="R70" s="48"/>
      <c r="S70" s="48"/>
      <c r="T70" s="6"/>
    </row>
    <row r="71" spans="1:31" ht="18" hidden="1" customHeight="1">
      <c r="A71" s="55" t="s">
        <v>67</v>
      </c>
      <c r="B71" s="56"/>
      <c r="C71" s="56"/>
      <c r="D71" s="56"/>
      <c r="E71" s="56"/>
      <c r="F71" s="56"/>
      <c r="G71" s="56"/>
      <c r="H71" s="56"/>
      <c r="I71" s="56"/>
      <c r="J71" s="56"/>
      <c r="K71" s="56"/>
      <c r="L71" s="56"/>
      <c r="M71" s="56"/>
      <c r="N71" s="56"/>
      <c r="O71" s="56"/>
      <c r="P71" s="56"/>
      <c r="Q71" s="57" t="s">
        <v>68</v>
      </c>
      <c r="R71" s="48"/>
      <c r="S71" s="48"/>
      <c r="T71" s="6"/>
    </row>
    <row r="72" spans="1:31" ht="18" hidden="1" customHeight="1">
      <c r="A72" s="55" t="s">
        <v>69</v>
      </c>
      <c r="B72" s="56"/>
      <c r="C72" s="56"/>
      <c r="D72" s="56"/>
      <c r="E72" s="56"/>
      <c r="F72" s="56"/>
      <c r="G72" s="56"/>
      <c r="H72" s="56"/>
      <c r="I72" s="56"/>
      <c r="J72" s="56"/>
      <c r="K72" s="56"/>
      <c r="L72" s="56"/>
      <c r="M72" s="56"/>
      <c r="N72" s="56"/>
      <c r="O72" s="56"/>
      <c r="P72" s="56"/>
      <c r="Q72" s="57">
        <f>SUM(A72:O72)</f>
        <v>0</v>
      </c>
      <c r="R72" s="48"/>
      <c r="S72" s="48"/>
      <c r="T72" s="6"/>
    </row>
    <row r="73" spans="1:31" ht="18" hidden="1" customHeight="1">
      <c r="A73" s="55" t="s">
        <v>70</v>
      </c>
      <c r="B73" s="56"/>
      <c r="C73" s="56"/>
      <c r="D73" s="56"/>
      <c r="E73" s="56"/>
      <c r="F73" s="56"/>
      <c r="G73" s="56"/>
      <c r="H73" s="56"/>
      <c r="I73" s="56"/>
      <c r="J73" s="56"/>
      <c r="K73" s="56"/>
      <c r="L73" s="56"/>
      <c r="M73" s="56"/>
      <c r="N73" s="56"/>
      <c r="O73" s="56"/>
      <c r="P73" s="56"/>
      <c r="Q73" s="57">
        <f>SUM(A73:O73)</f>
        <v>0</v>
      </c>
      <c r="R73" s="48"/>
      <c r="S73" s="48"/>
      <c r="T73" s="6"/>
    </row>
    <row r="74" spans="1:31" ht="18" hidden="1" customHeight="1">
      <c r="A74" s="144" t="s">
        <v>71</v>
      </c>
      <c r="B74" s="88">
        <f>B73-B72</f>
        <v>0</v>
      </c>
      <c r="C74" s="88">
        <f>C73-C72</f>
        <v>0</v>
      </c>
      <c r="D74" s="88">
        <f t="shared" ref="D74:O74" si="59">D73-D72</f>
        <v>0</v>
      </c>
      <c r="E74" s="88">
        <f t="shared" si="59"/>
        <v>0</v>
      </c>
      <c r="F74" s="88">
        <f t="shared" si="59"/>
        <v>0</v>
      </c>
      <c r="G74" s="88">
        <f t="shared" si="59"/>
        <v>0</v>
      </c>
      <c r="H74" s="88">
        <f t="shared" si="59"/>
        <v>0</v>
      </c>
      <c r="I74" s="88">
        <f t="shared" si="59"/>
        <v>0</v>
      </c>
      <c r="J74" s="88">
        <f t="shared" si="59"/>
        <v>0</v>
      </c>
      <c r="K74" s="88">
        <f t="shared" si="59"/>
        <v>0</v>
      </c>
      <c r="L74" s="88">
        <f t="shared" si="59"/>
        <v>0</v>
      </c>
      <c r="M74" s="88">
        <f t="shared" si="59"/>
        <v>0</v>
      </c>
      <c r="N74" s="88">
        <f t="shared" si="59"/>
        <v>0</v>
      </c>
      <c r="O74" s="88">
        <f t="shared" si="59"/>
        <v>0</v>
      </c>
      <c r="P74" s="88"/>
      <c r="Q74" s="88">
        <f>SUM(A74:O74)</f>
        <v>0</v>
      </c>
      <c r="R74" s="48"/>
      <c r="S74" s="48"/>
      <c r="T74" s="6"/>
    </row>
    <row r="75" spans="1:31" ht="18" hidden="1" customHeight="1">
      <c r="A75" s="144" t="s">
        <v>72</v>
      </c>
      <c r="B75" s="90" t="e">
        <f>B74/B72</f>
        <v>#DIV/0!</v>
      </c>
      <c r="C75" s="90" t="e">
        <f>C74/C72</f>
        <v>#DIV/0!</v>
      </c>
      <c r="D75" s="90" t="e">
        <f t="shared" ref="D75:Q75" si="60">D74/D72</f>
        <v>#DIV/0!</v>
      </c>
      <c r="E75" s="90" t="e">
        <f t="shared" si="60"/>
        <v>#DIV/0!</v>
      </c>
      <c r="F75" s="90" t="e">
        <f t="shared" si="60"/>
        <v>#DIV/0!</v>
      </c>
      <c r="G75" s="90" t="e">
        <f t="shared" si="60"/>
        <v>#DIV/0!</v>
      </c>
      <c r="H75" s="90" t="e">
        <f t="shared" si="60"/>
        <v>#DIV/0!</v>
      </c>
      <c r="I75" s="90" t="e">
        <f t="shared" si="60"/>
        <v>#DIV/0!</v>
      </c>
      <c r="J75" s="90" t="e">
        <f t="shared" si="60"/>
        <v>#DIV/0!</v>
      </c>
      <c r="K75" s="90" t="e">
        <f t="shared" si="60"/>
        <v>#DIV/0!</v>
      </c>
      <c r="L75" s="90" t="e">
        <f t="shared" si="60"/>
        <v>#DIV/0!</v>
      </c>
      <c r="M75" s="90" t="e">
        <f t="shared" si="60"/>
        <v>#DIV/0!</v>
      </c>
      <c r="N75" s="90" t="e">
        <f t="shared" si="60"/>
        <v>#DIV/0!</v>
      </c>
      <c r="O75" s="90" t="e">
        <f t="shared" si="60"/>
        <v>#DIV/0!</v>
      </c>
      <c r="P75" s="90"/>
      <c r="Q75" s="90" t="e">
        <f t="shared" si="60"/>
        <v>#DIV/0!</v>
      </c>
      <c r="R75" s="48"/>
      <c r="S75" s="48"/>
      <c r="T75" s="6"/>
    </row>
    <row r="76" spans="1:31" ht="18" hidden="1" customHeight="1">
      <c r="A76" s="145"/>
      <c r="B76" s="100"/>
      <c r="C76" s="100"/>
      <c r="D76" s="100"/>
      <c r="E76" s="100"/>
      <c r="F76" s="100"/>
      <c r="G76" s="100"/>
      <c r="H76" s="100"/>
      <c r="I76" s="100"/>
      <c r="J76" s="100"/>
      <c r="K76" s="100"/>
      <c r="L76" s="100"/>
      <c r="M76" s="100"/>
      <c r="N76" s="100"/>
      <c r="O76" s="100"/>
      <c r="P76" s="100"/>
      <c r="Q76" s="100"/>
      <c r="R76" s="48"/>
      <c r="S76" s="48"/>
      <c r="T76" s="6"/>
    </row>
    <row r="77" spans="1:31" ht="42" customHeight="1">
      <c r="A77" s="285" t="s">
        <v>211</v>
      </c>
      <c r="B77" s="285"/>
      <c r="C77" s="285"/>
      <c r="D77" s="285"/>
      <c r="E77" s="285"/>
      <c r="F77" s="285"/>
      <c r="G77" s="285"/>
      <c r="H77" s="285"/>
      <c r="I77" s="285"/>
      <c r="J77" s="285"/>
      <c r="K77" s="285"/>
      <c r="L77" s="285"/>
      <c r="M77" s="285"/>
      <c r="N77" s="285"/>
      <c r="O77" s="285"/>
      <c r="P77" s="285"/>
      <c r="Q77" s="285"/>
      <c r="R77" s="49"/>
      <c r="S77" s="146"/>
      <c r="T77" s="4"/>
      <c r="U77" s="4"/>
      <c r="V77" s="4"/>
      <c r="W77" s="4"/>
      <c r="X77" s="4"/>
      <c r="Y77" s="4"/>
      <c r="Z77" s="4"/>
      <c r="AA77" s="4"/>
      <c r="AB77" s="4"/>
      <c r="AC77" s="4"/>
      <c r="AD77" s="4"/>
      <c r="AE77" s="4"/>
    </row>
    <row r="78" spans="1:31" ht="38.25" customHeight="1">
      <c r="A78" s="286" t="s">
        <v>209</v>
      </c>
      <c r="B78" s="286"/>
      <c r="C78" s="286"/>
      <c r="D78" s="286"/>
      <c r="E78" s="286"/>
      <c r="F78" s="286"/>
      <c r="G78" s="286"/>
      <c r="H78" s="286"/>
      <c r="I78" s="286"/>
      <c r="J78" s="286"/>
      <c r="K78" s="286"/>
      <c r="L78" s="286"/>
      <c r="M78" s="286"/>
      <c r="N78" s="286"/>
      <c r="O78" s="286"/>
      <c r="P78" s="286"/>
      <c r="Q78" s="286"/>
      <c r="R78" s="49"/>
      <c r="S78" s="146"/>
      <c r="T78" s="4"/>
      <c r="U78" s="4"/>
      <c r="V78" s="4"/>
      <c r="W78" s="4"/>
      <c r="X78" s="4"/>
      <c r="Y78" s="4"/>
      <c r="Z78" s="4"/>
      <c r="AA78" s="4"/>
      <c r="AB78" s="4"/>
      <c r="AC78" s="4"/>
      <c r="AD78" s="4"/>
      <c r="AE78" s="4"/>
    </row>
    <row r="79" spans="1:31" ht="18.75" customHeight="1">
      <c r="A79" s="287"/>
      <c r="B79" s="287"/>
      <c r="C79" s="287"/>
      <c r="D79" s="287"/>
      <c r="E79" s="287"/>
      <c r="F79" s="287"/>
      <c r="G79" s="287"/>
      <c r="H79" s="287"/>
      <c r="I79" s="287"/>
      <c r="J79" s="287"/>
      <c r="K79" s="287"/>
      <c r="L79" s="287"/>
      <c r="M79" s="287"/>
      <c r="N79" s="287"/>
      <c r="O79" s="287"/>
      <c r="P79" s="287"/>
      <c r="Q79" s="287"/>
      <c r="S79" s="4"/>
      <c r="T79" s="4"/>
      <c r="U79" s="4"/>
      <c r="V79" s="4"/>
      <c r="W79" s="4"/>
      <c r="X79" s="4"/>
      <c r="Y79" s="4"/>
      <c r="Z79" s="4"/>
      <c r="AA79" s="4"/>
      <c r="AB79" s="4"/>
      <c r="AC79" s="4"/>
      <c r="AD79" s="4"/>
      <c r="AE79" s="4"/>
    </row>
    <row r="80" spans="1:31" thickBo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row>
    <row r="81" spans="1:18" ht="18">
      <c r="A81" s="288" t="s">
        <v>76</v>
      </c>
      <c r="B81" s="246"/>
      <c r="D81" s="64"/>
      <c r="E81" s="64"/>
      <c r="F81" s="64"/>
      <c r="G81" s="11"/>
      <c r="H81" s="11"/>
      <c r="I81" s="11"/>
      <c r="J81" s="11"/>
      <c r="K81" s="11"/>
      <c r="L81" s="294"/>
      <c r="M81" s="295"/>
      <c r="N81" s="295"/>
      <c r="O81" s="296"/>
      <c r="P81" s="11"/>
      <c r="Q81" s="11"/>
      <c r="R81" s="11"/>
    </row>
    <row r="82" spans="1:18" ht="15.75" customHeight="1">
      <c r="L82" s="297"/>
      <c r="M82" s="298"/>
      <c r="N82" s="298"/>
      <c r="O82" s="299"/>
    </row>
    <row r="83" spans="1:18" ht="47.25" customHeight="1">
      <c r="A83" s="289" t="s">
        <v>77</v>
      </c>
      <c r="B83" s="289"/>
      <c r="C83" s="290"/>
      <c r="D83" s="290"/>
      <c r="E83" s="290"/>
      <c r="F83" s="290"/>
      <c r="G83" s="290"/>
      <c r="H83" s="290"/>
      <c r="I83" s="44"/>
      <c r="J83" s="291" t="s">
        <v>78</v>
      </c>
      <c r="K83" s="291"/>
      <c r="L83" s="297"/>
      <c r="M83" s="298"/>
      <c r="N83" s="298"/>
      <c r="O83" s="299"/>
      <c r="P83" s="129"/>
      <c r="Q83" s="129"/>
    </row>
    <row r="84" spans="1:18" ht="15">
      <c r="C84" s="154"/>
      <c r="D84" s="154"/>
      <c r="E84" s="154"/>
      <c r="F84" s="154"/>
      <c r="G84" s="155"/>
      <c r="H84" s="155"/>
      <c r="I84" s="4"/>
      <c r="J84" s="4"/>
      <c r="K84" s="127"/>
      <c r="L84" s="297"/>
      <c r="M84" s="298"/>
      <c r="N84" s="298"/>
      <c r="O84" s="299"/>
      <c r="P84" s="129"/>
      <c r="Q84" s="129"/>
    </row>
    <row r="85" spans="1:18" ht="22.5" customHeight="1">
      <c r="A85" s="292" t="s">
        <v>79</v>
      </c>
      <c r="B85" s="292"/>
      <c r="C85" s="293" t="str">
        <f>E18</f>
        <v>Bangladesh</v>
      </c>
      <c r="D85" s="293"/>
      <c r="E85" s="293"/>
      <c r="F85" s="293"/>
      <c r="G85" s="293"/>
      <c r="H85" s="293"/>
      <c r="I85" s="44"/>
      <c r="J85" s="4"/>
      <c r="K85" s="127"/>
      <c r="L85" s="297"/>
      <c r="M85" s="298"/>
      <c r="N85" s="298"/>
      <c r="O85" s="299"/>
      <c r="P85" s="129"/>
      <c r="Q85" s="129"/>
    </row>
    <row r="86" spans="1:18" ht="18">
      <c r="C86" s="156"/>
      <c r="D86" s="156"/>
      <c r="E86" s="156"/>
      <c r="F86" s="156"/>
      <c r="G86" s="157"/>
      <c r="H86" s="157"/>
      <c r="I86" s="4"/>
      <c r="J86" s="4"/>
      <c r="K86" s="127"/>
      <c r="L86" s="297"/>
      <c r="M86" s="298"/>
      <c r="N86" s="298"/>
      <c r="O86" s="299"/>
      <c r="P86" s="129"/>
      <c r="Q86" s="129"/>
    </row>
    <row r="87" spans="1:18" ht="18">
      <c r="A87" s="280" t="s">
        <v>80</v>
      </c>
      <c r="B87" s="281"/>
      <c r="C87" s="282">
        <f>M19</f>
        <v>46207</v>
      </c>
      <c r="D87" s="283"/>
      <c r="E87" s="283"/>
      <c r="F87" s="283"/>
      <c r="G87" s="283"/>
      <c r="H87" s="284"/>
      <c r="I87" s="44"/>
      <c r="K87" s="128"/>
      <c r="L87" s="297"/>
      <c r="M87" s="298"/>
      <c r="N87" s="298"/>
      <c r="O87" s="299"/>
      <c r="P87" s="129"/>
      <c r="Q87" s="129"/>
    </row>
    <row r="88" spans="1:18" ht="15.75" customHeight="1">
      <c r="L88" s="297"/>
      <c r="M88" s="298"/>
      <c r="N88" s="298"/>
      <c r="O88" s="299"/>
    </row>
    <row r="89" spans="1:18" ht="15.75" customHeight="1" thickBot="1">
      <c r="L89" s="300"/>
      <c r="M89" s="301"/>
      <c r="N89" s="301"/>
      <c r="O89" s="302"/>
    </row>
  </sheetData>
  <mergeCells count="188">
    <mergeCell ref="C45:D45"/>
    <mergeCell ref="E45:F45"/>
    <mergeCell ref="I45:J45"/>
    <mergeCell ref="O45:Q45"/>
    <mergeCell ref="C47:D47"/>
    <mergeCell ref="E47:F47"/>
    <mergeCell ref="I47:J47"/>
    <mergeCell ref="O47:Q47"/>
    <mergeCell ref="C32:D32"/>
    <mergeCell ref="C36:D36"/>
    <mergeCell ref="C39:D39"/>
    <mergeCell ref="C43:D43"/>
    <mergeCell ref="E36:F36"/>
    <mergeCell ref="I36:J36"/>
    <mergeCell ref="O36:Q36"/>
    <mergeCell ref="E39:F39"/>
    <mergeCell ref="I39:J39"/>
    <mergeCell ref="O39:Q39"/>
    <mergeCell ref="E43:F43"/>
    <mergeCell ref="I43:J43"/>
    <mergeCell ref="O43:Q43"/>
    <mergeCell ref="C40:D40"/>
    <mergeCell ref="E40:F40"/>
    <mergeCell ref="I40:J40"/>
    <mergeCell ref="C26:D26"/>
    <mergeCell ref="E26:F26"/>
    <mergeCell ref="I26:J26"/>
    <mergeCell ref="O26:Q26"/>
    <mergeCell ref="C30:D30"/>
    <mergeCell ref="E30:F30"/>
    <mergeCell ref="I30:J30"/>
    <mergeCell ref="O30:Q30"/>
    <mergeCell ref="E32:F32"/>
    <mergeCell ref="I32:J32"/>
    <mergeCell ref="O32:Q32"/>
    <mergeCell ref="C27:D27"/>
    <mergeCell ref="E27:F27"/>
    <mergeCell ref="I27:J27"/>
    <mergeCell ref="O27:Q27"/>
    <mergeCell ref="E28:F28"/>
    <mergeCell ref="I28:J28"/>
    <mergeCell ref="O28:Q28"/>
    <mergeCell ref="C28:D28"/>
    <mergeCell ref="A87:B87"/>
    <mergeCell ref="C87:H87"/>
    <mergeCell ref="A77:Q77"/>
    <mergeCell ref="A78:Q78"/>
    <mergeCell ref="A79:Q79"/>
    <mergeCell ref="A81:B81"/>
    <mergeCell ref="A83:B83"/>
    <mergeCell ref="C83:H83"/>
    <mergeCell ref="J83:K83"/>
    <mergeCell ref="A85:B85"/>
    <mergeCell ref="C85:H85"/>
    <mergeCell ref="L81:O89"/>
    <mergeCell ref="I54:J54"/>
    <mergeCell ref="O54:Q54"/>
    <mergeCell ref="A56:K56"/>
    <mergeCell ref="A57:S57"/>
    <mergeCell ref="I52:J52"/>
    <mergeCell ref="O52:Q52"/>
    <mergeCell ref="I53:J53"/>
    <mergeCell ref="O53:Q53"/>
    <mergeCell ref="E49:F49"/>
    <mergeCell ref="I49:J49"/>
    <mergeCell ref="O49:Q49"/>
    <mergeCell ref="C49:D49"/>
    <mergeCell ref="C51:D51"/>
    <mergeCell ref="E51:F51"/>
    <mergeCell ref="I51:J51"/>
    <mergeCell ref="O51:Q51"/>
    <mergeCell ref="E50:F50"/>
    <mergeCell ref="I50:J50"/>
    <mergeCell ref="O50:Q50"/>
    <mergeCell ref="C50:D50"/>
    <mergeCell ref="O40:Q40"/>
    <mergeCell ref="C38:D38"/>
    <mergeCell ref="E38:F38"/>
    <mergeCell ref="I38:J38"/>
    <mergeCell ref="O38:Q38"/>
    <mergeCell ref="C44:D44"/>
    <mergeCell ref="E44:F44"/>
    <mergeCell ref="I44:J44"/>
    <mergeCell ref="O44:Q44"/>
    <mergeCell ref="C42:D42"/>
    <mergeCell ref="E42:F42"/>
    <mergeCell ref="I35:J35"/>
    <mergeCell ref="O35:Q35"/>
    <mergeCell ref="C33:D33"/>
    <mergeCell ref="E33:F33"/>
    <mergeCell ref="I33:J33"/>
    <mergeCell ref="O33:Q33"/>
    <mergeCell ref="C29:D29"/>
    <mergeCell ref="E29:F29"/>
    <mergeCell ref="I29:J29"/>
    <mergeCell ref="O29:Q29"/>
    <mergeCell ref="E31:F31"/>
    <mergeCell ref="I31:J31"/>
    <mergeCell ref="O31:Q31"/>
    <mergeCell ref="C31:D31"/>
    <mergeCell ref="A19:D19"/>
    <mergeCell ref="E19:H19"/>
    <mergeCell ref="J19:L19"/>
    <mergeCell ref="M19:Q19"/>
    <mergeCell ref="K23:M23"/>
    <mergeCell ref="N23:N24"/>
    <mergeCell ref="O23:Q24"/>
    <mergeCell ref="C25:D25"/>
    <mergeCell ref="E25:F25"/>
    <mergeCell ref="I25:J25"/>
    <mergeCell ref="O25:Q25"/>
    <mergeCell ref="C22:D22"/>
    <mergeCell ref="E22:F22"/>
    <mergeCell ref="I22:J22"/>
    <mergeCell ref="O22:Q22"/>
    <mergeCell ref="A23:B23"/>
    <mergeCell ref="C23:D24"/>
    <mergeCell ref="E23:F24"/>
    <mergeCell ref="G23:G24"/>
    <mergeCell ref="H23:H24"/>
    <mergeCell ref="I23:J24"/>
    <mergeCell ref="Q15:Q17"/>
    <mergeCell ref="A16:C16"/>
    <mergeCell ref="D16:H16"/>
    <mergeCell ref="J16:O16"/>
    <mergeCell ref="A17:H17"/>
    <mergeCell ref="J17:O17"/>
    <mergeCell ref="A18:D18"/>
    <mergeCell ref="E18:H18"/>
    <mergeCell ref="J18:Q18"/>
    <mergeCell ref="A12:B12"/>
    <mergeCell ref="C12:H12"/>
    <mergeCell ref="A13:B13"/>
    <mergeCell ref="C13:H13"/>
    <mergeCell ref="A8:C8"/>
    <mergeCell ref="D8:H8"/>
    <mergeCell ref="J8:O8"/>
    <mergeCell ref="A14:H14"/>
    <mergeCell ref="A15:C15"/>
    <mergeCell ref="D15:H15"/>
    <mergeCell ref="J15:O15"/>
    <mergeCell ref="A11:B11"/>
    <mergeCell ref="C11:H11"/>
    <mergeCell ref="A1:Q1"/>
    <mergeCell ref="A3:B3"/>
    <mergeCell ref="C3:H3"/>
    <mergeCell ref="L3:Q3"/>
    <mergeCell ref="A4:B4"/>
    <mergeCell ref="C4:H4"/>
    <mergeCell ref="J4:K4"/>
    <mergeCell ref="L4:Q4"/>
    <mergeCell ref="Q8:Q10"/>
    <mergeCell ref="A9:H9"/>
    <mergeCell ref="J9:O9"/>
    <mergeCell ref="A10:H10"/>
    <mergeCell ref="J10:O10"/>
    <mergeCell ref="A5:B5"/>
    <mergeCell ref="C5:H5"/>
    <mergeCell ref="J5:K5"/>
    <mergeCell ref="L5:Q5"/>
    <mergeCell ref="A7:C7"/>
    <mergeCell ref="D7:H7"/>
    <mergeCell ref="J3:K3"/>
    <mergeCell ref="M2:P2"/>
    <mergeCell ref="E48:F48"/>
    <mergeCell ref="I48:J48"/>
    <mergeCell ref="O48:Q48"/>
    <mergeCell ref="C48:D48"/>
    <mergeCell ref="E34:F34"/>
    <mergeCell ref="I34:J34"/>
    <mergeCell ref="O34:Q34"/>
    <mergeCell ref="C34:D34"/>
    <mergeCell ref="C37:D37"/>
    <mergeCell ref="E37:F37"/>
    <mergeCell ref="I37:J37"/>
    <mergeCell ref="O37:Q37"/>
    <mergeCell ref="I42:J42"/>
    <mergeCell ref="O42:Q42"/>
    <mergeCell ref="C46:D46"/>
    <mergeCell ref="E46:F46"/>
    <mergeCell ref="I46:J46"/>
    <mergeCell ref="O46:Q46"/>
    <mergeCell ref="C41:D41"/>
    <mergeCell ref="E41:F41"/>
    <mergeCell ref="I41:J41"/>
    <mergeCell ref="O41:Q41"/>
    <mergeCell ref="C35:D35"/>
    <mergeCell ref="E35:F35"/>
  </mergeCells>
  <printOptions horizontalCentered="1"/>
  <pageMargins left="0.25" right="0.25" top="0.75" bottom="0.75" header="0.3" footer="0.3"/>
  <pageSetup scale="44"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9BF8B-8338-4D72-9CA0-A17C4D81C1EB}">
  <sheetPr>
    <tabColor theme="7" tint="0.79998168889431442"/>
    <outlinePr summaryBelow="0" summaryRight="0"/>
    <pageSetUpPr fitToPage="1"/>
  </sheetPr>
  <dimension ref="A1:AD85"/>
  <sheetViews>
    <sheetView zoomScaleNormal="100" workbookViewId="0">
      <selection activeCell="U84" sqref="U84"/>
    </sheetView>
  </sheetViews>
  <sheetFormatPr defaultColWidth="12.5703125" defaultRowHeight="15.75" customHeight="1"/>
  <cols>
    <col min="1" max="1" width="13.42578125" customWidth="1"/>
    <col min="2" max="2" width="13.5703125" customWidth="1"/>
    <col min="3" max="3" width="11.42578125" customWidth="1"/>
    <col min="4" max="4" width="11.28515625" customWidth="1"/>
    <col min="5" max="5" width="11" customWidth="1"/>
    <col min="6" max="6" width="11.5703125" customWidth="1"/>
    <col min="8" max="8" width="12.7109375" customWidth="1"/>
    <col min="9" max="9" width="11.85546875" customWidth="1"/>
    <col min="10" max="10" width="11.5703125" customWidth="1"/>
    <col min="12" max="12" width="12.42578125" customWidth="1"/>
    <col min="14" max="14" width="12.5703125" customWidth="1"/>
    <col min="15" max="15" width="12.140625" customWidth="1"/>
    <col min="16" max="16" width="11" customWidth="1"/>
  </cols>
  <sheetData>
    <row r="1" spans="1:21" ht="33.75" customHeight="1">
      <c r="A1" s="177" t="s">
        <v>145</v>
      </c>
      <c r="B1" s="177"/>
      <c r="C1" s="177"/>
      <c r="D1" s="177"/>
      <c r="E1" s="177"/>
      <c r="F1" s="177"/>
      <c r="G1" s="177"/>
      <c r="H1" s="177"/>
      <c r="I1" s="177"/>
      <c r="J1" s="177"/>
      <c r="K1" s="177"/>
      <c r="L1" s="177"/>
      <c r="M1" s="177"/>
      <c r="N1" s="177"/>
      <c r="O1" s="177"/>
      <c r="P1" s="177"/>
      <c r="R1" s="11"/>
      <c r="S1" s="11"/>
      <c r="T1" s="11"/>
      <c r="U1" s="11"/>
    </row>
    <row r="2" spans="1:21" ht="21.75" customHeight="1">
      <c r="A2" s="178" t="s">
        <v>1</v>
      </c>
      <c r="B2" s="179"/>
      <c r="C2" s="303" t="s">
        <v>146</v>
      </c>
      <c r="D2" s="304"/>
      <c r="E2" s="304"/>
      <c r="F2" s="304"/>
      <c r="G2" s="304"/>
      <c r="H2" s="305"/>
      <c r="I2" s="44"/>
      <c r="J2" s="221" t="s">
        <v>2</v>
      </c>
      <c r="K2" s="222"/>
      <c r="L2" s="232" t="s">
        <v>3</v>
      </c>
      <c r="M2" s="232"/>
      <c r="N2" s="232"/>
      <c r="O2" s="232"/>
      <c r="P2" s="233"/>
      <c r="R2" s="11"/>
      <c r="S2" s="11"/>
      <c r="T2" s="11"/>
      <c r="U2" s="11"/>
    </row>
    <row r="3" spans="1:21" ht="21.75" customHeight="1">
      <c r="A3" s="186" t="s">
        <v>4</v>
      </c>
      <c r="B3" s="187"/>
      <c r="C3" s="306" t="s">
        <v>119</v>
      </c>
      <c r="D3" s="307"/>
      <c r="E3" s="307"/>
      <c r="F3" s="307"/>
      <c r="G3" s="307"/>
      <c r="H3" s="308"/>
      <c r="I3" s="44"/>
      <c r="J3" s="191" t="s">
        <v>5</v>
      </c>
      <c r="K3" s="192"/>
      <c r="L3" s="192" t="s">
        <v>120</v>
      </c>
      <c r="M3" s="192"/>
      <c r="N3" s="192"/>
      <c r="O3" s="192"/>
      <c r="P3" s="201"/>
      <c r="R3" s="11"/>
      <c r="S3" s="11"/>
      <c r="T3" s="11"/>
      <c r="U3" s="11"/>
    </row>
    <row r="4" spans="1:21" ht="48" customHeight="1">
      <c r="A4" s="208" t="s">
        <v>7</v>
      </c>
      <c r="B4" s="179"/>
      <c r="C4" s="336" t="s">
        <v>147</v>
      </c>
      <c r="D4" s="337"/>
      <c r="E4" s="337"/>
      <c r="F4" s="337"/>
      <c r="G4" s="337"/>
      <c r="H4" s="338"/>
      <c r="I4" s="44"/>
      <c r="J4" s="339" t="s">
        <v>8</v>
      </c>
      <c r="K4" s="340"/>
      <c r="L4" s="340" t="s">
        <v>9</v>
      </c>
      <c r="M4" s="340"/>
      <c r="N4" s="340"/>
      <c r="O4" s="340"/>
      <c r="P4" s="341"/>
      <c r="R4" s="11"/>
      <c r="S4" s="11"/>
      <c r="T4" s="11"/>
      <c r="U4" s="11"/>
    </row>
    <row r="5" spans="1:21" ht="15">
      <c r="A5" s="11"/>
      <c r="B5" s="50"/>
      <c r="C5" s="50"/>
      <c r="D5" s="5"/>
      <c r="E5" s="5"/>
      <c r="F5" s="5"/>
      <c r="G5" s="5"/>
      <c r="H5" s="5"/>
      <c r="I5" s="5"/>
      <c r="J5" s="59"/>
      <c r="K5" s="59"/>
      <c r="L5" s="58"/>
      <c r="M5" s="58"/>
      <c r="N5" s="58"/>
      <c r="O5" s="58"/>
      <c r="P5" s="58"/>
      <c r="R5" s="11"/>
      <c r="S5" s="11"/>
      <c r="T5" s="11"/>
      <c r="U5" s="11"/>
    </row>
    <row r="6" spans="1:21" ht="22.5" customHeight="1">
      <c r="A6" s="325" t="s">
        <v>10</v>
      </c>
      <c r="B6" s="342"/>
      <c r="C6" s="342"/>
      <c r="D6" s="303" t="s">
        <v>148</v>
      </c>
      <c r="E6" s="304"/>
      <c r="F6" s="304"/>
      <c r="G6" s="304"/>
      <c r="H6" s="305"/>
      <c r="I6" s="44"/>
      <c r="J6" s="91" t="s">
        <v>11</v>
      </c>
      <c r="K6" s="73"/>
      <c r="L6" s="73"/>
      <c r="M6" s="73"/>
      <c r="N6" s="73"/>
      <c r="O6" s="73"/>
      <c r="P6" s="74" t="s">
        <v>12</v>
      </c>
      <c r="R6" s="50"/>
      <c r="S6" s="50"/>
      <c r="T6" s="50"/>
      <c r="U6" s="50"/>
    </row>
    <row r="7" spans="1:21" ht="23.25" customHeight="1">
      <c r="A7" s="362" t="s">
        <v>13</v>
      </c>
      <c r="B7" s="326"/>
      <c r="C7" s="326"/>
      <c r="D7" s="303" t="s">
        <v>149</v>
      </c>
      <c r="E7" s="304"/>
      <c r="F7" s="304"/>
      <c r="G7" s="304"/>
      <c r="H7" s="305"/>
      <c r="I7" s="44"/>
      <c r="J7" s="327" t="s">
        <v>14</v>
      </c>
      <c r="K7" s="328"/>
      <c r="L7" s="328"/>
      <c r="M7" s="328"/>
      <c r="N7" s="328"/>
      <c r="O7" s="329"/>
      <c r="P7" s="195" t="s">
        <v>124</v>
      </c>
      <c r="R7" s="50"/>
      <c r="S7" s="50"/>
      <c r="T7" s="50"/>
      <c r="U7" s="50"/>
    </row>
    <row r="8" spans="1:21" ht="21" customHeight="1">
      <c r="A8" s="245"/>
      <c r="B8" s="246"/>
      <c r="C8" s="246"/>
      <c r="D8" s="246"/>
      <c r="E8" s="246"/>
      <c r="F8" s="246"/>
      <c r="G8" s="246"/>
      <c r="H8" s="246"/>
      <c r="J8" s="330" t="s">
        <v>15</v>
      </c>
      <c r="K8" s="331"/>
      <c r="L8" s="331"/>
      <c r="M8" s="331"/>
      <c r="N8" s="331"/>
      <c r="O8" s="332"/>
      <c r="P8" s="196"/>
      <c r="R8" s="50"/>
      <c r="S8" s="50"/>
      <c r="T8" s="50"/>
      <c r="U8" s="50"/>
    </row>
    <row r="9" spans="1:21" ht="15.75" customHeight="1">
      <c r="A9" s="333" t="s">
        <v>16</v>
      </c>
      <c r="B9" s="334"/>
      <c r="C9" s="334"/>
      <c r="D9" s="334"/>
      <c r="E9" s="334"/>
      <c r="F9" s="334"/>
      <c r="G9" s="334"/>
      <c r="H9" s="335"/>
      <c r="I9" s="44"/>
      <c r="J9" s="205"/>
      <c r="K9" s="206"/>
      <c r="L9" s="206"/>
      <c r="M9" s="206"/>
      <c r="N9" s="206"/>
      <c r="O9" s="207"/>
      <c r="P9" s="197"/>
      <c r="R9" s="50"/>
      <c r="S9" s="50"/>
      <c r="T9" s="50"/>
      <c r="U9" s="50"/>
    </row>
    <row r="10" spans="1:21" ht="19.5" customHeight="1">
      <c r="A10" s="221" t="s">
        <v>17</v>
      </c>
      <c r="B10" s="354"/>
      <c r="C10" s="221" t="s">
        <v>150</v>
      </c>
      <c r="D10" s="222"/>
      <c r="E10" s="222"/>
      <c r="F10" s="222"/>
      <c r="G10" s="222"/>
      <c r="H10" s="355"/>
      <c r="I10" s="44"/>
      <c r="J10" s="95" t="s">
        <v>19</v>
      </c>
      <c r="K10" s="96"/>
      <c r="L10" s="96"/>
      <c r="M10" s="96"/>
      <c r="N10" s="96"/>
      <c r="O10" s="85"/>
      <c r="P10" s="92"/>
      <c r="R10" s="50"/>
      <c r="S10" s="50"/>
      <c r="T10" s="50"/>
      <c r="U10" s="50"/>
    </row>
    <row r="11" spans="1:21" ht="19.5" customHeight="1">
      <c r="A11" s="356" t="s">
        <v>20</v>
      </c>
      <c r="B11" s="357"/>
      <c r="C11" s="191" t="s">
        <v>151</v>
      </c>
      <c r="D11" s="309"/>
      <c r="E11" s="309"/>
      <c r="F11" s="309"/>
      <c r="G11" s="309"/>
      <c r="H11" s="358"/>
      <c r="I11" s="44"/>
      <c r="J11" s="77" t="s">
        <v>22</v>
      </c>
      <c r="K11" s="75"/>
      <c r="L11" s="75"/>
      <c r="M11" s="75"/>
      <c r="N11" s="75"/>
      <c r="O11" s="76"/>
      <c r="P11" s="93"/>
      <c r="R11" s="50"/>
      <c r="S11" s="50"/>
      <c r="T11" s="50"/>
      <c r="U11" s="50"/>
    </row>
    <row r="12" spans="1:21" ht="18.75" customHeight="1">
      <c r="A12" s="339" t="s">
        <v>23</v>
      </c>
      <c r="B12" s="359"/>
      <c r="C12" s="339" t="s">
        <v>127</v>
      </c>
      <c r="D12" s="360"/>
      <c r="E12" s="360"/>
      <c r="F12" s="360"/>
      <c r="G12" s="360"/>
      <c r="H12" s="361"/>
      <c r="I12" s="44"/>
      <c r="J12" s="77" t="s">
        <v>15</v>
      </c>
      <c r="K12" s="82"/>
      <c r="L12" s="82"/>
      <c r="M12" s="82"/>
      <c r="N12" s="83"/>
      <c r="O12" s="84"/>
      <c r="P12" s="93"/>
      <c r="R12" s="62"/>
      <c r="S12" s="62"/>
      <c r="T12" s="62"/>
      <c r="U12" s="62"/>
    </row>
    <row r="13" spans="1:21" ht="16.5" customHeight="1">
      <c r="A13" s="234"/>
      <c r="B13" s="234"/>
      <c r="C13" s="234"/>
      <c r="D13" s="234"/>
      <c r="E13" s="234"/>
      <c r="F13" s="234"/>
      <c r="G13" s="234"/>
      <c r="H13" s="234"/>
      <c r="J13" s="77"/>
      <c r="K13" s="78"/>
      <c r="L13" s="78"/>
      <c r="M13" s="78"/>
      <c r="N13" s="79"/>
      <c r="O13" s="80"/>
      <c r="P13" s="94"/>
      <c r="R13" s="61"/>
      <c r="S13" s="50"/>
      <c r="T13" s="50"/>
      <c r="U13" s="50"/>
    </row>
    <row r="14" spans="1:21" ht="18" customHeight="1">
      <c r="A14" s="343" t="s">
        <v>25</v>
      </c>
      <c r="B14" s="304"/>
      <c r="C14" s="304"/>
      <c r="D14" s="343">
        <v>132.47999999999999</v>
      </c>
      <c r="E14" s="304"/>
      <c r="F14" s="304"/>
      <c r="G14" s="304"/>
      <c r="H14" s="305"/>
      <c r="I14" s="44"/>
      <c r="J14" s="327" t="s">
        <v>26</v>
      </c>
      <c r="K14" s="328"/>
      <c r="L14" s="328"/>
      <c r="M14" s="328"/>
      <c r="N14" s="328"/>
      <c r="O14" s="329"/>
      <c r="P14" s="195"/>
      <c r="Q14" s="63"/>
      <c r="R14" s="63"/>
      <c r="S14" s="63"/>
      <c r="T14" s="63"/>
      <c r="U14" s="50"/>
    </row>
    <row r="15" spans="1:21" ht="17.25" customHeight="1">
      <c r="A15" s="303" t="s">
        <v>27</v>
      </c>
      <c r="B15" s="347"/>
      <c r="C15" s="347"/>
      <c r="D15" s="348">
        <f>I51</f>
        <v>631</v>
      </c>
      <c r="E15" s="349"/>
      <c r="F15" s="349"/>
      <c r="G15" s="349"/>
      <c r="H15" s="350"/>
      <c r="I15" s="44"/>
      <c r="J15" s="351" t="s">
        <v>28</v>
      </c>
      <c r="K15" s="352"/>
      <c r="L15" s="352"/>
      <c r="M15" s="352"/>
      <c r="N15" s="352"/>
      <c r="O15" s="353"/>
      <c r="P15" s="196"/>
      <c r="Q15" s="1"/>
      <c r="R15" s="1"/>
      <c r="S15" s="2"/>
      <c r="T15" s="2"/>
      <c r="U15" s="50"/>
    </row>
    <row r="16" spans="1:21" ht="15" customHeight="1">
      <c r="A16" s="245"/>
      <c r="B16" s="246"/>
      <c r="C16" s="246"/>
      <c r="D16" s="246"/>
      <c r="E16" s="246"/>
      <c r="F16" s="246"/>
      <c r="G16" s="246"/>
      <c r="H16" s="246"/>
      <c r="J16" s="205"/>
      <c r="K16" s="206"/>
      <c r="L16" s="206"/>
      <c r="M16" s="206"/>
      <c r="N16" s="206"/>
      <c r="O16" s="207"/>
      <c r="P16" s="197"/>
      <c r="Q16" s="60"/>
      <c r="R16" s="50"/>
      <c r="S16" s="50"/>
      <c r="T16" s="64"/>
      <c r="U16" s="50"/>
    </row>
    <row r="17" spans="1:21" ht="20.25" customHeight="1">
      <c r="A17" s="362" t="s">
        <v>29</v>
      </c>
      <c r="B17" s="326"/>
      <c r="C17" s="326"/>
      <c r="D17" s="326"/>
      <c r="E17" s="303" t="s">
        <v>152</v>
      </c>
      <c r="F17" s="304"/>
      <c r="G17" s="304"/>
      <c r="H17" s="305"/>
      <c r="I17" s="44"/>
      <c r="J17" s="247"/>
      <c r="K17" s="247"/>
      <c r="L17" s="247"/>
      <c r="M17" s="247"/>
      <c r="N17" s="247"/>
      <c r="O17" s="247"/>
      <c r="P17" s="247"/>
      <c r="Q17" s="50"/>
      <c r="R17" s="50"/>
      <c r="S17" s="50"/>
      <c r="T17" s="50"/>
      <c r="U17" s="50"/>
    </row>
    <row r="18" spans="1:21" ht="21.75" customHeight="1">
      <c r="A18" s="325" t="s">
        <v>129</v>
      </c>
      <c r="B18" s="326"/>
      <c r="C18" s="326"/>
      <c r="D18" s="363"/>
      <c r="E18" s="303" t="s">
        <v>130</v>
      </c>
      <c r="F18" s="347"/>
      <c r="G18" s="347"/>
      <c r="H18" s="364"/>
      <c r="I18" s="44"/>
      <c r="J18" s="365" t="s">
        <v>32</v>
      </c>
      <c r="K18" s="366"/>
      <c r="L18" s="366"/>
      <c r="M18" s="367">
        <v>45982</v>
      </c>
      <c r="N18" s="368"/>
      <c r="O18" s="368"/>
      <c r="P18" s="368"/>
      <c r="Q18" s="50"/>
      <c r="R18" s="50"/>
      <c r="S18" s="50"/>
      <c r="T18" s="50"/>
      <c r="U18" s="50"/>
    </row>
    <row r="19" spans="1:21" ht="18.75" customHeight="1">
      <c r="I19" s="44"/>
      <c r="J19" s="50"/>
      <c r="K19" s="50"/>
      <c r="L19" s="50"/>
      <c r="M19" s="61"/>
      <c r="N19" s="61"/>
      <c r="O19" s="50"/>
      <c r="P19" s="50"/>
      <c r="Q19" s="50"/>
      <c r="R19" s="50"/>
      <c r="S19" s="50"/>
      <c r="T19" s="50"/>
      <c r="U19" s="50"/>
    </row>
    <row r="20" spans="1:21" ht="15">
      <c r="A20" s="53" t="s">
        <v>33</v>
      </c>
      <c r="B20" s="71"/>
      <c r="C20" s="71"/>
      <c r="D20" s="53"/>
      <c r="E20" s="53"/>
      <c r="F20" s="53"/>
      <c r="G20" s="54"/>
      <c r="H20" s="54"/>
      <c r="I20" s="54"/>
      <c r="J20" s="54"/>
      <c r="K20" s="54"/>
      <c r="L20" s="54"/>
      <c r="M20" s="54"/>
      <c r="N20" s="54"/>
      <c r="O20" s="54"/>
      <c r="P20" s="54"/>
      <c r="Q20" s="11"/>
      <c r="R20" s="11"/>
      <c r="S20" s="11"/>
      <c r="T20" s="11"/>
      <c r="U20" s="11"/>
    </row>
    <row r="21" spans="1:21" ht="15">
      <c r="A21" s="53" t="s">
        <v>34</v>
      </c>
      <c r="B21" s="53" t="s">
        <v>35</v>
      </c>
      <c r="C21" s="386" t="s">
        <v>36</v>
      </c>
      <c r="D21" s="386"/>
      <c r="E21" s="386" t="s">
        <v>37</v>
      </c>
      <c r="F21" s="386"/>
      <c r="G21" s="53" t="s">
        <v>38</v>
      </c>
      <c r="H21" s="53" t="s">
        <v>39</v>
      </c>
      <c r="I21" s="386" t="s">
        <v>40</v>
      </c>
      <c r="J21" s="386"/>
      <c r="K21" s="53" t="s">
        <v>41</v>
      </c>
      <c r="L21" s="53" t="s">
        <v>42</v>
      </c>
      <c r="M21" s="53" t="s">
        <v>43</v>
      </c>
      <c r="N21" s="72" t="s">
        <v>44</v>
      </c>
      <c r="O21" s="386" t="s">
        <v>45</v>
      </c>
      <c r="P21" s="386"/>
      <c r="Q21" s="64"/>
      <c r="R21" s="64"/>
      <c r="S21" s="64"/>
      <c r="T21" s="64"/>
      <c r="U21" s="64"/>
    </row>
    <row r="22" spans="1:21" ht="15" customHeight="1">
      <c r="A22" s="369" t="s">
        <v>46</v>
      </c>
      <c r="B22" s="370"/>
      <c r="C22" s="371" t="s">
        <v>47</v>
      </c>
      <c r="D22" s="372"/>
      <c r="E22" s="371" t="s">
        <v>48</v>
      </c>
      <c r="F22" s="372"/>
      <c r="G22" s="375" t="s">
        <v>49</v>
      </c>
      <c r="H22" s="375" t="s">
        <v>50</v>
      </c>
      <c r="I22" s="377" t="s">
        <v>51</v>
      </c>
      <c r="J22" s="378"/>
      <c r="K22" s="369" t="s">
        <v>52</v>
      </c>
      <c r="L22" s="381"/>
      <c r="M22" s="370"/>
      <c r="N22" s="377" t="s">
        <v>53</v>
      </c>
      <c r="O22" s="377" t="s">
        <v>54</v>
      </c>
      <c r="P22" s="378"/>
      <c r="Q22" s="3"/>
      <c r="R22" s="3"/>
      <c r="S22" s="3"/>
      <c r="T22" s="3"/>
      <c r="U22" s="3"/>
    </row>
    <row r="23" spans="1:21" s="66" customFormat="1" ht="30.75" customHeight="1">
      <c r="A23" s="45" t="s">
        <v>55</v>
      </c>
      <c r="B23" s="46" t="s">
        <v>56</v>
      </c>
      <c r="C23" s="373"/>
      <c r="D23" s="374"/>
      <c r="E23" s="373"/>
      <c r="F23" s="374"/>
      <c r="G23" s="376"/>
      <c r="H23" s="376"/>
      <c r="I23" s="379"/>
      <c r="J23" s="380"/>
      <c r="K23" s="46" t="s">
        <v>57</v>
      </c>
      <c r="L23" s="46" t="s">
        <v>58</v>
      </c>
      <c r="M23" s="46" t="s">
        <v>59</v>
      </c>
      <c r="N23" s="379"/>
      <c r="O23" s="379"/>
      <c r="P23" s="380"/>
      <c r="Q23" s="47"/>
      <c r="R23" s="47"/>
      <c r="S23" s="47"/>
      <c r="T23" s="47"/>
      <c r="U23" s="47"/>
    </row>
    <row r="24" spans="1:21" ht="20.25" customHeight="1">
      <c r="A24" s="46">
        <v>1</v>
      </c>
      <c r="B24" s="46">
        <v>5</v>
      </c>
      <c r="C24" s="394">
        <v>24</v>
      </c>
      <c r="D24" s="383"/>
      <c r="E24" s="394" t="s">
        <v>153</v>
      </c>
      <c r="F24" s="383"/>
      <c r="G24" s="46">
        <v>5</v>
      </c>
      <c r="H24" s="46">
        <v>58</v>
      </c>
      <c r="I24" s="384">
        <v>290</v>
      </c>
      <c r="J24" s="385"/>
      <c r="K24" s="46">
        <v>60</v>
      </c>
      <c r="L24" s="46">
        <v>30</v>
      </c>
      <c r="M24" s="46">
        <v>40</v>
      </c>
      <c r="N24" s="65">
        <v>0.36</v>
      </c>
      <c r="O24" s="382">
        <v>62</v>
      </c>
      <c r="P24" s="383"/>
      <c r="Q24" s="7"/>
      <c r="R24" s="7"/>
      <c r="S24" s="7"/>
      <c r="T24" s="7"/>
      <c r="U24" s="7"/>
    </row>
    <row r="25" spans="1:21" ht="20.25" customHeight="1">
      <c r="A25" s="46"/>
      <c r="B25" s="46">
        <v>6</v>
      </c>
      <c r="C25" s="382">
        <v>24</v>
      </c>
      <c r="D25" s="383"/>
      <c r="E25" s="394" t="s">
        <v>153</v>
      </c>
      <c r="F25" s="383"/>
      <c r="G25" s="46">
        <v>1</v>
      </c>
      <c r="H25" s="46">
        <v>37</v>
      </c>
      <c r="I25" s="384">
        <v>37</v>
      </c>
      <c r="J25" s="385"/>
      <c r="K25" s="46">
        <v>60</v>
      </c>
      <c r="L25" s="46">
        <v>30</v>
      </c>
      <c r="M25" s="46">
        <v>30</v>
      </c>
      <c r="N25" s="65">
        <v>5.3999999999999999E-2</v>
      </c>
      <c r="O25" s="382">
        <v>8.3000000000000007</v>
      </c>
      <c r="P25" s="383"/>
      <c r="Q25" s="7"/>
      <c r="R25" s="7"/>
      <c r="S25" s="7"/>
      <c r="T25" s="7"/>
      <c r="U25" s="7"/>
    </row>
    <row r="26" spans="1:21" ht="20.25" customHeight="1">
      <c r="A26" s="46">
        <v>7</v>
      </c>
      <c r="B26" s="46">
        <v>8</v>
      </c>
      <c r="C26" s="382">
        <v>27</v>
      </c>
      <c r="D26" s="383"/>
      <c r="E26" s="394" t="s">
        <v>131</v>
      </c>
      <c r="F26" s="383"/>
      <c r="G26" s="46">
        <v>2</v>
      </c>
      <c r="H26" s="46">
        <v>52</v>
      </c>
      <c r="I26" s="384">
        <v>104</v>
      </c>
      <c r="J26" s="385"/>
      <c r="K26" s="46">
        <v>60</v>
      </c>
      <c r="L26" s="46">
        <v>30</v>
      </c>
      <c r="M26" s="46">
        <v>40</v>
      </c>
      <c r="N26" s="65">
        <v>0.14399999999999999</v>
      </c>
      <c r="O26" s="382">
        <v>23.8</v>
      </c>
      <c r="P26" s="383"/>
      <c r="Q26" s="7"/>
      <c r="R26" s="7"/>
      <c r="S26" s="7"/>
      <c r="T26" s="7"/>
      <c r="U26" s="7"/>
    </row>
    <row r="27" spans="1:21" ht="20.25" customHeight="1">
      <c r="A27" s="46"/>
      <c r="B27" s="46">
        <v>9</v>
      </c>
      <c r="C27" s="382">
        <v>27</v>
      </c>
      <c r="D27" s="383"/>
      <c r="E27" s="394" t="s">
        <v>131</v>
      </c>
      <c r="F27" s="383"/>
      <c r="G27" s="46">
        <v>1</v>
      </c>
      <c r="H27" s="46">
        <v>24</v>
      </c>
      <c r="I27" s="384">
        <v>24</v>
      </c>
      <c r="J27" s="385"/>
      <c r="K27" s="46">
        <v>60</v>
      </c>
      <c r="L27" s="46">
        <v>30</v>
      </c>
      <c r="M27" s="46">
        <v>30</v>
      </c>
      <c r="N27" s="65">
        <v>5.3999999999999999E-2</v>
      </c>
      <c r="O27" s="382">
        <v>6.2</v>
      </c>
      <c r="P27" s="383"/>
      <c r="Q27" s="7"/>
      <c r="R27" s="7"/>
      <c r="S27" s="7"/>
      <c r="T27" s="7"/>
      <c r="U27" s="7"/>
    </row>
    <row r="28" spans="1:21" ht="20.25" customHeight="1">
      <c r="A28" s="46">
        <v>10</v>
      </c>
      <c r="B28" s="46">
        <v>11</v>
      </c>
      <c r="C28" s="382">
        <v>28</v>
      </c>
      <c r="D28" s="383"/>
      <c r="E28" s="394" t="s">
        <v>132</v>
      </c>
      <c r="F28" s="383"/>
      <c r="G28" s="46">
        <v>2</v>
      </c>
      <c r="H28" s="46">
        <v>50</v>
      </c>
      <c r="I28" s="384">
        <v>100</v>
      </c>
      <c r="J28" s="385"/>
      <c r="K28" s="46">
        <v>60</v>
      </c>
      <c r="L28" s="46">
        <v>30</v>
      </c>
      <c r="M28" s="46">
        <v>40</v>
      </c>
      <c r="N28" s="65">
        <v>0.14399999999999999</v>
      </c>
      <c r="O28" s="382">
        <v>24.2</v>
      </c>
      <c r="P28" s="383"/>
      <c r="Q28" s="7"/>
      <c r="R28" s="7"/>
      <c r="S28" s="7"/>
      <c r="T28" s="7"/>
      <c r="U28" s="7"/>
    </row>
    <row r="29" spans="1:21" ht="20.25" customHeight="1">
      <c r="A29" s="46"/>
      <c r="B29" s="46">
        <v>12</v>
      </c>
      <c r="C29" s="382">
        <v>28</v>
      </c>
      <c r="D29" s="383"/>
      <c r="E29" s="394" t="s">
        <v>132</v>
      </c>
      <c r="F29" s="383"/>
      <c r="G29" s="46">
        <v>1</v>
      </c>
      <c r="H29" s="46">
        <v>30</v>
      </c>
      <c r="I29" s="384">
        <v>30</v>
      </c>
      <c r="J29" s="385"/>
      <c r="K29" s="46">
        <v>60</v>
      </c>
      <c r="L29" s="46">
        <v>30</v>
      </c>
      <c r="M29" s="46">
        <v>30</v>
      </c>
      <c r="N29" s="65">
        <v>5.3999999999999999E-2</v>
      </c>
      <c r="O29" s="382">
        <v>7.8</v>
      </c>
      <c r="P29" s="383"/>
      <c r="Q29" s="7"/>
      <c r="R29" s="7"/>
      <c r="S29" s="7"/>
      <c r="T29" s="7"/>
      <c r="U29" s="7"/>
    </row>
    <row r="30" spans="1:21" ht="20.25" customHeight="1">
      <c r="A30" s="46"/>
      <c r="B30" s="46">
        <v>13</v>
      </c>
      <c r="C30" s="382">
        <v>30</v>
      </c>
      <c r="D30" s="383"/>
      <c r="E30" s="394" t="s">
        <v>154</v>
      </c>
      <c r="F30" s="383"/>
      <c r="G30" s="46">
        <v>1</v>
      </c>
      <c r="H30" s="46">
        <v>46</v>
      </c>
      <c r="I30" s="384">
        <v>46</v>
      </c>
      <c r="J30" s="385"/>
      <c r="K30" s="46">
        <v>60</v>
      </c>
      <c r="L30" s="46">
        <v>30</v>
      </c>
      <c r="M30" s="46">
        <v>40</v>
      </c>
      <c r="N30" s="65">
        <v>7.1999999999999995E-2</v>
      </c>
      <c r="O30" s="382">
        <v>12</v>
      </c>
      <c r="P30" s="383"/>
      <c r="Q30" s="7"/>
      <c r="R30" s="7"/>
      <c r="S30" s="7"/>
      <c r="T30" s="7"/>
      <c r="U30" s="7"/>
    </row>
    <row r="31" spans="1:21" ht="20.25" customHeight="1">
      <c r="A31" s="46"/>
      <c r="B31" s="46"/>
      <c r="C31" s="382"/>
      <c r="D31" s="383"/>
      <c r="E31" s="382"/>
      <c r="F31" s="383"/>
      <c r="G31" s="46"/>
      <c r="H31" s="46"/>
      <c r="I31" s="384"/>
      <c r="J31" s="385"/>
      <c r="K31" s="46"/>
      <c r="L31" s="46"/>
      <c r="M31" s="46"/>
      <c r="N31" s="65"/>
      <c r="O31" s="382"/>
      <c r="P31" s="383"/>
      <c r="Q31" s="7"/>
      <c r="R31" s="7"/>
      <c r="S31" s="7"/>
      <c r="T31" s="7"/>
      <c r="U31" s="7"/>
    </row>
    <row r="32" spans="1:21" ht="20.25" customHeight="1">
      <c r="A32" s="46"/>
      <c r="B32" s="46"/>
      <c r="C32" s="382"/>
      <c r="D32" s="383"/>
      <c r="E32" s="394"/>
      <c r="F32" s="383"/>
      <c r="G32" s="46"/>
      <c r="H32" s="46"/>
      <c r="I32" s="384"/>
      <c r="J32" s="385"/>
      <c r="K32" s="46"/>
      <c r="L32" s="46"/>
      <c r="M32" s="46"/>
      <c r="N32" s="65"/>
      <c r="O32" s="382"/>
      <c r="P32" s="383"/>
      <c r="Q32" s="7"/>
      <c r="R32" s="7"/>
      <c r="S32" s="7"/>
      <c r="T32" s="7"/>
      <c r="U32" s="7"/>
    </row>
    <row r="33" spans="1:21" ht="20.25" customHeight="1">
      <c r="A33" s="46"/>
      <c r="B33" s="46"/>
      <c r="C33" s="382"/>
      <c r="D33" s="383"/>
      <c r="E33" s="394"/>
      <c r="F33" s="383"/>
      <c r="G33" s="46"/>
      <c r="H33" s="46"/>
      <c r="I33" s="384"/>
      <c r="J33" s="385"/>
      <c r="K33" s="46"/>
      <c r="L33" s="46"/>
      <c r="M33" s="46"/>
      <c r="N33" s="65"/>
      <c r="O33" s="382"/>
      <c r="P33" s="383"/>
      <c r="Q33" s="7"/>
      <c r="R33" s="7"/>
      <c r="S33" s="7"/>
      <c r="T33" s="7"/>
      <c r="U33" s="7"/>
    </row>
    <row r="34" spans="1:21" ht="20.25" customHeight="1">
      <c r="A34" s="46"/>
      <c r="B34" s="46"/>
      <c r="C34" s="382"/>
      <c r="D34" s="383"/>
      <c r="E34" s="382"/>
      <c r="F34" s="383"/>
      <c r="G34" s="46"/>
      <c r="H34" s="46"/>
      <c r="I34" s="384"/>
      <c r="J34" s="385"/>
      <c r="K34" s="46"/>
      <c r="L34" s="46"/>
      <c r="M34" s="46"/>
      <c r="N34" s="65"/>
      <c r="O34" s="382"/>
      <c r="P34" s="383"/>
      <c r="Q34" s="7"/>
      <c r="R34" s="7"/>
      <c r="S34" s="7"/>
      <c r="T34" s="7"/>
      <c r="U34" s="7"/>
    </row>
    <row r="35" spans="1:21" ht="20.25" customHeight="1">
      <c r="A35" s="46"/>
      <c r="B35" s="46"/>
      <c r="C35" s="382"/>
      <c r="D35" s="383"/>
      <c r="E35" s="382"/>
      <c r="F35" s="383"/>
      <c r="G35" s="46"/>
      <c r="H35" s="46"/>
      <c r="I35" s="384"/>
      <c r="J35" s="385"/>
      <c r="K35" s="46"/>
      <c r="L35" s="46"/>
      <c r="M35" s="46"/>
      <c r="N35" s="65"/>
      <c r="O35" s="382"/>
      <c r="P35" s="383"/>
      <c r="Q35" s="7"/>
      <c r="R35" s="7"/>
      <c r="S35" s="7"/>
      <c r="T35" s="7"/>
      <c r="U35" s="7"/>
    </row>
    <row r="36" spans="1:21" ht="20.25" customHeight="1">
      <c r="A36" s="46"/>
      <c r="B36" s="46"/>
      <c r="C36" s="382"/>
      <c r="D36" s="383"/>
      <c r="E36" s="382"/>
      <c r="F36" s="383"/>
      <c r="G36" s="46"/>
      <c r="H36" s="46"/>
      <c r="I36" s="384"/>
      <c r="J36" s="385"/>
      <c r="K36" s="46"/>
      <c r="L36" s="46"/>
      <c r="M36" s="46"/>
      <c r="N36" s="65"/>
      <c r="O36" s="382"/>
      <c r="P36" s="383"/>
      <c r="Q36" s="7"/>
      <c r="R36" s="7"/>
      <c r="S36" s="7"/>
      <c r="T36" s="7"/>
      <c r="U36" s="7"/>
    </row>
    <row r="37" spans="1:21" ht="20.25" customHeight="1">
      <c r="A37" s="46"/>
      <c r="B37" s="46"/>
      <c r="C37" s="382"/>
      <c r="D37" s="383"/>
      <c r="E37" s="382"/>
      <c r="F37" s="383"/>
      <c r="G37" s="46"/>
      <c r="H37" s="46"/>
      <c r="I37" s="384"/>
      <c r="J37" s="385"/>
      <c r="K37" s="46"/>
      <c r="L37" s="46"/>
      <c r="M37" s="46"/>
      <c r="N37" s="65"/>
      <c r="O37" s="382"/>
      <c r="P37" s="383"/>
      <c r="Q37" s="7"/>
      <c r="R37" s="7"/>
      <c r="S37" s="7"/>
      <c r="T37" s="7"/>
      <c r="U37" s="7"/>
    </row>
    <row r="38" spans="1:21" ht="20.25" customHeight="1">
      <c r="A38" s="46"/>
      <c r="B38" s="46"/>
      <c r="C38" s="382"/>
      <c r="D38" s="383"/>
      <c r="E38" s="382"/>
      <c r="F38" s="383"/>
      <c r="G38" s="46"/>
      <c r="H38" s="46"/>
      <c r="I38" s="384"/>
      <c r="J38" s="385"/>
      <c r="K38" s="46"/>
      <c r="L38" s="46"/>
      <c r="M38" s="46"/>
      <c r="N38" s="65"/>
      <c r="O38" s="382"/>
      <c r="P38" s="383"/>
      <c r="Q38" s="7"/>
      <c r="R38" s="7"/>
      <c r="S38" s="7"/>
      <c r="T38" s="7"/>
      <c r="U38" s="7"/>
    </row>
    <row r="39" spans="1:21" ht="20.25" customHeight="1">
      <c r="A39" s="46"/>
      <c r="B39" s="46"/>
      <c r="C39" s="382"/>
      <c r="D39" s="383"/>
      <c r="E39" s="382"/>
      <c r="F39" s="383"/>
      <c r="G39" s="46"/>
      <c r="H39" s="46"/>
      <c r="I39" s="384"/>
      <c r="J39" s="385"/>
      <c r="K39" s="46"/>
      <c r="L39" s="46"/>
      <c r="M39" s="46"/>
      <c r="N39" s="65"/>
      <c r="O39" s="382"/>
      <c r="P39" s="383"/>
      <c r="Q39" s="7"/>
      <c r="R39" s="7"/>
      <c r="S39" s="7"/>
      <c r="T39" s="7"/>
      <c r="U39" s="7"/>
    </row>
    <row r="40" spans="1:21" ht="20.25" customHeight="1">
      <c r="A40" s="46"/>
      <c r="B40" s="46"/>
      <c r="C40" s="382"/>
      <c r="D40" s="383"/>
      <c r="E40" s="382"/>
      <c r="F40" s="383"/>
      <c r="G40" s="46"/>
      <c r="H40" s="46"/>
      <c r="I40" s="384"/>
      <c r="J40" s="385"/>
      <c r="K40" s="46"/>
      <c r="L40" s="46"/>
      <c r="M40" s="46"/>
      <c r="N40" s="65"/>
      <c r="O40" s="382"/>
      <c r="P40" s="383"/>
      <c r="Q40" s="7"/>
      <c r="R40" s="7"/>
      <c r="S40" s="7"/>
      <c r="T40" s="7"/>
      <c r="U40" s="7"/>
    </row>
    <row r="41" spans="1:21" ht="20.25" customHeight="1">
      <c r="A41" s="46"/>
      <c r="B41" s="46"/>
      <c r="C41" s="382"/>
      <c r="D41" s="383"/>
      <c r="E41" s="382"/>
      <c r="F41" s="383"/>
      <c r="G41" s="46"/>
      <c r="H41" s="46"/>
      <c r="I41" s="384"/>
      <c r="J41" s="385"/>
      <c r="K41" s="46"/>
      <c r="L41" s="46"/>
      <c r="M41" s="46"/>
      <c r="N41" s="65"/>
      <c r="O41" s="382"/>
      <c r="P41" s="383"/>
      <c r="Q41" s="7"/>
      <c r="R41" s="7"/>
      <c r="S41" s="7"/>
      <c r="T41" s="7"/>
      <c r="U41" s="7"/>
    </row>
    <row r="42" spans="1:21" ht="20.25" customHeight="1">
      <c r="A42" s="46"/>
      <c r="B42" s="46"/>
      <c r="C42" s="382"/>
      <c r="D42" s="383"/>
      <c r="E42" s="382"/>
      <c r="F42" s="383"/>
      <c r="G42" s="46"/>
      <c r="H42" s="46"/>
      <c r="I42" s="384"/>
      <c r="J42" s="385"/>
      <c r="K42" s="46"/>
      <c r="L42" s="46"/>
      <c r="M42" s="46"/>
      <c r="N42" s="65"/>
      <c r="O42" s="382"/>
      <c r="P42" s="383"/>
      <c r="Q42" s="7"/>
      <c r="R42" s="7"/>
      <c r="S42" s="7"/>
      <c r="T42" s="7"/>
      <c r="U42" s="7"/>
    </row>
    <row r="43" spans="1:21" ht="20.25" customHeight="1">
      <c r="A43" s="46"/>
      <c r="B43" s="46"/>
      <c r="C43" s="382"/>
      <c r="D43" s="383"/>
      <c r="E43" s="382"/>
      <c r="F43" s="383"/>
      <c r="G43" s="46"/>
      <c r="H43" s="46"/>
      <c r="I43" s="384"/>
      <c r="J43" s="385"/>
      <c r="K43" s="46"/>
      <c r="L43" s="46"/>
      <c r="M43" s="46"/>
      <c r="N43" s="65"/>
      <c r="O43" s="382"/>
      <c r="P43" s="383"/>
      <c r="Q43" s="7"/>
      <c r="R43" s="7"/>
      <c r="S43" s="7"/>
      <c r="T43" s="7"/>
      <c r="U43" s="7"/>
    </row>
    <row r="44" spans="1:21" ht="20.25" customHeight="1">
      <c r="A44" s="46"/>
      <c r="B44" s="46"/>
      <c r="C44" s="382"/>
      <c r="D44" s="383"/>
      <c r="E44" s="382"/>
      <c r="F44" s="383"/>
      <c r="G44" s="46"/>
      <c r="H44" s="46"/>
      <c r="I44" s="384"/>
      <c r="J44" s="385"/>
      <c r="K44" s="46"/>
      <c r="L44" s="46"/>
      <c r="M44" s="46"/>
      <c r="N44" s="65"/>
      <c r="O44" s="382"/>
      <c r="P44" s="383"/>
      <c r="Q44" s="7"/>
      <c r="R44" s="7"/>
      <c r="S44" s="7"/>
      <c r="T44" s="7"/>
      <c r="U44" s="7"/>
    </row>
    <row r="45" spans="1:21" ht="20.25" customHeight="1">
      <c r="A45" s="46"/>
      <c r="B45" s="46"/>
      <c r="C45" s="382"/>
      <c r="D45" s="383"/>
      <c r="E45" s="382"/>
      <c r="F45" s="383"/>
      <c r="G45" s="46"/>
      <c r="H45" s="46"/>
      <c r="I45" s="384"/>
      <c r="J45" s="385"/>
      <c r="K45" s="46"/>
      <c r="L45" s="46"/>
      <c r="M45" s="46"/>
      <c r="N45" s="65"/>
      <c r="O45" s="382"/>
      <c r="P45" s="383"/>
      <c r="Q45" s="7"/>
      <c r="R45" s="7"/>
      <c r="S45" s="7"/>
      <c r="T45" s="7"/>
      <c r="U45" s="7"/>
    </row>
    <row r="46" spans="1:21" ht="20.25" customHeight="1">
      <c r="A46" s="46"/>
      <c r="B46" s="46"/>
      <c r="C46" s="382"/>
      <c r="D46" s="383"/>
      <c r="E46" s="382"/>
      <c r="F46" s="383"/>
      <c r="G46" s="46"/>
      <c r="H46" s="46"/>
      <c r="I46" s="384"/>
      <c r="J46" s="385"/>
      <c r="K46" s="46"/>
      <c r="L46" s="46"/>
      <c r="M46" s="46"/>
      <c r="N46" s="65"/>
      <c r="O46" s="382"/>
      <c r="P46" s="383"/>
      <c r="Q46" s="7"/>
      <c r="R46" s="7"/>
      <c r="S46" s="7"/>
      <c r="T46" s="7"/>
      <c r="U46" s="7"/>
    </row>
    <row r="47" spans="1:21" ht="20.25" customHeight="1">
      <c r="A47" s="46"/>
      <c r="B47" s="46"/>
      <c r="C47" s="382"/>
      <c r="D47" s="383"/>
      <c r="E47" s="382"/>
      <c r="F47" s="383"/>
      <c r="G47" s="46"/>
      <c r="H47" s="46"/>
      <c r="I47" s="384"/>
      <c r="J47" s="385"/>
      <c r="K47" s="46"/>
      <c r="L47" s="46"/>
      <c r="M47" s="46"/>
      <c r="N47" s="65"/>
      <c r="O47" s="382"/>
      <c r="P47" s="383"/>
      <c r="Q47" s="7"/>
      <c r="R47" s="7"/>
      <c r="S47" s="7"/>
      <c r="T47" s="7"/>
      <c r="U47" s="7"/>
    </row>
    <row r="48" spans="1:21" ht="20.25" customHeight="1">
      <c r="A48" s="46"/>
      <c r="B48" s="46"/>
      <c r="C48" s="382"/>
      <c r="D48" s="383"/>
      <c r="E48" s="382"/>
      <c r="F48" s="383"/>
      <c r="G48" s="46"/>
      <c r="H48" s="46"/>
      <c r="I48" s="384"/>
      <c r="J48" s="385"/>
      <c r="K48" s="46"/>
      <c r="L48" s="46"/>
      <c r="M48" s="46"/>
      <c r="N48" s="65"/>
      <c r="O48" s="382"/>
      <c r="P48" s="383"/>
      <c r="Q48" s="7"/>
      <c r="R48" s="7"/>
      <c r="S48" s="7"/>
      <c r="T48" s="7"/>
      <c r="U48" s="7"/>
    </row>
    <row r="49" spans="1:21" ht="20.25" customHeight="1">
      <c r="A49" s="46"/>
      <c r="B49" s="46"/>
      <c r="C49" s="382"/>
      <c r="D49" s="383"/>
      <c r="E49" s="382"/>
      <c r="F49" s="383"/>
      <c r="G49" s="46"/>
      <c r="H49" s="46"/>
      <c r="I49" s="384"/>
      <c r="J49" s="385"/>
      <c r="K49" s="46"/>
      <c r="L49" s="46"/>
      <c r="M49" s="46"/>
      <c r="N49" s="65"/>
      <c r="O49" s="382"/>
      <c r="P49" s="383"/>
      <c r="Q49" s="11"/>
      <c r="R49" s="11"/>
      <c r="S49" s="11"/>
      <c r="T49" s="11"/>
      <c r="U49" s="11"/>
    </row>
    <row r="50" spans="1:21" ht="15">
      <c r="A50" s="11"/>
      <c r="B50" s="11"/>
      <c r="C50" s="11"/>
      <c r="D50" s="64"/>
      <c r="E50" s="64"/>
      <c r="F50" s="64"/>
      <c r="G50" s="51"/>
      <c r="H50" s="11"/>
      <c r="I50" s="393"/>
      <c r="J50" s="393"/>
      <c r="K50" s="11"/>
      <c r="L50" s="11"/>
      <c r="M50" s="11"/>
      <c r="N50" s="81"/>
      <c r="O50" s="247"/>
      <c r="P50" s="247"/>
      <c r="Q50" s="11"/>
      <c r="R50" s="11"/>
      <c r="S50" s="11"/>
      <c r="T50" s="11"/>
      <c r="U50" s="11"/>
    </row>
    <row r="51" spans="1:21">
      <c r="A51" s="52" t="s">
        <v>60</v>
      </c>
      <c r="D51" s="64"/>
      <c r="E51" s="64"/>
      <c r="F51" s="64"/>
      <c r="G51" s="46">
        <f>SUM(G24:G50)</f>
        <v>13</v>
      </c>
      <c r="H51" s="11"/>
      <c r="I51" s="387">
        <f>SUM(I24:J50)</f>
        <v>631</v>
      </c>
      <c r="J51" s="388"/>
      <c r="K51" s="11"/>
      <c r="M51" s="11"/>
      <c r="N51" s="97">
        <f>SUM(N24:N50)</f>
        <v>0.88200000000000001</v>
      </c>
      <c r="O51" s="389">
        <f>SUM(O24:P50)</f>
        <v>144.30000000000001</v>
      </c>
      <c r="P51" s="389"/>
      <c r="R51" s="11"/>
      <c r="S51" s="11"/>
      <c r="T51" s="11"/>
      <c r="U51" s="11"/>
    </row>
    <row r="52" spans="1:21" ht="15">
      <c r="A52" s="11"/>
      <c r="B52" s="11"/>
      <c r="C52" s="11"/>
      <c r="D52" s="64"/>
      <c r="E52" s="64"/>
      <c r="F52" s="64"/>
      <c r="G52" s="64" t="s">
        <v>61</v>
      </c>
      <c r="H52" s="64"/>
      <c r="I52" s="390" t="s">
        <v>62</v>
      </c>
      <c r="J52" s="390"/>
      <c r="K52" s="64"/>
      <c r="M52" s="64"/>
      <c r="N52" s="69" t="s">
        <v>63</v>
      </c>
      <c r="O52" s="390" t="s">
        <v>64</v>
      </c>
      <c r="P52" s="390"/>
      <c r="R52" s="11"/>
      <c r="S52" s="11"/>
      <c r="T52" s="11"/>
      <c r="U52" s="11"/>
    </row>
    <row r="53" spans="1:21" ht="15">
      <c r="A53" s="11"/>
      <c r="B53" s="11"/>
      <c r="C53" s="11"/>
      <c r="D53" s="64"/>
      <c r="E53" s="64"/>
      <c r="F53" s="64"/>
      <c r="G53" s="64"/>
      <c r="H53" s="64"/>
      <c r="I53" s="69"/>
      <c r="J53" s="69"/>
      <c r="K53" s="64"/>
      <c r="M53" s="64"/>
      <c r="N53" s="69"/>
      <c r="O53" s="69"/>
      <c r="P53" s="69"/>
      <c r="R53" s="11"/>
      <c r="S53" s="11"/>
      <c r="T53" s="11"/>
      <c r="U53" s="11"/>
    </row>
    <row r="54" spans="1:21" ht="15">
      <c r="A54" s="391" t="s">
        <v>65</v>
      </c>
      <c r="B54" s="392"/>
      <c r="C54" s="392"/>
      <c r="D54" s="392"/>
      <c r="E54" s="392"/>
      <c r="F54" s="392"/>
      <c r="G54" s="392"/>
      <c r="H54" s="392"/>
      <c r="I54" s="392"/>
      <c r="J54" s="392"/>
      <c r="K54" s="392"/>
      <c r="L54" s="70"/>
      <c r="M54" s="70"/>
      <c r="N54" s="70"/>
      <c r="O54" s="70"/>
      <c r="P54" s="70"/>
      <c r="Q54" s="70"/>
      <c r="R54" s="70"/>
      <c r="S54" s="11"/>
      <c r="T54" s="11"/>
      <c r="U54" s="11"/>
    </row>
    <row r="55" spans="1:21" ht="15.75" customHeight="1">
      <c r="A55" s="391" t="s">
        <v>66</v>
      </c>
      <c r="B55" s="392"/>
      <c r="C55" s="392"/>
      <c r="D55" s="392"/>
      <c r="E55" s="392"/>
      <c r="F55" s="392"/>
      <c r="G55" s="392"/>
      <c r="H55" s="392"/>
      <c r="I55" s="392"/>
      <c r="J55" s="392"/>
      <c r="K55" s="392"/>
      <c r="L55" s="392"/>
      <c r="M55" s="392"/>
      <c r="N55" s="392"/>
      <c r="O55" s="392"/>
      <c r="P55" s="392"/>
      <c r="Q55" s="392"/>
      <c r="R55" s="392"/>
    </row>
    <row r="56" spans="1:21" ht="15.75" customHeight="1">
      <c r="A56" s="67"/>
      <c r="B56" s="68"/>
      <c r="C56" s="68"/>
      <c r="D56" s="68"/>
      <c r="E56" s="68"/>
      <c r="F56" s="68"/>
      <c r="G56" s="68"/>
      <c r="H56" s="68"/>
      <c r="I56" s="68"/>
      <c r="J56" s="68"/>
      <c r="K56" s="68"/>
      <c r="L56" s="68"/>
      <c r="M56" s="68"/>
      <c r="N56" s="68"/>
      <c r="O56" s="68"/>
      <c r="P56" s="68"/>
      <c r="Q56" s="68"/>
      <c r="R56" s="68"/>
    </row>
    <row r="57" spans="1:21" s="49" customFormat="1" ht="21" customHeight="1">
      <c r="A57" s="55" t="s">
        <v>67</v>
      </c>
      <c r="B57" s="56" t="s">
        <v>155</v>
      </c>
      <c r="C57" s="56" t="s">
        <v>156</v>
      </c>
      <c r="D57" s="56" t="s">
        <v>157</v>
      </c>
      <c r="E57" s="56" t="s">
        <v>133</v>
      </c>
      <c r="F57" s="56"/>
      <c r="G57" s="56"/>
      <c r="H57" s="56"/>
      <c r="I57" s="56"/>
      <c r="J57" s="56"/>
      <c r="K57" s="56"/>
      <c r="L57" s="56"/>
      <c r="M57" s="56"/>
      <c r="N57" s="56"/>
      <c r="O57" s="56"/>
      <c r="P57" s="57" t="s">
        <v>68</v>
      </c>
      <c r="Q57" s="48"/>
      <c r="R57" s="48"/>
      <c r="S57" s="48"/>
    </row>
    <row r="58" spans="1:21" ht="19.5" customHeight="1">
      <c r="A58" s="109" t="s">
        <v>69</v>
      </c>
      <c r="B58" s="110">
        <v>320</v>
      </c>
      <c r="C58" s="110">
        <v>125</v>
      </c>
      <c r="D58" s="110">
        <v>125</v>
      </c>
      <c r="E58" s="110">
        <v>45</v>
      </c>
      <c r="F58" s="110"/>
      <c r="G58" s="110"/>
      <c r="H58" s="110"/>
      <c r="I58" s="110"/>
      <c r="J58" s="110"/>
      <c r="K58" s="110"/>
      <c r="L58" s="110"/>
      <c r="M58" s="110"/>
      <c r="N58" s="110"/>
      <c r="O58" s="110"/>
      <c r="P58" s="57">
        <f>SUM(A58:O58)</f>
        <v>615</v>
      </c>
      <c r="Q58" s="6"/>
      <c r="R58" s="6"/>
      <c r="S58" s="6"/>
    </row>
    <row r="59" spans="1:21" ht="18" customHeight="1">
      <c r="A59" s="109" t="s">
        <v>70</v>
      </c>
      <c r="B59" s="110">
        <v>327</v>
      </c>
      <c r="C59" s="110">
        <v>128</v>
      </c>
      <c r="D59" s="110">
        <v>130</v>
      </c>
      <c r="E59" s="110">
        <v>46</v>
      </c>
      <c r="F59" s="110"/>
      <c r="G59" s="110"/>
      <c r="H59" s="110"/>
      <c r="I59" s="110"/>
      <c r="J59" s="110"/>
      <c r="K59" s="110"/>
      <c r="L59" s="110"/>
      <c r="M59" s="110"/>
      <c r="N59" s="110"/>
      <c r="O59" s="110"/>
      <c r="P59" s="57">
        <f>SUM(A59:O59)</f>
        <v>631</v>
      </c>
      <c r="Q59" s="6"/>
      <c r="R59" s="6"/>
      <c r="S59" s="6"/>
    </row>
    <row r="60" spans="1:21" ht="18.75" customHeight="1">
      <c r="A60" s="86" t="s">
        <v>71</v>
      </c>
      <c r="B60" s="87">
        <f>B59-B58</f>
        <v>7</v>
      </c>
      <c r="C60" s="87">
        <f>C59-C58</f>
        <v>3</v>
      </c>
      <c r="D60" s="87">
        <f t="shared" ref="D60:O60" si="0">D59-D58</f>
        <v>5</v>
      </c>
      <c r="E60" s="87">
        <f t="shared" si="0"/>
        <v>1</v>
      </c>
      <c r="F60" s="87">
        <f t="shared" si="0"/>
        <v>0</v>
      </c>
      <c r="G60" s="87">
        <f t="shared" si="0"/>
        <v>0</v>
      </c>
      <c r="H60" s="87">
        <f t="shared" si="0"/>
        <v>0</v>
      </c>
      <c r="I60" s="87">
        <f t="shared" si="0"/>
        <v>0</v>
      </c>
      <c r="J60" s="87">
        <f t="shared" si="0"/>
        <v>0</v>
      </c>
      <c r="K60" s="87">
        <f t="shared" si="0"/>
        <v>0</v>
      </c>
      <c r="L60" s="87">
        <f t="shared" si="0"/>
        <v>0</v>
      </c>
      <c r="M60" s="87">
        <f t="shared" si="0"/>
        <v>0</v>
      </c>
      <c r="N60" s="87">
        <f t="shared" si="0"/>
        <v>0</v>
      </c>
      <c r="O60" s="87">
        <f t="shared" si="0"/>
        <v>0</v>
      </c>
      <c r="P60" s="88">
        <f>SUM(A60:O60)</f>
        <v>16</v>
      </c>
      <c r="Q60" s="6"/>
      <c r="R60" s="6"/>
      <c r="S60" s="6"/>
    </row>
    <row r="61" spans="1:21" ht="18" customHeight="1">
      <c r="A61" s="86" t="s">
        <v>72</v>
      </c>
      <c r="B61" s="89">
        <f>B60/B58</f>
        <v>2.1874999999999999E-2</v>
      </c>
      <c r="C61" s="89">
        <f>C60/C58</f>
        <v>2.4E-2</v>
      </c>
      <c r="D61" s="89">
        <f t="shared" ref="D61:P61" si="1">D60/D58</f>
        <v>0.04</v>
      </c>
      <c r="E61" s="89">
        <f t="shared" si="1"/>
        <v>2.2222222222222223E-2</v>
      </c>
      <c r="F61" s="89" t="e">
        <f t="shared" si="1"/>
        <v>#DIV/0!</v>
      </c>
      <c r="G61" s="89" t="e">
        <f t="shared" si="1"/>
        <v>#DIV/0!</v>
      </c>
      <c r="H61" s="89" t="e">
        <f t="shared" si="1"/>
        <v>#DIV/0!</v>
      </c>
      <c r="I61" s="89" t="e">
        <f t="shared" si="1"/>
        <v>#DIV/0!</v>
      </c>
      <c r="J61" s="89" t="e">
        <f t="shared" si="1"/>
        <v>#DIV/0!</v>
      </c>
      <c r="K61" s="89" t="e">
        <f t="shared" si="1"/>
        <v>#DIV/0!</v>
      </c>
      <c r="L61" s="89" t="e">
        <f t="shared" si="1"/>
        <v>#DIV/0!</v>
      </c>
      <c r="M61" s="89" t="e">
        <f t="shared" si="1"/>
        <v>#DIV/0!</v>
      </c>
      <c r="N61" s="89" t="e">
        <f t="shared" si="1"/>
        <v>#DIV/0!</v>
      </c>
      <c r="O61" s="89" t="e">
        <f t="shared" si="1"/>
        <v>#DIV/0!</v>
      </c>
      <c r="P61" s="90">
        <f t="shared" si="1"/>
        <v>2.6016260162601626E-2</v>
      </c>
      <c r="Q61" s="6"/>
      <c r="R61" s="6"/>
      <c r="S61" s="6"/>
    </row>
    <row r="62" spans="1:21" ht="18" customHeight="1">
      <c r="A62" s="98"/>
      <c r="B62" s="99"/>
      <c r="C62" s="99"/>
      <c r="D62" s="99"/>
      <c r="E62" s="99"/>
      <c r="F62" s="99"/>
      <c r="G62" s="99"/>
      <c r="H62" s="99"/>
      <c r="I62" s="99"/>
      <c r="J62" s="99"/>
      <c r="K62" s="99"/>
      <c r="L62" s="99"/>
      <c r="M62" s="99"/>
      <c r="N62" s="99"/>
      <c r="O62" s="99"/>
      <c r="P62" s="100"/>
      <c r="Q62" s="6"/>
      <c r="R62" s="6"/>
      <c r="S62" s="6"/>
    </row>
    <row r="63" spans="1:21" ht="18" hidden="1" customHeight="1">
      <c r="A63" s="55" t="s">
        <v>67</v>
      </c>
      <c r="B63" s="56"/>
      <c r="C63" s="56"/>
      <c r="D63" s="56"/>
      <c r="E63" s="56"/>
      <c r="F63" s="56"/>
      <c r="G63" s="56"/>
      <c r="H63" s="56"/>
      <c r="I63" s="56"/>
      <c r="J63" s="56"/>
      <c r="K63" s="56"/>
      <c r="L63" s="56"/>
      <c r="M63" s="56"/>
      <c r="N63" s="56"/>
      <c r="O63" s="56"/>
      <c r="P63" s="57" t="s">
        <v>68</v>
      </c>
      <c r="Q63" s="6"/>
      <c r="R63" s="6"/>
      <c r="S63" s="6"/>
    </row>
    <row r="64" spans="1:21" ht="18" hidden="1" customHeight="1">
      <c r="A64" s="109" t="s">
        <v>69</v>
      </c>
      <c r="B64" s="110"/>
      <c r="C64" s="110"/>
      <c r="D64" s="110"/>
      <c r="E64" s="110"/>
      <c r="F64" s="110"/>
      <c r="G64" s="110"/>
      <c r="H64" s="110"/>
      <c r="I64" s="110"/>
      <c r="J64" s="110"/>
      <c r="K64" s="110"/>
      <c r="L64" s="110"/>
      <c r="M64" s="110"/>
      <c r="N64" s="110"/>
      <c r="O64" s="110"/>
      <c r="P64" s="57">
        <f>SUM(A64:O64)</f>
        <v>0</v>
      </c>
      <c r="Q64" s="6"/>
      <c r="R64" s="6"/>
      <c r="S64" s="6"/>
    </row>
    <row r="65" spans="1:30" ht="18" hidden="1" customHeight="1">
      <c r="A65" s="109" t="s">
        <v>70</v>
      </c>
      <c r="B65" s="110"/>
      <c r="C65" s="110"/>
      <c r="D65" s="110"/>
      <c r="E65" s="110"/>
      <c r="F65" s="110"/>
      <c r="G65" s="110"/>
      <c r="H65" s="110"/>
      <c r="I65" s="110"/>
      <c r="J65" s="110"/>
      <c r="K65" s="110"/>
      <c r="L65" s="110"/>
      <c r="M65" s="110"/>
      <c r="N65" s="110"/>
      <c r="O65" s="110"/>
      <c r="P65" s="57">
        <f>SUM(A65:O65)</f>
        <v>0</v>
      </c>
      <c r="Q65" s="6"/>
      <c r="R65" s="6"/>
      <c r="S65" s="6"/>
    </row>
    <row r="66" spans="1:30" ht="18" hidden="1" customHeight="1">
      <c r="A66" s="86" t="s">
        <v>71</v>
      </c>
      <c r="B66" s="87">
        <f>B65-B64</f>
        <v>0</v>
      </c>
      <c r="C66" s="87">
        <f>C65-C64</f>
        <v>0</v>
      </c>
      <c r="D66" s="87">
        <f t="shared" ref="D66:O66" si="2">D65-D64</f>
        <v>0</v>
      </c>
      <c r="E66" s="87">
        <f t="shared" si="2"/>
        <v>0</v>
      </c>
      <c r="F66" s="87">
        <f t="shared" si="2"/>
        <v>0</v>
      </c>
      <c r="G66" s="87">
        <f t="shared" si="2"/>
        <v>0</v>
      </c>
      <c r="H66" s="87">
        <f t="shared" si="2"/>
        <v>0</v>
      </c>
      <c r="I66" s="87">
        <f t="shared" si="2"/>
        <v>0</v>
      </c>
      <c r="J66" s="87">
        <f t="shared" si="2"/>
        <v>0</v>
      </c>
      <c r="K66" s="87">
        <f t="shared" si="2"/>
        <v>0</v>
      </c>
      <c r="L66" s="87">
        <f t="shared" si="2"/>
        <v>0</v>
      </c>
      <c r="M66" s="87">
        <f t="shared" si="2"/>
        <v>0</v>
      </c>
      <c r="N66" s="87">
        <f t="shared" si="2"/>
        <v>0</v>
      </c>
      <c r="O66" s="87">
        <f t="shared" si="2"/>
        <v>0</v>
      </c>
      <c r="P66" s="88">
        <f>SUM(A66:O66)</f>
        <v>0</v>
      </c>
      <c r="Q66" s="6"/>
      <c r="R66" s="6"/>
      <c r="S66" s="6"/>
    </row>
    <row r="67" spans="1:30" ht="18" hidden="1" customHeight="1">
      <c r="A67" s="86" t="s">
        <v>72</v>
      </c>
      <c r="B67" s="89" t="e">
        <f>B66/B64</f>
        <v>#DIV/0!</v>
      </c>
      <c r="C67" s="89" t="e">
        <f>C66/C64</f>
        <v>#DIV/0!</v>
      </c>
      <c r="D67" s="89" t="e">
        <f t="shared" ref="D67:P67" si="3">D66/D64</f>
        <v>#DIV/0!</v>
      </c>
      <c r="E67" s="89" t="e">
        <f t="shared" si="3"/>
        <v>#DIV/0!</v>
      </c>
      <c r="F67" s="89" t="e">
        <f t="shared" si="3"/>
        <v>#DIV/0!</v>
      </c>
      <c r="G67" s="89" t="e">
        <f t="shared" si="3"/>
        <v>#DIV/0!</v>
      </c>
      <c r="H67" s="89" t="e">
        <f t="shared" si="3"/>
        <v>#DIV/0!</v>
      </c>
      <c r="I67" s="89" t="e">
        <f t="shared" si="3"/>
        <v>#DIV/0!</v>
      </c>
      <c r="J67" s="89" t="e">
        <f t="shared" si="3"/>
        <v>#DIV/0!</v>
      </c>
      <c r="K67" s="89" t="e">
        <f t="shared" si="3"/>
        <v>#DIV/0!</v>
      </c>
      <c r="L67" s="89" t="e">
        <f t="shared" si="3"/>
        <v>#DIV/0!</v>
      </c>
      <c r="M67" s="89" t="e">
        <f t="shared" si="3"/>
        <v>#DIV/0!</v>
      </c>
      <c r="N67" s="89" t="e">
        <f t="shared" si="3"/>
        <v>#DIV/0!</v>
      </c>
      <c r="O67" s="89" t="e">
        <f t="shared" si="3"/>
        <v>#DIV/0!</v>
      </c>
      <c r="P67" s="90" t="e">
        <f t="shared" si="3"/>
        <v>#DIV/0!</v>
      </c>
      <c r="Q67" s="6"/>
      <c r="R67" s="6"/>
      <c r="S67" s="6"/>
    </row>
    <row r="68" spans="1:30" ht="18" hidden="1" customHeight="1">
      <c r="A68" s="98"/>
      <c r="B68" s="99"/>
      <c r="C68" s="99"/>
      <c r="D68" s="99"/>
      <c r="E68" s="99"/>
      <c r="F68" s="99"/>
      <c r="G68" s="99"/>
      <c r="H68" s="99"/>
      <c r="I68" s="99"/>
      <c r="J68" s="99"/>
      <c r="K68" s="99"/>
      <c r="L68" s="99"/>
      <c r="M68" s="99"/>
      <c r="N68" s="99"/>
      <c r="O68" s="99"/>
      <c r="P68" s="100"/>
      <c r="Q68" s="6"/>
      <c r="R68" s="6"/>
      <c r="S68" s="6"/>
    </row>
    <row r="69" spans="1:30" ht="18" hidden="1" customHeight="1">
      <c r="A69" s="55" t="s">
        <v>67</v>
      </c>
      <c r="B69" s="56"/>
      <c r="C69" s="56"/>
      <c r="D69" s="56"/>
      <c r="E69" s="56"/>
      <c r="F69" s="56"/>
      <c r="G69" s="56"/>
      <c r="H69" s="56"/>
      <c r="I69" s="56"/>
      <c r="J69" s="56"/>
      <c r="K69" s="56"/>
      <c r="L69" s="56"/>
      <c r="M69" s="56"/>
      <c r="N69" s="56"/>
      <c r="O69" s="56"/>
      <c r="P69" s="57" t="s">
        <v>68</v>
      </c>
      <c r="Q69" s="6"/>
      <c r="R69" s="6"/>
      <c r="S69" s="6"/>
    </row>
    <row r="70" spans="1:30" ht="18" hidden="1" customHeight="1">
      <c r="A70" s="109" t="s">
        <v>69</v>
      </c>
      <c r="B70" s="110"/>
      <c r="C70" s="110"/>
      <c r="D70" s="110"/>
      <c r="E70" s="110"/>
      <c r="F70" s="110"/>
      <c r="G70" s="110"/>
      <c r="H70" s="110"/>
      <c r="I70" s="110"/>
      <c r="J70" s="110"/>
      <c r="K70" s="110"/>
      <c r="L70" s="110"/>
      <c r="M70" s="110"/>
      <c r="N70" s="110"/>
      <c r="O70" s="110"/>
      <c r="P70" s="57">
        <f>SUM(A70:O70)</f>
        <v>0</v>
      </c>
      <c r="Q70" s="6"/>
      <c r="R70" s="6"/>
      <c r="S70" s="6"/>
    </row>
    <row r="71" spans="1:30" ht="18" hidden="1" customHeight="1">
      <c r="A71" s="109" t="s">
        <v>70</v>
      </c>
      <c r="B71" s="110"/>
      <c r="C71" s="110"/>
      <c r="D71" s="110"/>
      <c r="E71" s="110"/>
      <c r="F71" s="110"/>
      <c r="G71" s="110"/>
      <c r="H71" s="110"/>
      <c r="I71" s="110"/>
      <c r="J71" s="110"/>
      <c r="K71" s="110"/>
      <c r="L71" s="110"/>
      <c r="M71" s="110"/>
      <c r="N71" s="110"/>
      <c r="O71" s="110"/>
      <c r="P71" s="57">
        <f>SUM(A71:O71)</f>
        <v>0</v>
      </c>
      <c r="Q71" s="6"/>
      <c r="R71" s="6"/>
      <c r="S71" s="6"/>
    </row>
    <row r="72" spans="1:30" ht="18" hidden="1" customHeight="1">
      <c r="A72" s="86" t="s">
        <v>71</v>
      </c>
      <c r="B72" s="87">
        <f>B71-B70</f>
        <v>0</v>
      </c>
      <c r="C72" s="87">
        <f>C71-C70</f>
        <v>0</v>
      </c>
      <c r="D72" s="87">
        <f t="shared" ref="D72:O72" si="4">D71-D70</f>
        <v>0</v>
      </c>
      <c r="E72" s="87">
        <f t="shared" si="4"/>
        <v>0</v>
      </c>
      <c r="F72" s="87">
        <f t="shared" si="4"/>
        <v>0</v>
      </c>
      <c r="G72" s="87">
        <f t="shared" si="4"/>
        <v>0</v>
      </c>
      <c r="H72" s="87">
        <f t="shared" si="4"/>
        <v>0</v>
      </c>
      <c r="I72" s="87">
        <f t="shared" si="4"/>
        <v>0</v>
      </c>
      <c r="J72" s="87">
        <f t="shared" si="4"/>
        <v>0</v>
      </c>
      <c r="K72" s="87">
        <f t="shared" si="4"/>
        <v>0</v>
      </c>
      <c r="L72" s="87">
        <f t="shared" si="4"/>
        <v>0</v>
      </c>
      <c r="M72" s="87">
        <f t="shared" si="4"/>
        <v>0</v>
      </c>
      <c r="N72" s="87">
        <f t="shared" si="4"/>
        <v>0</v>
      </c>
      <c r="O72" s="87">
        <f t="shared" si="4"/>
        <v>0</v>
      </c>
      <c r="P72" s="88">
        <f>SUM(A72:O72)</f>
        <v>0</v>
      </c>
      <c r="Q72" s="6"/>
      <c r="R72" s="6"/>
      <c r="S72" s="6"/>
    </row>
    <row r="73" spans="1:30" ht="18" hidden="1" customHeight="1">
      <c r="A73" s="86" t="s">
        <v>72</v>
      </c>
      <c r="B73" s="89" t="e">
        <f>B72/B70</f>
        <v>#DIV/0!</v>
      </c>
      <c r="C73" s="89" t="e">
        <f>C72/C70</f>
        <v>#DIV/0!</v>
      </c>
      <c r="D73" s="89" t="e">
        <f t="shared" ref="D73:P73" si="5">D72/D70</f>
        <v>#DIV/0!</v>
      </c>
      <c r="E73" s="89" t="e">
        <f t="shared" si="5"/>
        <v>#DIV/0!</v>
      </c>
      <c r="F73" s="89" t="e">
        <f t="shared" si="5"/>
        <v>#DIV/0!</v>
      </c>
      <c r="G73" s="89" t="e">
        <f t="shared" si="5"/>
        <v>#DIV/0!</v>
      </c>
      <c r="H73" s="89" t="e">
        <f t="shared" si="5"/>
        <v>#DIV/0!</v>
      </c>
      <c r="I73" s="89" t="e">
        <f t="shared" si="5"/>
        <v>#DIV/0!</v>
      </c>
      <c r="J73" s="89" t="e">
        <f t="shared" si="5"/>
        <v>#DIV/0!</v>
      </c>
      <c r="K73" s="89" t="e">
        <f t="shared" si="5"/>
        <v>#DIV/0!</v>
      </c>
      <c r="L73" s="89" t="e">
        <f t="shared" si="5"/>
        <v>#DIV/0!</v>
      </c>
      <c r="M73" s="89" t="e">
        <f t="shared" si="5"/>
        <v>#DIV/0!</v>
      </c>
      <c r="N73" s="89" t="e">
        <f t="shared" si="5"/>
        <v>#DIV/0!</v>
      </c>
      <c r="O73" s="89" t="e">
        <f t="shared" si="5"/>
        <v>#DIV/0!</v>
      </c>
      <c r="P73" s="90" t="e">
        <f t="shared" si="5"/>
        <v>#DIV/0!</v>
      </c>
      <c r="Q73" s="6"/>
      <c r="R73" s="6"/>
      <c r="S73" s="6"/>
    </row>
    <row r="74" spans="1:30" ht="18" hidden="1" customHeight="1">
      <c r="A74" s="98"/>
      <c r="B74" s="99"/>
      <c r="C74" s="99"/>
      <c r="D74" s="99"/>
      <c r="E74" s="99"/>
      <c r="F74" s="99"/>
      <c r="G74" s="99"/>
      <c r="H74" s="99"/>
      <c r="I74" s="99"/>
      <c r="J74" s="99"/>
      <c r="K74" s="99"/>
      <c r="L74" s="99"/>
      <c r="M74" s="99"/>
      <c r="N74" s="99"/>
      <c r="O74" s="99"/>
      <c r="P74" s="100"/>
      <c r="Q74" s="6"/>
      <c r="R74" s="6"/>
      <c r="S74" s="6"/>
    </row>
    <row r="75" spans="1:30" ht="42" customHeight="1">
      <c r="A75" s="287" t="s">
        <v>158</v>
      </c>
      <c r="B75" s="287"/>
      <c r="C75" s="287"/>
      <c r="D75" s="287"/>
      <c r="E75" s="287"/>
      <c r="F75" s="287"/>
      <c r="G75" s="287"/>
      <c r="H75" s="287"/>
      <c r="I75" s="287"/>
      <c r="J75" s="287"/>
      <c r="K75" s="287"/>
      <c r="L75" s="287"/>
      <c r="M75" s="287"/>
      <c r="N75" s="287"/>
      <c r="O75" s="287"/>
      <c r="P75" s="287"/>
      <c r="R75" s="4"/>
      <c r="S75" s="4"/>
      <c r="T75" s="4"/>
      <c r="U75" s="4"/>
      <c r="V75" s="4"/>
      <c r="W75" s="4"/>
      <c r="X75" s="4"/>
      <c r="Y75" s="4"/>
      <c r="Z75" s="4"/>
      <c r="AA75" s="4"/>
      <c r="AB75" s="4"/>
      <c r="AC75" s="4"/>
      <c r="AD75" s="4"/>
    </row>
    <row r="76" spans="1:30" ht="38.25" customHeight="1">
      <c r="A76" s="287"/>
      <c r="B76" s="287"/>
      <c r="C76" s="287"/>
      <c r="D76" s="287"/>
      <c r="E76" s="287"/>
      <c r="F76" s="287"/>
      <c r="G76" s="287"/>
      <c r="H76" s="287"/>
      <c r="I76" s="287"/>
      <c r="J76" s="287"/>
      <c r="K76" s="287"/>
      <c r="L76" s="287"/>
      <c r="M76" s="287"/>
      <c r="N76" s="287"/>
      <c r="O76" s="287"/>
      <c r="P76" s="287"/>
      <c r="R76" s="4"/>
      <c r="S76" s="4"/>
      <c r="T76" s="4"/>
      <c r="U76" s="4"/>
      <c r="V76" s="4"/>
      <c r="W76" s="4"/>
      <c r="X76" s="4"/>
      <c r="Y76" s="4"/>
      <c r="Z76" s="4"/>
      <c r="AA76" s="4"/>
      <c r="AB76" s="4"/>
      <c r="AC76" s="4"/>
      <c r="AD76" s="4"/>
    </row>
    <row r="77" spans="1:30" ht="18.75" customHeight="1">
      <c r="A77" s="287"/>
      <c r="B77" s="287"/>
      <c r="C77" s="287"/>
      <c r="D77" s="287"/>
      <c r="E77" s="287"/>
      <c r="F77" s="287"/>
      <c r="G77" s="287"/>
      <c r="H77" s="287"/>
      <c r="I77" s="287"/>
      <c r="J77" s="287"/>
      <c r="K77" s="287"/>
      <c r="L77" s="287"/>
      <c r="M77" s="287"/>
      <c r="N77" s="287"/>
      <c r="O77" s="287"/>
      <c r="P77" s="287"/>
      <c r="R77" s="4"/>
      <c r="S77" s="4"/>
      <c r="T77" s="4"/>
      <c r="U77" s="4"/>
      <c r="V77" s="4"/>
      <c r="W77" s="4"/>
      <c r="X77" s="4"/>
      <c r="Y77" s="4"/>
      <c r="Z77" s="4"/>
      <c r="AA77" s="4"/>
      <c r="AB77" s="4"/>
      <c r="AC77" s="4"/>
      <c r="AD77" s="4"/>
    </row>
    <row r="78" spans="1:30" ht="15">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row>
    <row r="79" spans="1:30" ht="18">
      <c r="A79" s="288" t="s">
        <v>76</v>
      </c>
      <c r="B79" s="246"/>
      <c r="D79" s="64"/>
      <c r="E79" s="64"/>
      <c r="F79" s="64"/>
      <c r="G79" s="11"/>
      <c r="H79" s="11"/>
      <c r="I79" s="11"/>
      <c r="J79" s="11"/>
      <c r="K79" s="11"/>
      <c r="L79" s="11"/>
      <c r="M79" s="11"/>
      <c r="N79" s="11"/>
      <c r="O79" s="11"/>
      <c r="P79" s="11"/>
      <c r="Q79" s="11"/>
    </row>
    <row r="81" spans="1:16" ht="47.25" customHeight="1">
      <c r="A81" s="289" t="s">
        <v>77</v>
      </c>
      <c r="B81" s="289"/>
      <c r="C81" s="319"/>
      <c r="D81" s="319"/>
      <c r="E81" s="319"/>
      <c r="F81" s="319"/>
      <c r="G81" s="319"/>
      <c r="H81" s="319"/>
      <c r="I81" s="44"/>
      <c r="J81" s="291" t="s">
        <v>78</v>
      </c>
      <c r="K81" s="324"/>
      <c r="L81" s="310"/>
      <c r="M81" s="311"/>
      <c r="N81" s="311"/>
      <c r="O81" s="311"/>
      <c r="P81" s="312"/>
    </row>
    <row r="82" spans="1:16" ht="15">
      <c r="G82" s="4"/>
      <c r="H82" s="4"/>
      <c r="I82" s="4"/>
      <c r="J82" s="4"/>
      <c r="K82" s="4"/>
      <c r="L82" s="313"/>
      <c r="M82" s="314"/>
      <c r="N82" s="314"/>
      <c r="O82" s="314"/>
      <c r="P82" s="315"/>
    </row>
    <row r="83" spans="1:16" ht="22.5" customHeight="1">
      <c r="A83" s="292" t="s">
        <v>79</v>
      </c>
      <c r="B83" s="292"/>
      <c r="C83" s="320"/>
      <c r="D83" s="320"/>
      <c r="E83" s="320"/>
      <c r="F83" s="320"/>
      <c r="G83" s="320"/>
      <c r="H83" s="320"/>
      <c r="I83" s="44"/>
      <c r="J83" s="4"/>
      <c r="K83" s="4"/>
      <c r="L83" s="313"/>
      <c r="M83" s="314"/>
      <c r="N83" s="314"/>
      <c r="O83" s="314"/>
      <c r="P83" s="315"/>
    </row>
    <row r="84" spans="1:16" ht="15">
      <c r="G84" s="4"/>
      <c r="H84" s="4"/>
      <c r="I84" s="4"/>
      <c r="J84" s="4"/>
      <c r="K84" s="4"/>
      <c r="L84" s="313"/>
      <c r="M84" s="314"/>
      <c r="N84" s="314"/>
      <c r="O84" s="314"/>
      <c r="P84" s="315"/>
    </row>
    <row r="85" spans="1:16">
      <c r="A85" s="280" t="s">
        <v>80</v>
      </c>
      <c r="B85" s="281"/>
      <c r="C85" s="321"/>
      <c r="D85" s="322"/>
      <c r="E85" s="322"/>
      <c r="F85" s="322"/>
      <c r="G85" s="322"/>
      <c r="H85" s="323"/>
      <c r="I85" s="44"/>
      <c r="L85" s="316"/>
      <c r="M85" s="317"/>
      <c r="N85" s="317"/>
      <c r="O85" s="317"/>
      <c r="P85" s="318"/>
    </row>
  </sheetData>
  <mergeCells count="183">
    <mergeCell ref="A1:P1"/>
    <mergeCell ref="A2:B2"/>
    <mergeCell ref="C2:H2"/>
    <mergeCell ref="L2:P2"/>
    <mergeCell ref="A3:B3"/>
    <mergeCell ref="C3:H3"/>
    <mergeCell ref="J3:K3"/>
    <mergeCell ref="L3:P3"/>
    <mergeCell ref="P7:P9"/>
    <mergeCell ref="A8:H8"/>
    <mergeCell ref="J8:O8"/>
    <mergeCell ref="A9:H9"/>
    <mergeCell ref="J9:O9"/>
    <mergeCell ref="A4:B4"/>
    <mergeCell ref="C4:H4"/>
    <mergeCell ref="J4:K4"/>
    <mergeCell ref="L4:P4"/>
    <mergeCell ref="A6:C6"/>
    <mergeCell ref="D6:H6"/>
    <mergeCell ref="J2:K2"/>
    <mergeCell ref="A10:B10"/>
    <mergeCell ref="C10:H10"/>
    <mergeCell ref="A11:B11"/>
    <mergeCell ref="C11:H11"/>
    <mergeCell ref="A12:B12"/>
    <mergeCell ref="C12:H12"/>
    <mergeCell ref="A7:C7"/>
    <mergeCell ref="D7:H7"/>
    <mergeCell ref="J7:O7"/>
    <mergeCell ref="A13:H13"/>
    <mergeCell ref="A14:C14"/>
    <mergeCell ref="D14:H14"/>
    <mergeCell ref="J14:O14"/>
    <mergeCell ref="P14:P16"/>
    <mergeCell ref="A15:C15"/>
    <mergeCell ref="D15:H15"/>
    <mergeCell ref="J15:O15"/>
    <mergeCell ref="A16:H16"/>
    <mergeCell ref="J16:O16"/>
    <mergeCell ref="A22:B22"/>
    <mergeCell ref="C22:D23"/>
    <mergeCell ref="E22:F23"/>
    <mergeCell ref="G22:G23"/>
    <mergeCell ref="H22:H23"/>
    <mergeCell ref="I22:J23"/>
    <mergeCell ref="A17:D17"/>
    <mergeCell ref="E17:H17"/>
    <mergeCell ref="J17:P17"/>
    <mergeCell ref="A18:D18"/>
    <mergeCell ref="E18:H18"/>
    <mergeCell ref="J18:L18"/>
    <mergeCell ref="M18:P18"/>
    <mergeCell ref="K22:M22"/>
    <mergeCell ref="N22:N23"/>
    <mergeCell ref="O22:P23"/>
    <mergeCell ref="C24:D24"/>
    <mergeCell ref="E24:F24"/>
    <mergeCell ref="I24:J24"/>
    <mergeCell ref="O24:P24"/>
    <mergeCell ref="C21:D21"/>
    <mergeCell ref="E21:F21"/>
    <mergeCell ref="I21:J21"/>
    <mergeCell ref="O21:P21"/>
    <mergeCell ref="C27:D27"/>
    <mergeCell ref="E27:F27"/>
    <mergeCell ref="I27:J27"/>
    <mergeCell ref="O27:P27"/>
    <mergeCell ref="C28:D28"/>
    <mergeCell ref="E28:F28"/>
    <mergeCell ref="I28:J28"/>
    <mergeCell ref="O28:P28"/>
    <mergeCell ref="C25:D25"/>
    <mergeCell ref="E25:F25"/>
    <mergeCell ref="I25:J25"/>
    <mergeCell ref="O25:P25"/>
    <mergeCell ref="C26:D26"/>
    <mergeCell ref="E26:F26"/>
    <mergeCell ref="I26:J26"/>
    <mergeCell ref="O26:P26"/>
    <mergeCell ref="C31:D31"/>
    <mergeCell ref="E31:F31"/>
    <mergeCell ref="I31:J31"/>
    <mergeCell ref="O31:P31"/>
    <mergeCell ref="C32:D32"/>
    <mergeCell ref="E32:F32"/>
    <mergeCell ref="I32:J32"/>
    <mergeCell ref="O32:P32"/>
    <mergeCell ref="C29:D29"/>
    <mergeCell ref="E29:F29"/>
    <mergeCell ref="I29:J29"/>
    <mergeCell ref="O29:P29"/>
    <mergeCell ref="C30:D30"/>
    <mergeCell ref="E30:F30"/>
    <mergeCell ref="I30:J30"/>
    <mergeCell ref="O30:P30"/>
    <mergeCell ref="C35:D35"/>
    <mergeCell ref="E35:F35"/>
    <mergeCell ref="I35:J35"/>
    <mergeCell ref="O35:P35"/>
    <mergeCell ref="C36:D36"/>
    <mergeCell ref="E36:F36"/>
    <mergeCell ref="I36:J36"/>
    <mergeCell ref="O36:P36"/>
    <mergeCell ref="C33:D33"/>
    <mergeCell ref="E33:F33"/>
    <mergeCell ref="I33:J33"/>
    <mergeCell ref="O33:P33"/>
    <mergeCell ref="C34:D34"/>
    <mergeCell ref="E34:F34"/>
    <mergeCell ref="I34:J34"/>
    <mergeCell ref="O34:P34"/>
    <mergeCell ref="C39:D39"/>
    <mergeCell ref="E39:F39"/>
    <mergeCell ref="I39:J39"/>
    <mergeCell ref="O39:P39"/>
    <mergeCell ref="C40:D40"/>
    <mergeCell ref="E40:F40"/>
    <mergeCell ref="I40:J40"/>
    <mergeCell ref="O40:P40"/>
    <mergeCell ref="C37:D37"/>
    <mergeCell ref="E37:F37"/>
    <mergeCell ref="I37:J37"/>
    <mergeCell ref="O37:P37"/>
    <mergeCell ref="C38:D38"/>
    <mergeCell ref="E38:F38"/>
    <mergeCell ref="I38:J38"/>
    <mergeCell ref="O38:P38"/>
    <mergeCell ref="C43:D43"/>
    <mergeCell ref="E43:F43"/>
    <mergeCell ref="I43:J43"/>
    <mergeCell ref="O43:P43"/>
    <mergeCell ref="C44:D44"/>
    <mergeCell ref="E44:F44"/>
    <mergeCell ref="I44:J44"/>
    <mergeCell ref="O44:P44"/>
    <mergeCell ref="C41:D41"/>
    <mergeCell ref="E41:F41"/>
    <mergeCell ref="I41:J41"/>
    <mergeCell ref="O41:P41"/>
    <mergeCell ref="C42:D42"/>
    <mergeCell ref="E42:F42"/>
    <mergeCell ref="I42:J42"/>
    <mergeCell ref="O42:P42"/>
    <mergeCell ref="C47:D47"/>
    <mergeCell ref="E47:F47"/>
    <mergeCell ref="I47:J47"/>
    <mergeCell ref="O47:P47"/>
    <mergeCell ref="C48:D48"/>
    <mergeCell ref="E48:F48"/>
    <mergeCell ref="I48:J48"/>
    <mergeCell ref="O48:P48"/>
    <mergeCell ref="C45:D45"/>
    <mergeCell ref="E45:F45"/>
    <mergeCell ref="I45:J45"/>
    <mergeCell ref="O45:P45"/>
    <mergeCell ref="C46:D46"/>
    <mergeCell ref="E46:F46"/>
    <mergeCell ref="I46:J46"/>
    <mergeCell ref="O46:P46"/>
    <mergeCell ref="I51:J51"/>
    <mergeCell ref="O51:P51"/>
    <mergeCell ref="I52:J52"/>
    <mergeCell ref="O52:P52"/>
    <mergeCell ref="A54:K54"/>
    <mergeCell ref="A55:R55"/>
    <mergeCell ref="C49:D49"/>
    <mergeCell ref="E49:F49"/>
    <mergeCell ref="I49:J49"/>
    <mergeCell ref="O49:P49"/>
    <mergeCell ref="I50:J50"/>
    <mergeCell ref="O50:P50"/>
    <mergeCell ref="A85:B85"/>
    <mergeCell ref="C85:H85"/>
    <mergeCell ref="A75:P75"/>
    <mergeCell ref="A76:P76"/>
    <mergeCell ref="A77:P77"/>
    <mergeCell ref="A79:B79"/>
    <mergeCell ref="A81:B81"/>
    <mergeCell ref="C81:H81"/>
    <mergeCell ref="J81:K81"/>
    <mergeCell ref="L81:P85"/>
    <mergeCell ref="A83:B83"/>
    <mergeCell ref="C83:H83"/>
  </mergeCells>
  <pageMargins left="0.39370078740157483" right="0.39370078740157483" top="0.74803149606299213" bottom="0.74803149606299213" header="0.31496062992125984" footer="0.31496062992125984"/>
  <pageSetup paperSize="9" scale="5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48385-0338-40D7-BB1D-D9D5688A7B27}">
  <sheetPr>
    <tabColor theme="7" tint="0.79998168889431442"/>
    <outlinePr summaryBelow="0" summaryRight="0"/>
    <pageSetUpPr fitToPage="1"/>
  </sheetPr>
  <dimension ref="A1:AD85"/>
  <sheetViews>
    <sheetView zoomScaleNormal="100" workbookViewId="0">
      <selection activeCell="U84" sqref="U84"/>
    </sheetView>
  </sheetViews>
  <sheetFormatPr defaultColWidth="12.5703125" defaultRowHeight="15.75" customHeight="1"/>
  <cols>
    <col min="1" max="1" width="13.7109375" customWidth="1"/>
    <col min="2" max="2" width="14" customWidth="1"/>
    <col min="3" max="3" width="11.42578125" customWidth="1"/>
    <col min="4" max="4" width="11.28515625" customWidth="1"/>
    <col min="5" max="5" width="11" customWidth="1"/>
    <col min="6" max="6" width="11.5703125" customWidth="1"/>
    <col min="8" max="8" width="12.7109375" customWidth="1"/>
    <col min="9" max="9" width="11.85546875" customWidth="1"/>
    <col min="10" max="10" width="11.5703125" customWidth="1"/>
    <col min="12" max="12" width="12.42578125" customWidth="1"/>
    <col min="14" max="14" width="12.5703125" customWidth="1"/>
    <col min="15" max="15" width="12.140625" customWidth="1"/>
    <col min="16" max="16" width="11" customWidth="1"/>
  </cols>
  <sheetData>
    <row r="1" spans="1:21" ht="33.75" customHeight="1">
      <c r="A1" s="177" t="s">
        <v>159</v>
      </c>
      <c r="B1" s="177"/>
      <c r="C1" s="177"/>
      <c r="D1" s="177"/>
      <c r="E1" s="177"/>
      <c r="F1" s="177"/>
      <c r="G1" s="177"/>
      <c r="H1" s="177"/>
      <c r="I1" s="177"/>
      <c r="J1" s="177"/>
      <c r="K1" s="177"/>
      <c r="L1" s="177"/>
      <c r="M1" s="177"/>
      <c r="N1" s="177"/>
      <c r="O1" s="177"/>
      <c r="P1" s="177"/>
      <c r="R1" s="11"/>
      <c r="S1" s="11"/>
      <c r="T1" s="11"/>
      <c r="U1" s="11"/>
    </row>
    <row r="2" spans="1:21" ht="21.75" customHeight="1">
      <c r="A2" s="178" t="s">
        <v>1</v>
      </c>
      <c r="B2" s="179"/>
      <c r="C2" s="303" t="s">
        <v>160</v>
      </c>
      <c r="D2" s="304"/>
      <c r="E2" s="304"/>
      <c r="F2" s="304"/>
      <c r="G2" s="304"/>
      <c r="H2" s="305"/>
      <c r="I2" s="44"/>
      <c r="J2" s="221" t="s">
        <v>2</v>
      </c>
      <c r="K2" s="222"/>
      <c r="L2" s="232" t="s">
        <v>3</v>
      </c>
      <c r="M2" s="232"/>
      <c r="N2" s="232"/>
      <c r="O2" s="232"/>
      <c r="P2" s="233"/>
      <c r="R2" s="11"/>
      <c r="S2" s="11"/>
      <c r="T2" s="11"/>
      <c r="U2" s="11"/>
    </row>
    <row r="3" spans="1:21" ht="21.75" customHeight="1">
      <c r="A3" s="186" t="s">
        <v>4</v>
      </c>
      <c r="B3" s="187"/>
      <c r="C3" s="306" t="s">
        <v>119</v>
      </c>
      <c r="D3" s="307"/>
      <c r="E3" s="307"/>
      <c r="F3" s="307"/>
      <c r="G3" s="307"/>
      <c r="H3" s="308"/>
      <c r="I3" s="44"/>
      <c r="J3" s="191" t="s">
        <v>5</v>
      </c>
      <c r="K3" s="192"/>
      <c r="L3" s="192" t="s">
        <v>120</v>
      </c>
      <c r="M3" s="192"/>
      <c r="N3" s="192"/>
      <c r="O3" s="192"/>
      <c r="P3" s="201"/>
      <c r="R3" s="11"/>
      <c r="S3" s="11"/>
      <c r="T3" s="11"/>
      <c r="U3" s="11"/>
    </row>
    <row r="4" spans="1:21" ht="48" customHeight="1">
      <c r="A4" s="208" t="s">
        <v>7</v>
      </c>
      <c r="B4" s="179"/>
      <c r="C4" s="336" t="s">
        <v>161</v>
      </c>
      <c r="D4" s="337"/>
      <c r="E4" s="337"/>
      <c r="F4" s="337"/>
      <c r="G4" s="337"/>
      <c r="H4" s="338"/>
      <c r="I4" s="44"/>
      <c r="J4" s="339" t="s">
        <v>8</v>
      </c>
      <c r="K4" s="340"/>
      <c r="L4" s="340" t="s">
        <v>9</v>
      </c>
      <c r="M4" s="340"/>
      <c r="N4" s="340"/>
      <c r="O4" s="340"/>
      <c r="P4" s="341"/>
      <c r="R4" s="11"/>
      <c r="S4" s="11"/>
      <c r="T4" s="11"/>
      <c r="U4" s="11"/>
    </row>
    <row r="5" spans="1:21" ht="15">
      <c r="A5" s="11"/>
      <c r="B5" s="50"/>
      <c r="C5" s="50"/>
      <c r="D5" s="5"/>
      <c r="E5" s="5"/>
      <c r="F5" s="5"/>
      <c r="G5" s="5"/>
      <c r="H5" s="5"/>
      <c r="I5" s="5"/>
      <c r="J5" s="59"/>
      <c r="K5" s="59"/>
      <c r="L5" s="58"/>
      <c r="M5" s="58"/>
      <c r="N5" s="58"/>
      <c r="O5" s="58"/>
      <c r="P5" s="58"/>
      <c r="R5" s="11"/>
      <c r="S5" s="11"/>
      <c r="T5" s="11"/>
      <c r="U5" s="11"/>
    </row>
    <row r="6" spans="1:21" ht="22.5" customHeight="1">
      <c r="A6" s="325" t="s">
        <v>10</v>
      </c>
      <c r="B6" s="342"/>
      <c r="C6" s="342"/>
      <c r="D6" s="303" t="s">
        <v>148</v>
      </c>
      <c r="E6" s="304"/>
      <c r="F6" s="304"/>
      <c r="G6" s="304"/>
      <c r="H6" s="305"/>
      <c r="I6" s="44"/>
      <c r="J6" s="91" t="s">
        <v>11</v>
      </c>
      <c r="K6" s="73"/>
      <c r="L6" s="73"/>
      <c r="M6" s="73"/>
      <c r="N6" s="73"/>
      <c r="O6" s="73"/>
      <c r="P6" s="74" t="s">
        <v>12</v>
      </c>
      <c r="R6" s="50"/>
      <c r="S6" s="50"/>
      <c r="T6" s="50"/>
      <c r="U6" s="50"/>
    </row>
    <row r="7" spans="1:21" ht="23.25" customHeight="1">
      <c r="A7" s="362" t="s">
        <v>13</v>
      </c>
      <c r="B7" s="326"/>
      <c r="C7" s="326"/>
      <c r="D7" s="303" t="s">
        <v>149</v>
      </c>
      <c r="E7" s="304"/>
      <c r="F7" s="304"/>
      <c r="G7" s="304"/>
      <c r="H7" s="305"/>
      <c r="I7" s="44"/>
      <c r="J7" s="327" t="s">
        <v>14</v>
      </c>
      <c r="K7" s="328"/>
      <c r="L7" s="328"/>
      <c r="M7" s="328"/>
      <c r="N7" s="328"/>
      <c r="O7" s="329"/>
      <c r="P7" s="195" t="s">
        <v>124</v>
      </c>
      <c r="R7" s="50"/>
      <c r="S7" s="50"/>
      <c r="T7" s="50"/>
      <c r="U7" s="50"/>
    </row>
    <row r="8" spans="1:21" ht="21" customHeight="1">
      <c r="A8" s="245"/>
      <c r="B8" s="246"/>
      <c r="C8" s="246"/>
      <c r="D8" s="246"/>
      <c r="E8" s="246"/>
      <c r="F8" s="246"/>
      <c r="G8" s="246"/>
      <c r="H8" s="246"/>
      <c r="J8" s="330" t="s">
        <v>15</v>
      </c>
      <c r="K8" s="331"/>
      <c r="L8" s="331"/>
      <c r="M8" s="331"/>
      <c r="N8" s="331"/>
      <c r="O8" s="332"/>
      <c r="P8" s="196"/>
      <c r="R8" s="50"/>
      <c r="S8" s="50"/>
      <c r="T8" s="50"/>
      <c r="U8" s="50"/>
    </row>
    <row r="9" spans="1:21" ht="15.75" customHeight="1">
      <c r="A9" s="333" t="s">
        <v>16</v>
      </c>
      <c r="B9" s="334"/>
      <c r="C9" s="334"/>
      <c r="D9" s="334"/>
      <c r="E9" s="334"/>
      <c r="F9" s="334"/>
      <c r="G9" s="334"/>
      <c r="H9" s="335"/>
      <c r="I9" s="44"/>
      <c r="J9" s="205"/>
      <c r="K9" s="206"/>
      <c r="L9" s="206"/>
      <c r="M9" s="206"/>
      <c r="N9" s="206"/>
      <c r="O9" s="207"/>
      <c r="P9" s="197"/>
      <c r="R9" s="50"/>
      <c r="S9" s="50"/>
      <c r="T9" s="50"/>
      <c r="U9" s="50"/>
    </row>
    <row r="10" spans="1:21" ht="19.5" customHeight="1">
      <c r="A10" s="221" t="s">
        <v>17</v>
      </c>
      <c r="B10" s="354"/>
      <c r="C10" s="221" t="s">
        <v>150</v>
      </c>
      <c r="D10" s="222"/>
      <c r="E10" s="222"/>
      <c r="F10" s="222"/>
      <c r="G10" s="222"/>
      <c r="H10" s="355"/>
      <c r="I10" s="44"/>
      <c r="J10" s="95" t="s">
        <v>19</v>
      </c>
      <c r="K10" s="96"/>
      <c r="L10" s="96"/>
      <c r="M10" s="96"/>
      <c r="N10" s="96"/>
      <c r="O10" s="85"/>
      <c r="P10" s="92"/>
      <c r="R10" s="50"/>
      <c r="S10" s="50"/>
      <c r="T10" s="50"/>
      <c r="U10" s="50"/>
    </row>
    <row r="11" spans="1:21" ht="19.5" customHeight="1">
      <c r="A11" s="356" t="s">
        <v>20</v>
      </c>
      <c r="B11" s="357"/>
      <c r="C11" s="191" t="s">
        <v>151</v>
      </c>
      <c r="D11" s="309"/>
      <c r="E11" s="309"/>
      <c r="F11" s="309"/>
      <c r="G11" s="309"/>
      <c r="H11" s="358"/>
      <c r="I11" s="44"/>
      <c r="J11" s="77" t="s">
        <v>22</v>
      </c>
      <c r="K11" s="75"/>
      <c r="L11" s="75"/>
      <c r="M11" s="75"/>
      <c r="N11" s="75"/>
      <c r="O11" s="76"/>
      <c r="P11" s="93"/>
      <c r="R11" s="50"/>
      <c r="S11" s="50"/>
      <c r="T11" s="50"/>
      <c r="U11" s="50"/>
    </row>
    <row r="12" spans="1:21" ht="18.75" customHeight="1">
      <c r="A12" s="339" t="s">
        <v>23</v>
      </c>
      <c r="B12" s="359"/>
      <c r="C12" s="339" t="s">
        <v>127</v>
      </c>
      <c r="D12" s="360"/>
      <c r="E12" s="360"/>
      <c r="F12" s="360"/>
      <c r="G12" s="360"/>
      <c r="H12" s="361"/>
      <c r="I12" s="44"/>
      <c r="J12" s="77" t="s">
        <v>15</v>
      </c>
      <c r="K12" s="82"/>
      <c r="L12" s="82"/>
      <c r="M12" s="82"/>
      <c r="N12" s="83"/>
      <c r="O12" s="84"/>
      <c r="P12" s="93"/>
      <c r="R12" s="62"/>
      <c r="S12" s="62"/>
      <c r="T12" s="62"/>
      <c r="U12" s="62"/>
    </row>
    <row r="13" spans="1:21" ht="16.5" customHeight="1">
      <c r="A13" s="234"/>
      <c r="B13" s="234"/>
      <c r="C13" s="234"/>
      <c r="D13" s="234"/>
      <c r="E13" s="234"/>
      <c r="F13" s="234"/>
      <c r="G13" s="234"/>
      <c r="H13" s="234"/>
      <c r="J13" s="77"/>
      <c r="K13" s="78"/>
      <c r="L13" s="78"/>
      <c r="M13" s="78"/>
      <c r="N13" s="79"/>
      <c r="O13" s="80"/>
      <c r="P13" s="94"/>
      <c r="R13" s="61"/>
      <c r="S13" s="50"/>
      <c r="T13" s="50"/>
      <c r="U13" s="50"/>
    </row>
    <row r="14" spans="1:21" ht="18" customHeight="1">
      <c r="A14" s="343" t="s">
        <v>25</v>
      </c>
      <c r="B14" s="304"/>
      <c r="C14" s="304"/>
      <c r="D14" s="343">
        <v>132.47999999999999</v>
      </c>
      <c r="E14" s="304"/>
      <c r="F14" s="304"/>
      <c r="G14" s="304"/>
      <c r="H14" s="305"/>
      <c r="I14" s="44"/>
      <c r="J14" s="327" t="s">
        <v>26</v>
      </c>
      <c r="K14" s="328"/>
      <c r="L14" s="328"/>
      <c r="M14" s="328"/>
      <c r="N14" s="328"/>
      <c r="O14" s="329"/>
      <c r="P14" s="195"/>
      <c r="Q14" s="63"/>
      <c r="R14" s="63"/>
      <c r="S14" s="63"/>
      <c r="T14" s="63"/>
      <c r="U14" s="50"/>
    </row>
    <row r="15" spans="1:21" ht="17.25" customHeight="1">
      <c r="A15" s="303" t="s">
        <v>27</v>
      </c>
      <c r="B15" s="347"/>
      <c r="C15" s="347"/>
      <c r="D15" s="348">
        <f>I51</f>
        <v>631</v>
      </c>
      <c r="E15" s="349"/>
      <c r="F15" s="349"/>
      <c r="G15" s="349"/>
      <c r="H15" s="350"/>
      <c r="I15" s="44"/>
      <c r="J15" s="351" t="s">
        <v>28</v>
      </c>
      <c r="K15" s="352"/>
      <c r="L15" s="352"/>
      <c r="M15" s="352"/>
      <c r="N15" s="352"/>
      <c r="O15" s="353"/>
      <c r="P15" s="196"/>
      <c r="Q15" s="1"/>
      <c r="R15" s="1"/>
      <c r="S15" s="2"/>
      <c r="T15" s="2"/>
      <c r="U15" s="50"/>
    </row>
    <row r="16" spans="1:21" ht="15" customHeight="1">
      <c r="A16" s="245"/>
      <c r="B16" s="246"/>
      <c r="C16" s="246"/>
      <c r="D16" s="246"/>
      <c r="E16" s="246"/>
      <c r="F16" s="246"/>
      <c r="G16" s="246"/>
      <c r="H16" s="246"/>
      <c r="J16" s="205"/>
      <c r="K16" s="206"/>
      <c r="L16" s="206"/>
      <c r="M16" s="206"/>
      <c r="N16" s="206"/>
      <c r="O16" s="207"/>
      <c r="P16" s="197"/>
      <c r="Q16" s="60"/>
      <c r="R16" s="50"/>
      <c r="S16" s="50"/>
      <c r="T16" s="64"/>
      <c r="U16" s="50"/>
    </row>
    <row r="17" spans="1:21" ht="20.25" customHeight="1">
      <c r="A17" s="362" t="s">
        <v>29</v>
      </c>
      <c r="B17" s="326"/>
      <c r="C17" s="326"/>
      <c r="D17" s="326"/>
      <c r="E17" s="303" t="s">
        <v>162</v>
      </c>
      <c r="F17" s="304"/>
      <c r="G17" s="304"/>
      <c r="H17" s="305"/>
      <c r="I17" s="44"/>
      <c r="J17" s="247"/>
      <c r="K17" s="247"/>
      <c r="L17" s="247"/>
      <c r="M17" s="247"/>
      <c r="N17" s="247"/>
      <c r="O17" s="247"/>
      <c r="P17" s="247"/>
      <c r="Q17" s="50"/>
      <c r="R17" s="50"/>
      <c r="S17" s="50"/>
      <c r="T17" s="50"/>
      <c r="U17" s="50"/>
    </row>
    <row r="18" spans="1:21" ht="21.75" customHeight="1">
      <c r="A18" s="325" t="s">
        <v>129</v>
      </c>
      <c r="B18" s="326"/>
      <c r="C18" s="326"/>
      <c r="D18" s="363"/>
      <c r="E18" s="303" t="s">
        <v>130</v>
      </c>
      <c r="F18" s="347"/>
      <c r="G18" s="347"/>
      <c r="H18" s="364"/>
      <c r="I18" s="44"/>
      <c r="J18" s="365" t="s">
        <v>32</v>
      </c>
      <c r="K18" s="366"/>
      <c r="L18" s="366"/>
      <c r="M18" s="367">
        <v>45982</v>
      </c>
      <c r="N18" s="368"/>
      <c r="O18" s="368"/>
      <c r="P18" s="368"/>
      <c r="Q18" s="50"/>
      <c r="R18" s="50"/>
      <c r="S18" s="50"/>
      <c r="T18" s="50"/>
      <c r="U18" s="50"/>
    </row>
    <row r="19" spans="1:21" ht="18.75" customHeight="1">
      <c r="I19" s="44"/>
      <c r="J19" s="50"/>
      <c r="K19" s="50"/>
      <c r="L19" s="50"/>
      <c r="M19" s="61"/>
      <c r="N19" s="61"/>
      <c r="O19" s="50"/>
      <c r="P19" s="50"/>
      <c r="Q19" s="50"/>
      <c r="R19" s="50"/>
      <c r="S19" s="50"/>
      <c r="T19" s="50"/>
      <c r="U19" s="50"/>
    </row>
    <row r="20" spans="1:21" ht="15">
      <c r="A20" s="53" t="s">
        <v>33</v>
      </c>
      <c r="B20" s="71"/>
      <c r="C20" s="71"/>
      <c r="D20" s="53"/>
      <c r="E20" s="53"/>
      <c r="F20" s="53"/>
      <c r="G20" s="54"/>
      <c r="H20" s="54"/>
      <c r="I20" s="54"/>
      <c r="J20" s="54"/>
      <c r="K20" s="54"/>
      <c r="L20" s="54"/>
      <c r="M20" s="54"/>
      <c r="N20" s="54"/>
      <c r="O20" s="54"/>
      <c r="P20" s="54"/>
      <c r="Q20" s="11"/>
      <c r="R20" s="11"/>
      <c r="S20" s="11"/>
      <c r="T20" s="11"/>
      <c r="U20" s="11"/>
    </row>
    <row r="21" spans="1:21" ht="15">
      <c r="A21" s="53" t="s">
        <v>34</v>
      </c>
      <c r="B21" s="53" t="s">
        <v>35</v>
      </c>
      <c r="C21" s="386" t="s">
        <v>36</v>
      </c>
      <c r="D21" s="386"/>
      <c r="E21" s="386" t="s">
        <v>37</v>
      </c>
      <c r="F21" s="386"/>
      <c r="G21" s="53" t="s">
        <v>38</v>
      </c>
      <c r="H21" s="53" t="s">
        <v>39</v>
      </c>
      <c r="I21" s="386" t="s">
        <v>40</v>
      </c>
      <c r="J21" s="386"/>
      <c r="K21" s="53" t="s">
        <v>41</v>
      </c>
      <c r="L21" s="53" t="s">
        <v>42</v>
      </c>
      <c r="M21" s="53" t="s">
        <v>43</v>
      </c>
      <c r="N21" s="72" t="s">
        <v>44</v>
      </c>
      <c r="O21" s="386" t="s">
        <v>45</v>
      </c>
      <c r="P21" s="386"/>
      <c r="Q21" s="64"/>
      <c r="R21" s="64"/>
      <c r="S21" s="64"/>
      <c r="T21" s="64"/>
      <c r="U21" s="64"/>
    </row>
    <row r="22" spans="1:21" ht="15" customHeight="1">
      <c r="A22" s="369" t="s">
        <v>46</v>
      </c>
      <c r="B22" s="370"/>
      <c r="C22" s="371" t="s">
        <v>47</v>
      </c>
      <c r="D22" s="372"/>
      <c r="E22" s="371" t="s">
        <v>48</v>
      </c>
      <c r="F22" s="372"/>
      <c r="G22" s="375" t="s">
        <v>49</v>
      </c>
      <c r="H22" s="375" t="s">
        <v>50</v>
      </c>
      <c r="I22" s="377" t="s">
        <v>51</v>
      </c>
      <c r="J22" s="378"/>
      <c r="K22" s="369" t="s">
        <v>52</v>
      </c>
      <c r="L22" s="381"/>
      <c r="M22" s="370"/>
      <c r="N22" s="377" t="s">
        <v>53</v>
      </c>
      <c r="O22" s="377" t="s">
        <v>54</v>
      </c>
      <c r="P22" s="378"/>
      <c r="Q22" s="3"/>
      <c r="R22" s="3"/>
      <c r="S22" s="3"/>
      <c r="T22" s="3"/>
      <c r="U22" s="3"/>
    </row>
    <row r="23" spans="1:21" s="66" customFormat="1" ht="30.75" customHeight="1">
      <c r="A23" s="45" t="s">
        <v>55</v>
      </c>
      <c r="B23" s="46" t="s">
        <v>56</v>
      </c>
      <c r="C23" s="373"/>
      <c r="D23" s="374"/>
      <c r="E23" s="373"/>
      <c r="F23" s="374"/>
      <c r="G23" s="376"/>
      <c r="H23" s="376"/>
      <c r="I23" s="379"/>
      <c r="J23" s="380"/>
      <c r="K23" s="46" t="s">
        <v>57</v>
      </c>
      <c r="L23" s="46" t="s">
        <v>58</v>
      </c>
      <c r="M23" s="46" t="s">
        <v>59</v>
      </c>
      <c r="N23" s="379"/>
      <c r="O23" s="379"/>
      <c r="P23" s="380"/>
      <c r="Q23" s="47"/>
      <c r="R23" s="47"/>
      <c r="S23" s="47"/>
      <c r="T23" s="47"/>
      <c r="U23" s="47"/>
    </row>
    <row r="24" spans="1:21" ht="20.25" customHeight="1">
      <c r="A24" s="46">
        <v>1</v>
      </c>
      <c r="B24" s="46">
        <v>5</v>
      </c>
      <c r="C24" s="394">
        <v>24</v>
      </c>
      <c r="D24" s="383"/>
      <c r="E24" s="394" t="s">
        <v>153</v>
      </c>
      <c r="F24" s="383"/>
      <c r="G24" s="46">
        <v>5</v>
      </c>
      <c r="H24" s="46">
        <v>58</v>
      </c>
      <c r="I24" s="384">
        <v>290</v>
      </c>
      <c r="J24" s="385"/>
      <c r="K24" s="46">
        <v>60</v>
      </c>
      <c r="L24" s="46">
        <v>30</v>
      </c>
      <c r="M24" s="46">
        <v>40</v>
      </c>
      <c r="N24" s="65">
        <v>0.36</v>
      </c>
      <c r="O24" s="382">
        <v>62</v>
      </c>
      <c r="P24" s="383"/>
      <c r="Q24" s="7"/>
      <c r="R24" s="7"/>
      <c r="S24" s="7"/>
      <c r="T24" s="7"/>
      <c r="U24" s="7"/>
    </row>
    <row r="25" spans="1:21" ht="20.25" customHeight="1">
      <c r="A25" s="46"/>
      <c r="B25" s="46">
        <v>6</v>
      </c>
      <c r="C25" s="382">
        <v>24</v>
      </c>
      <c r="D25" s="383"/>
      <c r="E25" s="394" t="s">
        <v>153</v>
      </c>
      <c r="F25" s="383"/>
      <c r="G25" s="46">
        <v>1</v>
      </c>
      <c r="H25" s="46">
        <v>37</v>
      </c>
      <c r="I25" s="384">
        <v>37</v>
      </c>
      <c r="J25" s="385"/>
      <c r="K25" s="46">
        <v>60</v>
      </c>
      <c r="L25" s="46">
        <v>30</v>
      </c>
      <c r="M25" s="46">
        <v>30</v>
      </c>
      <c r="N25" s="65">
        <v>5.3999999999999999E-2</v>
      </c>
      <c r="O25" s="382">
        <v>8.3000000000000007</v>
      </c>
      <c r="P25" s="383"/>
      <c r="Q25" s="7"/>
      <c r="R25" s="7"/>
      <c r="S25" s="7"/>
      <c r="T25" s="7"/>
      <c r="U25" s="7"/>
    </row>
    <row r="26" spans="1:21" ht="20.25" customHeight="1">
      <c r="A26" s="46">
        <v>7</v>
      </c>
      <c r="B26" s="46">
        <v>8</v>
      </c>
      <c r="C26" s="382">
        <v>27</v>
      </c>
      <c r="D26" s="383"/>
      <c r="E26" s="394" t="s">
        <v>131</v>
      </c>
      <c r="F26" s="383"/>
      <c r="G26" s="46">
        <v>2</v>
      </c>
      <c r="H26" s="46">
        <v>52</v>
      </c>
      <c r="I26" s="384">
        <v>104</v>
      </c>
      <c r="J26" s="385"/>
      <c r="K26" s="46">
        <v>60</v>
      </c>
      <c r="L26" s="46">
        <v>30</v>
      </c>
      <c r="M26" s="46">
        <v>40</v>
      </c>
      <c r="N26" s="65">
        <v>0.14399999999999999</v>
      </c>
      <c r="O26" s="382">
        <v>23.8</v>
      </c>
      <c r="P26" s="383"/>
      <c r="Q26" s="7"/>
      <c r="R26" s="7"/>
      <c r="S26" s="7"/>
      <c r="T26" s="7"/>
      <c r="U26" s="7"/>
    </row>
    <row r="27" spans="1:21" ht="20.25" customHeight="1">
      <c r="A27" s="46"/>
      <c r="B27" s="46">
        <v>9</v>
      </c>
      <c r="C27" s="382">
        <v>27</v>
      </c>
      <c r="D27" s="383"/>
      <c r="E27" s="394" t="s">
        <v>131</v>
      </c>
      <c r="F27" s="383"/>
      <c r="G27" s="46">
        <v>1</v>
      </c>
      <c r="H27" s="46">
        <v>24</v>
      </c>
      <c r="I27" s="384">
        <v>24</v>
      </c>
      <c r="J27" s="385"/>
      <c r="K27" s="46">
        <v>60</v>
      </c>
      <c r="L27" s="46">
        <v>30</v>
      </c>
      <c r="M27" s="46">
        <v>30</v>
      </c>
      <c r="N27" s="65">
        <v>5.3999999999999999E-2</v>
      </c>
      <c r="O27" s="382">
        <v>6.2</v>
      </c>
      <c r="P27" s="383"/>
      <c r="Q27" s="7"/>
      <c r="R27" s="7"/>
      <c r="S27" s="7"/>
      <c r="T27" s="7"/>
      <c r="U27" s="7"/>
    </row>
    <row r="28" spans="1:21" ht="20.25" customHeight="1">
      <c r="A28" s="46">
        <v>10</v>
      </c>
      <c r="B28" s="46">
        <v>11</v>
      </c>
      <c r="C28" s="382">
        <v>28</v>
      </c>
      <c r="D28" s="383"/>
      <c r="E28" s="394" t="s">
        <v>132</v>
      </c>
      <c r="F28" s="383"/>
      <c r="G28" s="46">
        <v>2</v>
      </c>
      <c r="H28" s="46">
        <v>50</v>
      </c>
      <c r="I28" s="384">
        <v>100</v>
      </c>
      <c r="J28" s="385"/>
      <c r="K28" s="46">
        <v>60</v>
      </c>
      <c r="L28" s="46">
        <v>30</v>
      </c>
      <c r="M28" s="46">
        <v>40</v>
      </c>
      <c r="N28" s="65">
        <v>0.14399999999999999</v>
      </c>
      <c r="O28" s="382">
        <v>24.2</v>
      </c>
      <c r="P28" s="383"/>
      <c r="Q28" s="7"/>
      <c r="R28" s="7"/>
      <c r="S28" s="7"/>
      <c r="T28" s="7"/>
      <c r="U28" s="7"/>
    </row>
    <row r="29" spans="1:21" ht="20.25" customHeight="1">
      <c r="A29" s="46"/>
      <c r="B29" s="46">
        <v>12</v>
      </c>
      <c r="C29" s="382">
        <v>28</v>
      </c>
      <c r="D29" s="383"/>
      <c r="E29" s="394" t="s">
        <v>132</v>
      </c>
      <c r="F29" s="383"/>
      <c r="G29" s="46">
        <v>1</v>
      </c>
      <c r="H29" s="46">
        <v>30</v>
      </c>
      <c r="I29" s="384">
        <v>30</v>
      </c>
      <c r="J29" s="385"/>
      <c r="K29" s="46">
        <v>60</v>
      </c>
      <c r="L29" s="46">
        <v>30</v>
      </c>
      <c r="M29" s="46">
        <v>30</v>
      </c>
      <c r="N29" s="65">
        <v>5.3999999999999999E-2</v>
      </c>
      <c r="O29" s="382">
        <v>7.8</v>
      </c>
      <c r="P29" s="383"/>
      <c r="Q29" s="7"/>
      <c r="R29" s="7"/>
      <c r="S29" s="7"/>
      <c r="T29" s="7"/>
      <c r="U29" s="7"/>
    </row>
    <row r="30" spans="1:21" ht="20.25" customHeight="1">
      <c r="A30" s="46"/>
      <c r="B30" s="46">
        <v>13</v>
      </c>
      <c r="C30" s="382">
        <v>30</v>
      </c>
      <c r="D30" s="383"/>
      <c r="E30" s="394" t="s">
        <v>154</v>
      </c>
      <c r="F30" s="383"/>
      <c r="G30" s="46">
        <v>1</v>
      </c>
      <c r="H30" s="46">
        <v>46</v>
      </c>
      <c r="I30" s="384">
        <v>46</v>
      </c>
      <c r="J30" s="385"/>
      <c r="K30" s="46">
        <v>60</v>
      </c>
      <c r="L30" s="46">
        <v>30</v>
      </c>
      <c r="M30" s="46">
        <v>40</v>
      </c>
      <c r="N30" s="65">
        <v>7.1999999999999995E-2</v>
      </c>
      <c r="O30" s="382">
        <v>12</v>
      </c>
      <c r="P30" s="383"/>
      <c r="Q30" s="7"/>
      <c r="R30" s="7"/>
      <c r="S30" s="7"/>
      <c r="T30" s="7"/>
      <c r="U30" s="7"/>
    </row>
    <row r="31" spans="1:21" ht="20.25" customHeight="1">
      <c r="A31" s="46"/>
      <c r="B31" s="46"/>
      <c r="C31" s="382"/>
      <c r="D31" s="383"/>
      <c r="E31" s="382"/>
      <c r="F31" s="383"/>
      <c r="G31" s="46"/>
      <c r="H31" s="46"/>
      <c r="I31" s="384"/>
      <c r="J31" s="385"/>
      <c r="K31" s="46"/>
      <c r="L31" s="46"/>
      <c r="M31" s="46"/>
      <c r="N31" s="65"/>
      <c r="O31" s="382"/>
      <c r="P31" s="383"/>
      <c r="Q31" s="7"/>
      <c r="R31" s="7"/>
      <c r="S31" s="7"/>
      <c r="T31" s="7"/>
      <c r="U31" s="7"/>
    </row>
    <row r="32" spans="1:21" ht="20.25" customHeight="1">
      <c r="A32" s="46"/>
      <c r="B32" s="46"/>
      <c r="C32" s="382"/>
      <c r="D32" s="383"/>
      <c r="E32" s="394"/>
      <c r="F32" s="383"/>
      <c r="G32" s="46"/>
      <c r="H32" s="46"/>
      <c r="I32" s="384"/>
      <c r="J32" s="385"/>
      <c r="K32" s="46"/>
      <c r="L32" s="46"/>
      <c r="M32" s="46"/>
      <c r="N32" s="65"/>
      <c r="O32" s="382"/>
      <c r="P32" s="383"/>
      <c r="Q32" s="7"/>
      <c r="R32" s="7"/>
      <c r="S32" s="7"/>
      <c r="T32" s="7"/>
      <c r="U32" s="7"/>
    </row>
    <row r="33" spans="1:21" ht="20.25" customHeight="1">
      <c r="A33" s="46"/>
      <c r="B33" s="46"/>
      <c r="C33" s="382"/>
      <c r="D33" s="383"/>
      <c r="E33" s="394"/>
      <c r="F33" s="383"/>
      <c r="G33" s="46"/>
      <c r="H33" s="46"/>
      <c r="I33" s="384"/>
      <c r="J33" s="385"/>
      <c r="K33" s="46"/>
      <c r="L33" s="46"/>
      <c r="M33" s="46"/>
      <c r="N33" s="65"/>
      <c r="O33" s="382"/>
      <c r="P33" s="383"/>
      <c r="Q33" s="7"/>
      <c r="R33" s="7"/>
      <c r="S33" s="7"/>
      <c r="T33" s="7"/>
      <c r="U33" s="7"/>
    </row>
    <row r="34" spans="1:21" ht="20.25" customHeight="1">
      <c r="A34" s="46"/>
      <c r="B34" s="46"/>
      <c r="C34" s="382"/>
      <c r="D34" s="383"/>
      <c r="E34" s="382"/>
      <c r="F34" s="383"/>
      <c r="G34" s="46"/>
      <c r="H34" s="46"/>
      <c r="I34" s="384"/>
      <c r="J34" s="385"/>
      <c r="K34" s="46"/>
      <c r="L34" s="46"/>
      <c r="M34" s="46"/>
      <c r="N34" s="65"/>
      <c r="O34" s="382"/>
      <c r="P34" s="383"/>
      <c r="Q34" s="7"/>
      <c r="R34" s="7"/>
      <c r="S34" s="7"/>
      <c r="T34" s="7"/>
      <c r="U34" s="7"/>
    </row>
    <row r="35" spans="1:21" ht="20.25" customHeight="1">
      <c r="A35" s="46"/>
      <c r="B35" s="46"/>
      <c r="C35" s="382"/>
      <c r="D35" s="383"/>
      <c r="E35" s="382"/>
      <c r="F35" s="383"/>
      <c r="G35" s="46"/>
      <c r="H35" s="46"/>
      <c r="I35" s="384"/>
      <c r="J35" s="385"/>
      <c r="K35" s="46"/>
      <c r="L35" s="46"/>
      <c r="M35" s="46"/>
      <c r="N35" s="65"/>
      <c r="O35" s="382"/>
      <c r="P35" s="383"/>
      <c r="Q35" s="7"/>
      <c r="R35" s="7"/>
      <c r="S35" s="7"/>
      <c r="T35" s="7"/>
      <c r="U35" s="7"/>
    </row>
    <row r="36" spans="1:21" ht="20.25" customHeight="1">
      <c r="A36" s="46"/>
      <c r="B36" s="46"/>
      <c r="C36" s="382"/>
      <c r="D36" s="383"/>
      <c r="E36" s="382"/>
      <c r="F36" s="383"/>
      <c r="G36" s="46"/>
      <c r="H36" s="46"/>
      <c r="I36" s="384"/>
      <c r="J36" s="385"/>
      <c r="K36" s="46"/>
      <c r="L36" s="46"/>
      <c r="M36" s="46"/>
      <c r="N36" s="65"/>
      <c r="O36" s="382"/>
      <c r="P36" s="383"/>
      <c r="Q36" s="7"/>
      <c r="R36" s="7"/>
      <c r="S36" s="7"/>
      <c r="T36" s="7"/>
      <c r="U36" s="7"/>
    </row>
    <row r="37" spans="1:21" ht="20.25" customHeight="1">
      <c r="A37" s="46"/>
      <c r="B37" s="46"/>
      <c r="C37" s="382"/>
      <c r="D37" s="383"/>
      <c r="E37" s="382"/>
      <c r="F37" s="383"/>
      <c r="G37" s="46"/>
      <c r="H37" s="46"/>
      <c r="I37" s="384"/>
      <c r="J37" s="385"/>
      <c r="K37" s="46"/>
      <c r="L37" s="46"/>
      <c r="M37" s="46"/>
      <c r="N37" s="65"/>
      <c r="O37" s="382"/>
      <c r="P37" s="383"/>
      <c r="Q37" s="7"/>
      <c r="R37" s="7"/>
      <c r="S37" s="7"/>
      <c r="T37" s="7"/>
      <c r="U37" s="7"/>
    </row>
    <row r="38" spans="1:21" ht="20.25" customHeight="1">
      <c r="A38" s="46"/>
      <c r="B38" s="46"/>
      <c r="C38" s="382"/>
      <c r="D38" s="383"/>
      <c r="E38" s="382"/>
      <c r="F38" s="383"/>
      <c r="G38" s="46"/>
      <c r="H38" s="46"/>
      <c r="I38" s="384"/>
      <c r="J38" s="385"/>
      <c r="K38" s="46"/>
      <c r="L38" s="46"/>
      <c r="M38" s="46"/>
      <c r="N38" s="65"/>
      <c r="O38" s="382"/>
      <c r="P38" s="383"/>
      <c r="Q38" s="7"/>
      <c r="R38" s="7"/>
      <c r="S38" s="7"/>
      <c r="T38" s="7"/>
      <c r="U38" s="7"/>
    </row>
    <row r="39" spans="1:21" ht="20.25" customHeight="1">
      <c r="A39" s="46"/>
      <c r="B39" s="46"/>
      <c r="C39" s="382"/>
      <c r="D39" s="383"/>
      <c r="E39" s="382"/>
      <c r="F39" s="383"/>
      <c r="G39" s="46"/>
      <c r="H39" s="46"/>
      <c r="I39" s="384"/>
      <c r="J39" s="385"/>
      <c r="K39" s="46"/>
      <c r="L39" s="46"/>
      <c r="M39" s="46"/>
      <c r="N39" s="65"/>
      <c r="O39" s="382"/>
      <c r="P39" s="383"/>
      <c r="Q39" s="7"/>
      <c r="R39" s="7"/>
      <c r="S39" s="7"/>
      <c r="T39" s="7"/>
      <c r="U39" s="7"/>
    </row>
    <row r="40" spans="1:21" ht="20.25" customHeight="1">
      <c r="A40" s="46"/>
      <c r="B40" s="46"/>
      <c r="C40" s="382"/>
      <c r="D40" s="383"/>
      <c r="E40" s="382"/>
      <c r="F40" s="383"/>
      <c r="G40" s="46"/>
      <c r="H40" s="46"/>
      <c r="I40" s="384"/>
      <c r="J40" s="385"/>
      <c r="K40" s="46"/>
      <c r="L40" s="46"/>
      <c r="M40" s="46"/>
      <c r="N40" s="65"/>
      <c r="O40" s="382"/>
      <c r="P40" s="383"/>
      <c r="Q40" s="7"/>
      <c r="R40" s="7"/>
      <c r="S40" s="7"/>
      <c r="T40" s="7"/>
      <c r="U40" s="7"/>
    </row>
    <row r="41" spans="1:21" ht="20.25" customHeight="1">
      <c r="A41" s="46"/>
      <c r="B41" s="46"/>
      <c r="C41" s="382"/>
      <c r="D41" s="383"/>
      <c r="E41" s="382"/>
      <c r="F41" s="383"/>
      <c r="G41" s="46"/>
      <c r="H41" s="46"/>
      <c r="I41" s="384"/>
      <c r="J41" s="385"/>
      <c r="K41" s="46"/>
      <c r="L41" s="46"/>
      <c r="M41" s="46"/>
      <c r="N41" s="65"/>
      <c r="O41" s="382"/>
      <c r="P41" s="383"/>
      <c r="Q41" s="7"/>
      <c r="R41" s="7"/>
      <c r="S41" s="7"/>
      <c r="T41" s="7"/>
      <c r="U41" s="7"/>
    </row>
    <row r="42" spans="1:21" ht="20.25" customHeight="1">
      <c r="A42" s="46"/>
      <c r="B42" s="46"/>
      <c r="C42" s="382"/>
      <c r="D42" s="383"/>
      <c r="E42" s="382"/>
      <c r="F42" s="383"/>
      <c r="G42" s="46"/>
      <c r="H42" s="46"/>
      <c r="I42" s="384"/>
      <c r="J42" s="385"/>
      <c r="K42" s="46"/>
      <c r="L42" s="46"/>
      <c r="M42" s="46"/>
      <c r="N42" s="65"/>
      <c r="O42" s="382"/>
      <c r="P42" s="383"/>
      <c r="Q42" s="7"/>
      <c r="R42" s="7"/>
      <c r="S42" s="7"/>
      <c r="T42" s="7"/>
      <c r="U42" s="7"/>
    </row>
    <row r="43" spans="1:21" ht="20.25" customHeight="1">
      <c r="A43" s="46"/>
      <c r="B43" s="46"/>
      <c r="C43" s="382"/>
      <c r="D43" s="383"/>
      <c r="E43" s="382"/>
      <c r="F43" s="383"/>
      <c r="G43" s="46"/>
      <c r="H43" s="46"/>
      <c r="I43" s="384"/>
      <c r="J43" s="385"/>
      <c r="K43" s="46"/>
      <c r="L43" s="46"/>
      <c r="M43" s="46"/>
      <c r="N43" s="65"/>
      <c r="O43" s="382"/>
      <c r="P43" s="383"/>
      <c r="Q43" s="7"/>
      <c r="R43" s="7"/>
      <c r="S43" s="7"/>
      <c r="T43" s="7"/>
      <c r="U43" s="7"/>
    </row>
    <row r="44" spans="1:21" ht="20.25" customHeight="1">
      <c r="A44" s="46"/>
      <c r="B44" s="46"/>
      <c r="C44" s="382"/>
      <c r="D44" s="383"/>
      <c r="E44" s="382"/>
      <c r="F44" s="383"/>
      <c r="G44" s="46"/>
      <c r="H44" s="46"/>
      <c r="I44" s="384"/>
      <c r="J44" s="385"/>
      <c r="K44" s="46"/>
      <c r="L44" s="46"/>
      <c r="M44" s="46"/>
      <c r="N44" s="65"/>
      <c r="O44" s="382"/>
      <c r="P44" s="383"/>
      <c r="Q44" s="7"/>
      <c r="R44" s="7"/>
      <c r="S44" s="7"/>
      <c r="T44" s="7"/>
      <c r="U44" s="7"/>
    </row>
    <row r="45" spans="1:21" ht="20.25" customHeight="1">
      <c r="A45" s="46"/>
      <c r="B45" s="46"/>
      <c r="C45" s="382"/>
      <c r="D45" s="383"/>
      <c r="E45" s="382"/>
      <c r="F45" s="383"/>
      <c r="G45" s="46"/>
      <c r="H45" s="46"/>
      <c r="I45" s="384"/>
      <c r="J45" s="385"/>
      <c r="K45" s="46"/>
      <c r="L45" s="46"/>
      <c r="M45" s="46"/>
      <c r="N45" s="65"/>
      <c r="O45" s="382"/>
      <c r="P45" s="383"/>
      <c r="Q45" s="7"/>
      <c r="R45" s="7"/>
      <c r="S45" s="7"/>
      <c r="T45" s="7"/>
      <c r="U45" s="7"/>
    </row>
    <row r="46" spans="1:21" ht="20.25" customHeight="1">
      <c r="A46" s="46"/>
      <c r="B46" s="46"/>
      <c r="C46" s="382"/>
      <c r="D46" s="383"/>
      <c r="E46" s="382"/>
      <c r="F46" s="383"/>
      <c r="G46" s="46"/>
      <c r="H46" s="46"/>
      <c r="I46" s="384"/>
      <c r="J46" s="385"/>
      <c r="K46" s="46"/>
      <c r="L46" s="46"/>
      <c r="M46" s="46"/>
      <c r="N46" s="65"/>
      <c r="O46" s="382"/>
      <c r="P46" s="383"/>
      <c r="Q46" s="7"/>
      <c r="R46" s="7"/>
      <c r="S46" s="7"/>
      <c r="T46" s="7"/>
      <c r="U46" s="7"/>
    </row>
    <row r="47" spans="1:21" ht="20.25" customHeight="1">
      <c r="A47" s="46"/>
      <c r="B47" s="46"/>
      <c r="C47" s="382"/>
      <c r="D47" s="383"/>
      <c r="E47" s="382"/>
      <c r="F47" s="383"/>
      <c r="G47" s="46"/>
      <c r="H47" s="46"/>
      <c r="I47" s="384"/>
      <c r="J47" s="385"/>
      <c r="K47" s="46"/>
      <c r="L47" s="46"/>
      <c r="M47" s="46"/>
      <c r="N47" s="65"/>
      <c r="O47" s="382"/>
      <c r="P47" s="383"/>
      <c r="Q47" s="7"/>
      <c r="R47" s="7"/>
      <c r="S47" s="7"/>
      <c r="T47" s="7"/>
      <c r="U47" s="7"/>
    </row>
    <row r="48" spans="1:21" ht="20.25" customHeight="1">
      <c r="A48" s="46"/>
      <c r="B48" s="46"/>
      <c r="C48" s="382"/>
      <c r="D48" s="383"/>
      <c r="E48" s="382"/>
      <c r="F48" s="383"/>
      <c r="G48" s="46"/>
      <c r="H48" s="46"/>
      <c r="I48" s="384"/>
      <c r="J48" s="385"/>
      <c r="K48" s="46"/>
      <c r="L48" s="46"/>
      <c r="M48" s="46"/>
      <c r="N48" s="65"/>
      <c r="O48" s="382"/>
      <c r="P48" s="383"/>
      <c r="Q48" s="7"/>
      <c r="R48" s="7"/>
      <c r="S48" s="7"/>
      <c r="T48" s="7"/>
      <c r="U48" s="7"/>
    </row>
    <row r="49" spans="1:21" ht="20.25" customHeight="1">
      <c r="A49" s="46"/>
      <c r="B49" s="46"/>
      <c r="C49" s="382"/>
      <c r="D49" s="383"/>
      <c r="E49" s="382"/>
      <c r="F49" s="383"/>
      <c r="G49" s="46"/>
      <c r="H49" s="46"/>
      <c r="I49" s="384"/>
      <c r="J49" s="385"/>
      <c r="K49" s="46"/>
      <c r="L49" s="46"/>
      <c r="M49" s="46"/>
      <c r="N49" s="65"/>
      <c r="O49" s="382"/>
      <c r="P49" s="383"/>
      <c r="Q49" s="11"/>
      <c r="R49" s="11"/>
      <c r="S49" s="11"/>
      <c r="T49" s="11"/>
      <c r="U49" s="11"/>
    </row>
    <row r="50" spans="1:21" ht="15">
      <c r="A50" s="11"/>
      <c r="B50" s="11"/>
      <c r="C50" s="11"/>
      <c r="D50" s="64"/>
      <c r="E50" s="64"/>
      <c r="F50" s="64"/>
      <c r="G50" s="51"/>
      <c r="H50" s="11"/>
      <c r="I50" s="393"/>
      <c r="J50" s="393"/>
      <c r="K50" s="11"/>
      <c r="L50" s="11"/>
      <c r="M50" s="11"/>
      <c r="N50" s="81"/>
      <c r="O50" s="247"/>
      <c r="P50" s="247"/>
      <c r="Q50" s="11"/>
      <c r="R50" s="11"/>
      <c r="S50" s="11"/>
      <c r="T50" s="11"/>
      <c r="U50" s="11"/>
    </row>
    <row r="51" spans="1:21">
      <c r="A51" s="52" t="s">
        <v>60</v>
      </c>
      <c r="D51" s="64"/>
      <c r="E51" s="64"/>
      <c r="F51" s="64"/>
      <c r="G51" s="46">
        <f>SUM(G24:G50)</f>
        <v>13</v>
      </c>
      <c r="H51" s="11"/>
      <c r="I51" s="387">
        <f>SUM(I24:J50)</f>
        <v>631</v>
      </c>
      <c r="J51" s="388"/>
      <c r="K51" s="11"/>
      <c r="M51" s="11"/>
      <c r="N51" s="97">
        <f>SUM(N24:N50)</f>
        <v>0.88200000000000001</v>
      </c>
      <c r="O51" s="389">
        <f>SUM(O24:P50)</f>
        <v>144.30000000000001</v>
      </c>
      <c r="P51" s="389"/>
      <c r="R51" s="11"/>
      <c r="S51" s="11"/>
      <c r="T51" s="11"/>
      <c r="U51" s="11"/>
    </row>
    <row r="52" spans="1:21" ht="15">
      <c r="A52" s="11"/>
      <c r="B52" s="11"/>
      <c r="C52" s="11"/>
      <c r="D52" s="64"/>
      <c r="E52" s="64"/>
      <c r="F52" s="64"/>
      <c r="G52" s="64" t="s">
        <v>61</v>
      </c>
      <c r="H52" s="64"/>
      <c r="I52" s="390" t="s">
        <v>62</v>
      </c>
      <c r="J52" s="390"/>
      <c r="K52" s="64"/>
      <c r="M52" s="64"/>
      <c r="N52" s="69" t="s">
        <v>63</v>
      </c>
      <c r="O52" s="390" t="s">
        <v>64</v>
      </c>
      <c r="P52" s="390"/>
      <c r="R52" s="11"/>
      <c r="S52" s="11"/>
      <c r="T52" s="11"/>
      <c r="U52" s="11"/>
    </row>
    <row r="53" spans="1:21" ht="15">
      <c r="A53" s="11"/>
      <c r="B53" s="11"/>
      <c r="C53" s="11"/>
      <c r="D53" s="64"/>
      <c r="E53" s="64"/>
      <c r="F53" s="64"/>
      <c r="G53" s="64"/>
      <c r="H53" s="64"/>
      <c r="I53" s="69"/>
      <c r="J53" s="69"/>
      <c r="K53" s="64"/>
      <c r="M53" s="64"/>
      <c r="N53" s="69"/>
      <c r="O53" s="69"/>
      <c r="P53" s="69"/>
      <c r="R53" s="11"/>
      <c r="S53" s="11"/>
      <c r="T53" s="11"/>
      <c r="U53" s="11"/>
    </row>
    <row r="54" spans="1:21" ht="15">
      <c r="A54" s="391" t="s">
        <v>65</v>
      </c>
      <c r="B54" s="392"/>
      <c r="C54" s="392"/>
      <c r="D54" s="392"/>
      <c r="E54" s="392"/>
      <c r="F54" s="392"/>
      <c r="G54" s="392"/>
      <c r="H54" s="392"/>
      <c r="I54" s="392"/>
      <c r="J54" s="392"/>
      <c r="K54" s="392"/>
      <c r="L54" s="70"/>
      <c r="M54" s="70"/>
      <c r="N54" s="70"/>
      <c r="O54" s="70"/>
      <c r="P54" s="70"/>
      <c r="Q54" s="70"/>
      <c r="R54" s="70"/>
      <c r="S54" s="11"/>
      <c r="T54" s="11"/>
      <c r="U54" s="11"/>
    </row>
    <row r="55" spans="1:21" ht="15.75" customHeight="1">
      <c r="A55" s="391" t="s">
        <v>66</v>
      </c>
      <c r="B55" s="392"/>
      <c r="C55" s="392"/>
      <c r="D55" s="392"/>
      <c r="E55" s="392"/>
      <c r="F55" s="392"/>
      <c r="G55" s="392"/>
      <c r="H55" s="392"/>
      <c r="I55" s="392"/>
      <c r="J55" s="392"/>
      <c r="K55" s="392"/>
      <c r="L55" s="392"/>
      <c r="M55" s="392"/>
      <c r="N55" s="392"/>
      <c r="O55" s="392"/>
      <c r="P55" s="392"/>
      <c r="Q55" s="392"/>
      <c r="R55" s="392"/>
    </row>
    <row r="56" spans="1:21" ht="15.75" customHeight="1">
      <c r="A56" s="67"/>
      <c r="B56" s="68"/>
      <c r="C56" s="68"/>
      <c r="D56" s="68"/>
      <c r="E56" s="68"/>
      <c r="F56" s="68"/>
      <c r="G56" s="68"/>
      <c r="H56" s="68"/>
      <c r="I56" s="68"/>
      <c r="J56" s="68"/>
      <c r="K56" s="68"/>
      <c r="L56" s="68"/>
      <c r="M56" s="68"/>
      <c r="N56" s="68"/>
      <c r="O56" s="68"/>
      <c r="P56" s="68"/>
      <c r="Q56" s="68"/>
      <c r="R56" s="68"/>
    </row>
    <row r="57" spans="1:21" s="49" customFormat="1" ht="21" customHeight="1">
      <c r="A57" s="55" t="s">
        <v>67</v>
      </c>
      <c r="B57" s="56" t="s">
        <v>155</v>
      </c>
      <c r="C57" s="56" t="s">
        <v>156</v>
      </c>
      <c r="D57" s="56" t="s">
        <v>157</v>
      </c>
      <c r="E57" s="56" t="s">
        <v>133</v>
      </c>
      <c r="F57" s="56"/>
      <c r="G57" s="56"/>
      <c r="H57" s="56"/>
      <c r="I57" s="56"/>
      <c r="J57" s="56"/>
      <c r="K57" s="56"/>
      <c r="L57" s="56"/>
      <c r="M57" s="56"/>
      <c r="N57" s="56"/>
      <c r="O57" s="56"/>
      <c r="P57" s="57" t="s">
        <v>68</v>
      </c>
      <c r="Q57" s="48"/>
      <c r="R57" s="48"/>
      <c r="S57" s="48"/>
    </row>
    <row r="58" spans="1:21" ht="19.5" customHeight="1">
      <c r="A58" s="109" t="s">
        <v>69</v>
      </c>
      <c r="B58" s="110">
        <v>320</v>
      </c>
      <c r="C58" s="110">
        <v>125</v>
      </c>
      <c r="D58" s="110">
        <v>125</v>
      </c>
      <c r="E58" s="110">
        <v>45</v>
      </c>
      <c r="F58" s="110"/>
      <c r="G58" s="110"/>
      <c r="H58" s="110"/>
      <c r="I58" s="110"/>
      <c r="J58" s="110"/>
      <c r="K58" s="110"/>
      <c r="L58" s="110"/>
      <c r="M58" s="110"/>
      <c r="N58" s="110"/>
      <c r="O58" s="110"/>
      <c r="P58" s="57">
        <f>SUM(A58:O58)</f>
        <v>615</v>
      </c>
      <c r="Q58" s="6"/>
      <c r="R58" s="6"/>
      <c r="S58" s="6"/>
    </row>
    <row r="59" spans="1:21" ht="18" customHeight="1">
      <c r="A59" s="109" t="s">
        <v>70</v>
      </c>
      <c r="B59" s="110">
        <v>327</v>
      </c>
      <c r="C59" s="110">
        <v>128</v>
      </c>
      <c r="D59" s="110">
        <v>130</v>
      </c>
      <c r="E59" s="110">
        <v>46</v>
      </c>
      <c r="F59" s="110"/>
      <c r="G59" s="110"/>
      <c r="H59" s="110"/>
      <c r="I59" s="110"/>
      <c r="J59" s="110"/>
      <c r="K59" s="110"/>
      <c r="L59" s="110"/>
      <c r="M59" s="110"/>
      <c r="N59" s="110"/>
      <c r="O59" s="110"/>
      <c r="P59" s="57">
        <f>SUM(A59:O59)</f>
        <v>631</v>
      </c>
      <c r="Q59" s="6"/>
      <c r="R59" s="6"/>
      <c r="S59" s="6"/>
    </row>
    <row r="60" spans="1:21" ht="18.75" customHeight="1">
      <c r="A60" s="86" t="s">
        <v>71</v>
      </c>
      <c r="B60" s="87">
        <f>B59-B58</f>
        <v>7</v>
      </c>
      <c r="C60" s="87">
        <f>C59-C58</f>
        <v>3</v>
      </c>
      <c r="D60" s="87">
        <f t="shared" ref="D60:O60" si="0">D59-D58</f>
        <v>5</v>
      </c>
      <c r="E60" s="87">
        <f t="shared" si="0"/>
        <v>1</v>
      </c>
      <c r="F60" s="87">
        <f t="shared" si="0"/>
        <v>0</v>
      </c>
      <c r="G60" s="87">
        <f t="shared" si="0"/>
        <v>0</v>
      </c>
      <c r="H60" s="87">
        <f t="shared" si="0"/>
        <v>0</v>
      </c>
      <c r="I60" s="87">
        <f t="shared" si="0"/>
        <v>0</v>
      </c>
      <c r="J60" s="87">
        <f t="shared" si="0"/>
        <v>0</v>
      </c>
      <c r="K60" s="87">
        <f t="shared" si="0"/>
        <v>0</v>
      </c>
      <c r="L60" s="87">
        <f t="shared" si="0"/>
        <v>0</v>
      </c>
      <c r="M60" s="87">
        <f t="shared" si="0"/>
        <v>0</v>
      </c>
      <c r="N60" s="87">
        <f t="shared" si="0"/>
        <v>0</v>
      </c>
      <c r="O60" s="87">
        <f t="shared" si="0"/>
        <v>0</v>
      </c>
      <c r="P60" s="88">
        <f>SUM(A60:O60)</f>
        <v>16</v>
      </c>
      <c r="Q60" s="6"/>
      <c r="R60" s="6"/>
      <c r="S60" s="6"/>
    </row>
    <row r="61" spans="1:21" ht="18" customHeight="1">
      <c r="A61" s="86" t="s">
        <v>72</v>
      </c>
      <c r="B61" s="89">
        <f>B60/B58</f>
        <v>2.1874999999999999E-2</v>
      </c>
      <c r="C61" s="89">
        <f>C60/C58</f>
        <v>2.4E-2</v>
      </c>
      <c r="D61" s="89">
        <f t="shared" ref="D61:P61" si="1">D60/D58</f>
        <v>0.04</v>
      </c>
      <c r="E61" s="89">
        <f t="shared" si="1"/>
        <v>2.2222222222222223E-2</v>
      </c>
      <c r="F61" s="89" t="e">
        <f t="shared" si="1"/>
        <v>#DIV/0!</v>
      </c>
      <c r="G61" s="89" t="e">
        <f t="shared" si="1"/>
        <v>#DIV/0!</v>
      </c>
      <c r="H61" s="89" t="e">
        <f t="shared" si="1"/>
        <v>#DIV/0!</v>
      </c>
      <c r="I61" s="89" t="e">
        <f t="shared" si="1"/>
        <v>#DIV/0!</v>
      </c>
      <c r="J61" s="89" t="e">
        <f t="shared" si="1"/>
        <v>#DIV/0!</v>
      </c>
      <c r="K61" s="89" t="e">
        <f t="shared" si="1"/>
        <v>#DIV/0!</v>
      </c>
      <c r="L61" s="89" t="e">
        <f t="shared" si="1"/>
        <v>#DIV/0!</v>
      </c>
      <c r="M61" s="89" t="e">
        <f t="shared" si="1"/>
        <v>#DIV/0!</v>
      </c>
      <c r="N61" s="89" t="e">
        <f t="shared" si="1"/>
        <v>#DIV/0!</v>
      </c>
      <c r="O61" s="89" t="e">
        <f t="shared" si="1"/>
        <v>#DIV/0!</v>
      </c>
      <c r="P61" s="90">
        <f t="shared" si="1"/>
        <v>2.6016260162601626E-2</v>
      </c>
      <c r="Q61" s="6"/>
      <c r="R61" s="6"/>
      <c r="S61" s="6"/>
    </row>
    <row r="62" spans="1:21" ht="18" customHeight="1">
      <c r="A62" s="98"/>
      <c r="B62" s="99"/>
      <c r="C62" s="99"/>
      <c r="D62" s="99"/>
      <c r="E62" s="99"/>
      <c r="F62" s="99"/>
      <c r="G62" s="99"/>
      <c r="H62" s="99"/>
      <c r="I62" s="99"/>
      <c r="J62" s="99"/>
      <c r="K62" s="99"/>
      <c r="L62" s="99"/>
      <c r="M62" s="99"/>
      <c r="N62" s="99"/>
      <c r="O62" s="99"/>
      <c r="P62" s="100"/>
      <c r="Q62" s="6"/>
      <c r="R62" s="6"/>
      <c r="S62" s="6"/>
    </row>
    <row r="63" spans="1:21" ht="18" hidden="1" customHeight="1">
      <c r="A63" s="55" t="s">
        <v>67</v>
      </c>
      <c r="B63" s="56"/>
      <c r="C63" s="56"/>
      <c r="D63" s="56"/>
      <c r="E63" s="56"/>
      <c r="F63" s="56"/>
      <c r="G63" s="56"/>
      <c r="H63" s="56"/>
      <c r="I63" s="56"/>
      <c r="J63" s="56"/>
      <c r="K63" s="56"/>
      <c r="L63" s="56"/>
      <c r="M63" s="56"/>
      <c r="N63" s="56"/>
      <c r="O63" s="56"/>
      <c r="P63" s="57" t="s">
        <v>68</v>
      </c>
      <c r="Q63" s="6"/>
      <c r="R63" s="6"/>
      <c r="S63" s="6"/>
    </row>
    <row r="64" spans="1:21" ht="18" hidden="1" customHeight="1">
      <c r="A64" s="109" t="s">
        <v>69</v>
      </c>
      <c r="B64" s="110"/>
      <c r="C64" s="110"/>
      <c r="D64" s="110"/>
      <c r="E64" s="110"/>
      <c r="F64" s="110"/>
      <c r="G64" s="110"/>
      <c r="H64" s="110"/>
      <c r="I64" s="110"/>
      <c r="J64" s="110"/>
      <c r="K64" s="110"/>
      <c r="L64" s="110"/>
      <c r="M64" s="110"/>
      <c r="N64" s="110"/>
      <c r="O64" s="110"/>
      <c r="P64" s="57">
        <f>SUM(A64:O64)</f>
        <v>0</v>
      </c>
      <c r="Q64" s="6"/>
      <c r="R64" s="6"/>
      <c r="S64" s="6"/>
    </row>
    <row r="65" spans="1:30" ht="18" hidden="1" customHeight="1">
      <c r="A65" s="109" t="s">
        <v>70</v>
      </c>
      <c r="B65" s="110"/>
      <c r="C65" s="110"/>
      <c r="D65" s="110"/>
      <c r="E65" s="110"/>
      <c r="F65" s="110"/>
      <c r="G65" s="110"/>
      <c r="H65" s="110"/>
      <c r="I65" s="110"/>
      <c r="J65" s="110"/>
      <c r="K65" s="110"/>
      <c r="L65" s="110"/>
      <c r="M65" s="110"/>
      <c r="N65" s="110"/>
      <c r="O65" s="110"/>
      <c r="P65" s="57">
        <f>SUM(A65:O65)</f>
        <v>0</v>
      </c>
      <c r="Q65" s="6"/>
      <c r="R65" s="6"/>
      <c r="S65" s="6"/>
    </row>
    <row r="66" spans="1:30" ht="18" hidden="1" customHeight="1">
      <c r="A66" s="86" t="s">
        <v>71</v>
      </c>
      <c r="B66" s="87">
        <f>B65-B64</f>
        <v>0</v>
      </c>
      <c r="C66" s="87">
        <f>C65-C64</f>
        <v>0</v>
      </c>
      <c r="D66" s="87">
        <f t="shared" ref="D66:O66" si="2">D65-D64</f>
        <v>0</v>
      </c>
      <c r="E66" s="87">
        <f t="shared" si="2"/>
        <v>0</v>
      </c>
      <c r="F66" s="87">
        <f t="shared" si="2"/>
        <v>0</v>
      </c>
      <c r="G66" s="87">
        <f t="shared" si="2"/>
        <v>0</v>
      </c>
      <c r="H66" s="87">
        <f t="shared" si="2"/>
        <v>0</v>
      </c>
      <c r="I66" s="87">
        <f t="shared" si="2"/>
        <v>0</v>
      </c>
      <c r="J66" s="87">
        <f t="shared" si="2"/>
        <v>0</v>
      </c>
      <c r="K66" s="87">
        <f t="shared" si="2"/>
        <v>0</v>
      </c>
      <c r="L66" s="87">
        <f t="shared" si="2"/>
        <v>0</v>
      </c>
      <c r="M66" s="87">
        <f t="shared" si="2"/>
        <v>0</v>
      </c>
      <c r="N66" s="87">
        <f t="shared" si="2"/>
        <v>0</v>
      </c>
      <c r="O66" s="87">
        <f t="shared" si="2"/>
        <v>0</v>
      </c>
      <c r="P66" s="88">
        <f>SUM(A66:O66)</f>
        <v>0</v>
      </c>
      <c r="Q66" s="6"/>
      <c r="R66" s="6"/>
      <c r="S66" s="6"/>
    </row>
    <row r="67" spans="1:30" ht="18" hidden="1" customHeight="1">
      <c r="A67" s="86" t="s">
        <v>72</v>
      </c>
      <c r="B67" s="89" t="e">
        <f>B66/B64</f>
        <v>#DIV/0!</v>
      </c>
      <c r="C67" s="89" t="e">
        <f>C66/C64</f>
        <v>#DIV/0!</v>
      </c>
      <c r="D67" s="89" t="e">
        <f t="shared" ref="D67:P67" si="3">D66/D64</f>
        <v>#DIV/0!</v>
      </c>
      <c r="E67" s="89" t="e">
        <f t="shared" si="3"/>
        <v>#DIV/0!</v>
      </c>
      <c r="F67" s="89" t="e">
        <f t="shared" si="3"/>
        <v>#DIV/0!</v>
      </c>
      <c r="G67" s="89" t="e">
        <f t="shared" si="3"/>
        <v>#DIV/0!</v>
      </c>
      <c r="H67" s="89" t="e">
        <f t="shared" si="3"/>
        <v>#DIV/0!</v>
      </c>
      <c r="I67" s="89" t="e">
        <f t="shared" si="3"/>
        <v>#DIV/0!</v>
      </c>
      <c r="J67" s="89" t="e">
        <f t="shared" si="3"/>
        <v>#DIV/0!</v>
      </c>
      <c r="K67" s="89" t="e">
        <f t="shared" si="3"/>
        <v>#DIV/0!</v>
      </c>
      <c r="L67" s="89" t="e">
        <f t="shared" si="3"/>
        <v>#DIV/0!</v>
      </c>
      <c r="M67" s="89" t="e">
        <f t="shared" si="3"/>
        <v>#DIV/0!</v>
      </c>
      <c r="N67" s="89" t="e">
        <f t="shared" si="3"/>
        <v>#DIV/0!</v>
      </c>
      <c r="O67" s="89" t="e">
        <f t="shared" si="3"/>
        <v>#DIV/0!</v>
      </c>
      <c r="P67" s="90" t="e">
        <f t="shared" si="3"/>
        <v>#DIV/0!</v>
      </c>
      <c r="Q67" s="6"/>
      <c r="R67" s="6"/>
      <c r="S67" s="6"/>
    </row>
    <row r="68" spans="1:30" ht="18" hidden="1" customHeight="1">
      <c r="A68" s="98"/>
      <c r="B68" s="99"/>
      <c r="C68" s="99"/>
      <c r="D68" s="99"/>
      <c r="E68" s="99"/>
      <c r="F68" s="99"/>
      <c r="G68" s="99"/>
      <c r="H68" s="99"/>
      <c r="I68" s="99"/>
      <c r="J68" s="99"/>
      <c r="K68" s="99"/>
      <c r="L68" s="99"/>
      <c r="M68" s="99"/>
      <c r="N68" s="99"/>
      <c r="O68" s="99"/>
      <c r="P68" s="100"/>
      <c r="Q68" s="6"/>
      <c r="R68" s="6"/>
      <c r="S68" s="6"/>
    </row>
    <row r="69" spans="1:30" ht="18" hidden="1" customHeight="1">
      <c r="A69" s="55" t="s">
        <v>67</v>
      </c>
      <c r="B69" s="56"/>
      <c r="C69" s="56"/>
      <c r="D69" s="56"/>
      <c r="E69" s="56"/>
      <c r="F69" s="56"/>
      <c r="G69" s="56"/>
      <c r="H69" s="56"/>
      <c r="I69" s="56"/>
      <c r="J69" s="56"/>
      <c r="K69" s="56"/>
      <c r="L69" s="56"/>
      <c r="M69" s="56"/>
      <c r="N69" s="56"/>
      <c r="O69" s="56"/>
      <c r="P69" s="57" t="s">
        <v>68</v>
      </c>
      <c r="Q69" s="6"/>
      <c r="R69" s="6"/>
      <c r="S69" s="6"/>
    </row>
    <row r="70" spans="1:30" ht="18" hidden="1" customHeight="1">
      <c r="A70" s="109" t="s">
        <v>69</v>
      </c>
      <c r="B70" s="110"/>
      <c r="C70" s="110"/>
      <c r="D70" s="110"/>
      <c r="E70" s="110"/>
      <c r="F70" s="110"/>
      <c r="G70" s="110"/>
      <c r="H70" s="110"/>
      <c r="I70" s="110"/>
      <c r="J70" s="110"/>
      <c r="K70" s="110"/>
      <c r="L70" s="110"/>
      <c r="M70" s="110"/>
      <c r="N70" s="110"/>
      <c r="O70" s="110"/>
      <c r="P70" s="57">
        <f>SUM(A70:O70)</f>
        <v>0</v>
      </c>
      <c r="Q70" s="6"/>
      <c r="R70" s="6"/>
      <c r="S70" s="6"/>
    </row>
    <row r="71" spans="1:30" ht="18" hidden="1" customHeight="1">
      <c r="A71" s="109" t="s">
        <v>70</v>
      </c>
      <c r="B71" s="110"/>
      <c r="C71" s="110"/>
      <c r="D71" s="110"/>
      <c r="E71" s="110"/>
      <c r="F71" s="110"/>
      <c r="G71" s="110"/>
      <c r="H71" s="110"/>
      <c r="I71" s="110"/>
      <c r="J71" s="110"/>
      <c r="K71" s="110"/>
      <c r="L71" s="110"/>
      <c r="M71" s="110"/>
      <c r="N71" s="110"/>
      <c r="O71" s="110"/>
      <c r="P71" s="57">
        <f>SUM(A71:O71)</f>
        <v>0</v>
      </c>
      <c r="Q71" s="6"/>
      <c r="R71" s="6"/>
      <c r="S71" s="6"/>
    </row>
    <row r="72" spans="1:30" ht="18" hidden="1" customHeight="1">
      <c r="A72" s="86" t="s">
        <v>71</v>
      </c>
      <c r="B72" s="87">
        <f>B71-B70</f>
        <v>0</v>
      </c>
      <c r="C72" s="87">
        <f>C71-C70</f>
        <v>0</v>
      </c>
      <c r="D72" s="87">
        <f t="shared" ref="D72:O72" si="4">D71-D70</f>
        <v>0</v>
      </c>
      <c r="E72" s="87">
        <f t="shared" si="4"/>
        <v>0</v>
      </c>
      <c r="F72" s="87">
        <f t="shared" si="4"/>
        <v>0</v>
      </c>
      <c r="G72" s="87">
        <f t="shared" si="4"/>
        <v>0</v>
      </c>
      <c r="H72" s="87">
        <f t="shared" si="4"/>
        <v>0</v>
      </c>
      <c r="I72" s="87">
        <f t="shared" si="4"/>
        <v>0</v>
      </c>
      <c r="J72" s="87">
        <f t="shared" si="4"/>
        <v>0</v>
      </c>
      <c r="K72" s="87">
        <f t="shared" si="4"/>
        <v>0</v>
      </c>
      <c r="L72" s="87">
        <f t="shared" si="4"/>
        <v>0</v>
      </c>
      <c r="M72" s="87">
        <f t="shared" si="4"/>
        <v>0</v>
      </c>
      <c r="N72" s="87">
        <f t="shared" si="4"/>
        <v>0</v>
      </c>
      <c r="O72" s="87">
        <f t="shared" si="4"/>
        <v>0</v>
      </c>
      <c r="P72" s="88">
        <f>SUM(A72:O72)</f>
        <v>0</v>
      </c>
      <c r="Q72" s="6"/>
      <c r="R72" s="6"/>
      <c r="S72" s="6"/>
    </row>
    <row r="73" spans="1:30" ht="18" hidden="1" customHeight="1">
      <c r="A73" s="86" t="s">
        <v>72</v>
      </c>
      <c r="B73" s="89" t="e">
        <f>B72/B70</f>
        <v>#DIV/0!</v>
      </c>
      <c r="C73" s="89" t="e">
        <f>C72/C70</f>
        <v>#DIV/0!</v>
      </c>
      <c r="D73" s="89" t="e">
        <f t="shared" ref="D73:P73" si="5">D72/D70</f>
        <v>#DIV/0!</v>
      </c>
      <c r="E73" s="89" t="e">
        <f t="shared" si="5"/>
        <v>#DIV/0!</v>
      </c>
      <c r="F73" s="89" t="e">
        <f t="shared" si="5"/>
        <v>#DIV/0!</v>
      </c>
      <c r="G73" s="89" t="e">
        <f t="shared" si="5"/>
        <v>#DIV/0!</v>
      </c>
      <c r="H73" s="89" t="e">
        <f t="shared" si="5"/>
        <v>#DIV/0!</v>
      </c>
      <c r="I73" s="89" t="e">
        <f t="shared" si="5"/>
        <v>#DIV/0!</v>
      </c>
      <c r="J73" s="89" t="e">
        <f t="shared" si="5"/>
        <v>#DIV/0!</v>
      </c>
      <c r="K73" s="89" t="e">
        <f t="shared" si="5"/>
        <v>#DIV/0!</v>
      </c>
      <c r="L73" s="89" t="e">
        <f t="shared" si="5"/>
        <v>#DIV/0!</v>
      </c>
      <c r="M73" s="89" t="e">
        <f t="shared" si="5"/>
        <v>#DIV/0!</v>
      </c>
      <c r="N73" s="89" t="e">
        <f t="shared" si="5"/>
        <v>#DIV/0!</v>
      </c>
      <c r="O73" s="89" t="e">
        <f t="shared" si="5"/>
        <v>#DIV/0!</v>
      </c>
      <c r="P73" s="90" t="e">
        <f t="shared" si="5"/>
        <v>#DIV/0!</v>
      </c>
      <c r="Q73" s="6"/>
      <c r="R73" s="6"/>
      <c r="S73" s="6"/>
    </row>
    <row r="74" spans="1:30" ht="18" hidden="1" customHeight="1">
      <c r="A74" s="98"/>
      <c r="B74" s="99"/>
      <c r="C74" s="99"/>
      <c r="D74" s="99"/>
      <c r="E74" s="99"/>
      <c r="F74" s="99"/>
      <c r="G74" s="99"/>
      <c r="H74" s="99"/>
      <c r="I74" s="99"/>
      <c r="J74" s="99"/>
      <c r="K74" s="99"/>
      <c r="L74" s="99"/>
      <c r="M74" s="99"/>
      <c r="N74" s="99"/>
      <c r="O74" s="99"/>
      <c r="P74" s="100"/>
      <c r="Q74" s="6"/>
      <c r="R74" s="6"/>
      <c r="S74" s="6"/>
    </row>
    <row r="75" spans="1:30" ht="42" customHeight="1">
      <c r="A75" s="287" t="s">
        <v>163</v>
      </c>
      <c r="B75" s="287"/>
      <c r="C75" s="287"/>
      <c r="D75" s="287"/>
      <c r="E75" s="287"/>
      <c r="F75" s="287"/>
      <c r="G75" s="287"/>
      <c r="H75" s="287"/>
      <c r="I75" s="287"/>
      <c r="J75" s="287"/>
      <c r="K75" s="287"/>
      <c r="L75" s="287"/>
      <c r="M75" s="287"/>
      <c r="N75" s="287"/>
      <c r="O75" s="287"/>
      <c r="P75" s="287"/>
      <c r="R75" s="4"/>
      <c r="S75" s="4"/>
      <c r="T75" s="4"/>
      <c r="U75" s="4"/>
      <c r="V75" s="4"/>
      <c r="W75" s="4"/>
      <c r="X75" s="4"/>
      <c r="Y75" s="4"/>
      <c r="Z75" s="4"/>
      <c r="AA75" s="4"/>
      <c r="AB75" s="4"/>
      <c r="AC75" s="4"/>
      <c r="AD75" s="4"/>
    </row>
    <row r="76" spans="1:30" ht="38.25" customHeight="1">
      <c r="A76" s="287"/>
      <c r="B76" s="287"/>
      <c r="C76" s="287"/>
      <c r="D76" s="287"/>
      <c r="E76" s="287"/>
      <c r="F76" s="287"/>
      <c r="G76" s="287"/>
      <c r="H76" s="287"/>
      <c r="I76" s="287"/>
      <c r="J76" s="287"/>
      <c r="K76" s="287"/>
      <c r="L76" s="287"/>
      <c r="M76" s="287"/>
      <c r="N76" s="287"/>
      <c r="O76" s="287"/>
      <c r="P76" s="287"/>
      <c r="R76" s="4"/>
      <c r="S76" s="4"/>
      <c r="T76" s="4"/>
      <c r="U76" s="4"/>
      <c r="V76" s="4"/>
      <c r="W76" s="4"/>
      <c r="X76" s="4"/>
      <c r="Y76" s="4"/>
      <c r="Z76" s="4"/>
      <c r="AA76" s="4"/>
      <c r="AB76" s="4"/>
      <c r="AC76" s="4"/>
      <c r="AD76" s="4"/>
    </row>
    <row r="77" spans="1:30" ht="18.75" customHeight="1">
      <c r="A77" s="287"/>
      <c r="B77" s="287"/>
      <c r="C77" s="287"/>
      <c r="D77" s="287"/>
      <c r="E77" s="287"/>
      <c r="F77" s="287"/>
      <c r="G77" s="287"/>
      <c r="H77" s="287"/>
      <c r="I77" s="287"/>
      <c r="J77" s="287"/>
      <c r="K77" s="287"/>
      <c r="L77" s="287"/>
      <c r="M77" s="287"/>
      <c r="N77" s="287"/>
      <c r="O77" s="287"/>
      <c r="P77" s="287"/>
      <c r="R77" s="4"/>
      <c r="S77" s="4"/>
      <c r="T77" s="4"/>
      <c r="U77" s="4"/>
      <c r="V77" s="4"/>
      <c r="W77" s="4"/>
      <c r="X77" s="4"/>
      <c r="Y77" s="4"/>
      <c r="Z77" s="4"/>
      <c r="AA77" s="4"/>
      <c r="AB77" s="4"/>
      <c r="AC77" s="4"/>
      <c r="AD77" s="4"/>
    </row>
    <row r="78" spans="1:30" ht="15">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row>
    <row r="79" spans="1:30" ht="18">
      <c r="A79" s="288" t="s">
        <v>76</v>
      </c>
      <c r="B79" s="246"/>
      <c r="D79" s="64"/>
      <c r="E79" s="64"/>
      <c r="F79" s="64"/>
      <c r="G79" s="11"/>
      <c r="H79" s="11"/>
      <c r="I79" s="11"/>
      <c r="J79" s="11"/>
      <c r="K79" s="11"/>
      <c r="L79" s="11"/>
      <c r="M79" s="11"/>
      <c r="N79" s="11"/>
      <c r="O79" s="11"/>
      <c r="P79" s="11"/>
      <c r="Q79" s="11"/>
    </row>
    <row r="81" spans="1:16" ht="47.25" customHeight="1">
      <c r="A81" s="289" t="s">
        <v>77</v>
      </c>
      <c r="B81" s="289"/>
      <c r="C81" s="319"/>
      <c r="D81" s="319"/>
      <c r="E81" s="319"/>
      <c r="F81" s="319"/>
      <c r="G81" s="319"/>
      <c r="H81" s="319"/>
      <c r="I81" s="44"/>
      <c r="J81" s="291" t="s">
        <v>78</v>
      </c>
      <c r="K81" s="324"/>
      <c r="L81" s="310"/>
      <c r="M81" s="311"/>
      <c r="N81" s="311"/>
      <c r="O81" s="311"/>
      <c r="P81" s="312"/>
    </row>
    <row r="82" spans="1:16" ht="15">
      <c r="G82" s="4"/>
      <c r="H82" s="4"/>
      <c r="I82" s="4"/>
      <c r="J82" s="4"/>
      <c r="K82" s="4"/>
      <c r="L82" s="313"/>
      <c r="M82" s="314"/>
      <c r="N82" s="314"/>
      <c r="O82" s="314"/>
      <c r="P82" s="315"/>
    </row>
    <row r="83" spans="1:16" ht="22.5" customHeight="1">
      <c r="A83" s="292" t="s">
        <v>79</v>
      </c>
      <c r="B83" s="292"/>
      <c r="C83" s="320"/>
      <c r="D83" s="320"/>
      <c r="E83" s="320"/>
      <c r="F83" s="320"/>
      <c r="G83" s="320"/>
      <c r="H83" s="320"/>
      <c r="I83" s="44"/>
      <c r="J83" s="4"/>
      <c r="K83" s="4"/>
      <c r="L83" s="313"/>
      <c r="M83" s="314"/>
      <c r="N83" s="314"/>
      <c r="O83" s="314"/>
      <c r="P83" s="315"/>
    </row>
    <row r="84" spans="1:16" ht="15">
      <c r="G84" s="4"/>
      <c r="H84" s="4"/>
      <c r="I84" s="4"/>
      <c r="J84" s="4"/>
      <c r="K84" s="4"/>
      <c r="L84" s="313"/>
      <c r="M84" s="314"/>
      <c r="N84" s="314"/>
      <c r="O84" s="314"/>
      <c r="P84" s="315"/>
    </row>
    <row r="85" spans="1:16">
      <c r="A85" s="280" t="s">
        <v>80</v>
      </c>
      <c r="B85" s="281"/>
      <c r="C85" s="321"/>
      <c r="D85" s="322"/>
      <c r="E85" s="322"/>
      <c r="F85" s="322"/>
      <c r="G85" s="322"/>
      <c r="H85" s="323"/>
      <c r="I85" s="44"/>
      <c r="L85" s="316"/>
      <c r="M85" s="317"/>
      <c r="N85" s="317"/>
      <c r="O85" s="317"/>
      <c r="P85" s="318"/>
    </row>
  </sheetData>
  <mergeCells count="183">
    <mergeCell ref="A1:P1"/>
    <mergeCell ref="A2:B2"/>
    <mergeCell ref="C2:H2"/>
    <mergeCell ref="L2:P2"/>
    <mergeCell ref="A3:B3"/>
    <mergeCell ref="C3:H3"/>
    <mergeCell ref="J3:K3"/>
    <mergeCell ref="L3:P3"/>
    <mergeCell ref="P7:P9"/>
    <mergeCell ref="A8:H8"/>
    <mergeCell ref="J8:O8"/>
    <mergeCell ref="A9:H9"/>
    <mergeCell ref="J9:O9"/>
    <mergeCell ref="A4:B4"/>
    <mergeCell ref="C4:H4"/>
    <mergeCell ref="J4:K4"/>
    <mergeCell ref="L4:P4"/>
    <mergeCell ref="A6:C6"/>
    <mergeCell ref="D6:H6"/>
    <mergeCell ref="J2:K2"/>
    <mergeCell ref="A10:B10"/>
    <mergeCell ref="C10:H10"/>
    <mergeCell ref="A11:B11"/>
    <mergeCell ref="C11:H11"/>
    <mergeCell ref="A12:B12"/>
    <mergeCell ref="C12:H12"/>
    <mergeCell ref="A7:C7"/>
    <mergeCell ref="D7:H7"/>
    <mergeCell ref="J7:O7"/>
    <mergeCell ref="A13:H13"/>
    <mergeCell ref="A14:C14"/>
    <mergeCell ref="D14:H14"/>
    <mergeCell ref="J14:O14"/>
    <mergeCell ref="P14:P16"/>
    <mergeCell ref="A15:C15"/>
    <mergeCell ref="D15:H15"/>
    <mergeCell ref="J15:O15"/>
    <mergeCell ref="A16:H16"/>
    <mergeCell ref="J16:O16"/>
    <mergeCell ref="A22:B22"/>
    <mergeCell ref="C22:D23"/>
    <mergeCell ref="E22:F23"/>
    <mergeCell ref="G22:G23"/>
    <mergeCell ref="H22:H23"/>
    <mergeCell ref="I22:J23"/>
    <mergeCell ref="A17:D17"/>
    <mergeCell ref="E17:H17"/>
    <mergeCell ref="J17:P17"/>
    <mergeCell ref="A18:D18"/>
    <mergeCell ref="E18:H18"/>
    <mergeCell ref="J18:L18"/>
    <mergeCell ref="M18:P18"/>
    <mergeCell ref="K22:M22"/>
    <mergeCell ref="N22:N23"/>
    <mergeCell ref="O22:P23"/>
    <mergeCell ref="C24:D24"/>
    <mergeCell ref="E24:F24"/>
    <mergeCell ref="I24:J24"/>
    <mergeCell ref="O24:P24"/>
    <mergeCell ref="C21:D21"/>
    <mergeCell ref="E21:F21"/>
    <mergeCell ref="I21:J21"/>
    <mergeCell ref="O21:P21"/>
    <mergeCell ref="C27:D27"/>
    <mergeCell ref="E27:F27"/>
    <mergeCell ref="I27:J27"/>
    <mergeCell ref="O27:P27"/>
    <mergeCell ref="C28:D28"/>
    <mergeCell ref="E28:F28"/>
    <mergeCell ref="I28:J28"/>
    <mergeCell ref="O28:P28"/>
    <mergeCell ref="C25:D25"/>
    <mergeCell ref="E25:F25"/>
    <mergeCell ref="I25:J25"/>
    <mergeCell ref="O25:P25"/>
    <mergeCell ref="C26:D26"/>
    <mergeCell ref="E26:F26"/>
    <mergeCell ref="I26:J26"/>
    <mergeCell ref="O26:P26"/>
    <mergeCell ref="C31:D31"/>
    <mergeCell ref="E31:F31"/>
    <mergeCell ref="I31:J31"/>
    <mergeCell ref="O31:P31"/>
    <mergeCell ref="C32:D32"/>
    <mergeCell ref="E32:F32"/>
    <mergeCell ref="I32:J32"/>
    <mergeCell ref="O32:P32"/>
    <mergeCell ref="C29:D29"/>
    <mergeCell ref="E29:F29"/>
    <mergeCell ref="I29:J29"/>
    <mergeCell ref="O29:P29"/>
    <mergeCell ref="C30:D30"/>
    <mergeCell ref="E30:F30"/>
    <mergeCell ref="I30:J30"/>
    <mergeCell ref="O30:P30"/>
    <mergeCell ref="C35:D35"/>
    <mergeCell ref="E35:F35"/>
    <mergeCell ref="I35:J35"/>
    <mergeCell ref="O35:P35"/>
    <mergeCell ref="C36:D36"/>
    <mergeCell ref="E36:F36"/>
    <mergeCell ref="I36:J36"/>
    <mergeCell ref="O36:P36"/>
    <mergeCell ref="C33:D33"/>
    <mergeCell ref="E33:F33"/>
    <mergeCell ref="I33:J33"/>
    <mergeCell ref="O33:P33"/>
    <mergeCell ref="C34:D34"/>
    <mergeCell ref="E34:F34"/>
    <mergeCell ref="I34:J34"/>
    <mergeCell ref="O34:P34"/>
    <mergeCell ref="C39:D39"/>
    <mergeCell ref="E39:F39"/>
    <mergeCell ref="I39:J39"/>
    <mergeCell ref="O39:P39"/>
    <mergeCell ref="C40:D40"/>
    <mergeCell ref="E40:F40"/>
    <mergeCell ref="I40:J40"/>
    <mergeCell ref="O40:P40"/>
    <mergeCell ref="C37:D37"/>
    <mergeCell ref="E37:F37"/>
    <mergeCell ref="I37:J37"/>
    <mergeCell ref="O37:P37"/>
    <mergeCell ref="C38:D38"/>
    <mergeCell ref="E38:F38"/>
    <mergeCell ref="I38:J38"/>
    <mergeCell ref="O38:P38"/>
    <mergeCell ref="C43:D43"/>
    <mergeCell ref="E43:F43"/>
    <mergeCell ref="I43:J43"/>
    <mergeCell ref="O43:P43"/>
    <mergeCell ref="C44:D44"/>
    <mergeCell ref="E44:F44"/>
    <mergeCell ref="I44:J44"/>
    <mergeCell ref="O44:P44"/>
    <mergeCell ref="C41:D41"/>
    <mergeCell ref="E41:F41"/>
    <mergeCell ref="I41:J41"/>
    <mergeCell ref="O41:P41"/>
    <mergeCell ref="C42:D42"/>
    <mergeCell ref="E42:F42"/>
    <mergeCell ref="I42:J42"/>
    <mergeCell ref="O42:P42"/>
    <mergeCell ref="C47:D47"/>
    <mergeCell ref="E47:F47"/>
    <mergeCell ref="I47:J47"/>
    <mergeCell ref="O47:P47"/>
    <mergeCell ref="C48:D48"/>
    <mergeCell ref="E48:F48"/>
    <mergeCell ref="I48:J48"/>
    <mergeCell ref="O48:P48"/>
    <mergeCell ref="C45:D45"/>
    <mergeCell ref="E45:F45"/>
    <mergeCell ref="I45:J45"/>
    <mergeCell ref="O45:P45"/>
    <mergeCell ref="C46:D46"/>
    <mergeCell ref="E46:F46"/>
    <mergeCell ref="I46:J46"/>
    <mergeCell ref="O46:P46"/>
    <mergeCell ref="I51:J51"/>
    <mergeCell ref="O51:P51"/>
    <mergeCell ref="I52:J52"/>
    <mergeCell ref="O52:P52"/>
    <mergeCell ref="A54:K54"/>
    <mergeCell ref="A55:R55"/>
    <mergeCell ref="C49:D49"/>
    <mergeCell ref="E49:F49"/>
    <mergeCell ref="I49:J49"/>
    <mergeCell ref="O49:P49"/>
    <mergeCell ref="I50:J50"/>
    <mergeCell ref="O50:P50"/>
    <mergeCell ref="A85:B85"/>
    <mergeCell ref="C85:H85"/>
    <mergeCell ref="A75:P75"/>
    <mergeCell ref="A76:P76"/>
    <mergeCell ref="A77:P77"/>
    <mergeCell ref="A79:B79"/>
    <mergeCell ref="A81:B81"/>
    <mergeCell ref="C81:H81"/>
    <mergeCell ref="J81:K81"/>
    <mergeCell ref="L81:P85"/>
    <mergeCell ref="A83:B83"/>
    <mergeCell ref="C83:H83"/>
  </mergeCells>
  <pageMargins left="0.39370078740157483" right="0.39370078740157483" top="0.74803149606299213" bottom="0.74803149606299213" header="0.31496062992125984" footer="0.31496062992125984"/>
  <pageSetup paperSize="9" scale="48"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C072A-743C-4A6D-A459-5CD83DD279DF}">
  <sheetPr>
    <tabColor theme="7" tint="0.79998168889431442"/>
    <outlinePr summaryBelow="0" summaryRight="0"/>
    <pageSetUpPr fitToPage="1"/>
  </sheetPr>
  <dimension ref="A1:AD85"/>
  <sheetViews>
    <sheetView zoomScaleNormal="100" workbookViewId="0">
      <selection activeCell="U84" sqref="U84"/>
    </sheetView>
  </sheetViews>
  <sheetFormatPr defaultColWidth="12.5703125" defaultRowHeight="15.75" customHeight="1"/>
  <cols>
    <col min="1" max="1" width="12.5703125" customWidth="1"/>
    <col min="2" max="2" width="14" customWidth="1"/>
    <col min="3" max="3" width="11.42578125" customWidth="1"/>
    <col min="4" max="4" width="11.28515625" customWidth="1"/>
    <col min="5" max="5" width="11" customWidth="1"/>
    <col min="6" max="6" width="11.5703125" customWidth="1"/>
    <col min="8" max="8" width="12.7109375" customWidth="1"/>
    <col min="9" max="9" width="11.85546875" customWidth="1"/>
    <col min="10" max="10" width="11.5703125" customWidth="1"/>
    <col min="12" max="12" width="12.42578125" customWidth="1"/>
    <col min="14" max="14" width="12.5703125" customWidth="1"/>
    <col min="15" max="15" width="12.140625" customWidth="1"/>
    <col min="16" max="16" width="11" customWidth="1"/>
  </cols>
  <sheetData>
    <row r="1" spans="1:21" ht="33.75" customHeight="1">
      <c r="A1" s="177" t="s">
        <v>164</v>
      </c>
      <c r="B1" s="177"/>
      <c r="C1" s="177"/>
      <c r="D1" s="177"/>
      <c r="E1" s="177"/>
      <c r="F1" s="177"/>
      <c r="G1" s="177"/>
      <c r="H1" s="177"/>
      <c r="I1" s="177"/>
      <c r="J1" s="177"/>
      <c r="K1" s="177"/>
      <c r="L1" s="177"/>
      <c r="M1" s="177"/>
      <c r="N1" s="177"/>
      <c r="O1" s="177"/>
      <c r="P1" s="177"/>
      <c r="R1" s="11"/>
      <c r="S1" s="11"/>
      <c r="T1" s="11"/>
      <c r="U1" s="11"/>
    </row>
    <row r="2" spans="1:21" ht="21.75" customHeight="1">
      <c r="A2" s="178" t="s">
        <v>1</v>
      </c>
      <c r="B2" s="179"/>
      <c r="C2" s="303" t="s">
        <v>118</v>
      </c>
      <c r="D2" s="304"/>
      <c r="E2" s="304"/>
      <c r="F2" s="304"/>
      <c r="G2" s="304"/>
      <c r="H2" s="305"/>
      <c r="I2" s="44"/>
      <c r="J2" s="221" t="s">
        <v>2</v>
      </c>
      <c r="K2" s="222"/>
      <c r="L2" s="232" t="s">
        <v>3</v>
      </c>
      <c r="M2" s="232"/>
      <c r="N2" s="232"/>
      <c r="O2" s="232"/>
      <c r="P2" s="233"/>
      <c r="R2" s="11"/>
      <c r="S2" s="11"/>
      <c r="T2" s="11"/>
      <c r="U2" s="11"/>
    </row>
    <row r="3" spans="1:21" ht="21.75" customHeight="1">
      <c r="A3" s="186" t="s">
        <v>4</v>
      </c>
      <c r="B3" s="187"/>
      <c r="C3" s="306" t="s">
        <v>119</v>
      </c>
      <c r="D3" s="307"/>
      <c r="E3" s="307"/>
      <c r="F3" s="307"/>
      <c r="G3" s="307"/>
      <c r="H3" s="308"/>
      <c r="I3" s="44"/>
      <c r="J3" s="191" t="s">
        <v>5</v>
      </c>
      <c r="K3" s="192"/>
      <c r="L3" s="192" t="s">
        <v>120</v>
      </c>
      <c r="M3" s="192"/>
      <c r="N3" s="192"/>
      <c r="O3" s="192"/>
      <c r="P3" s="201"/>
      <c r="R3" s="11"/>
      <c r="S3" s="11"/>
      <c r="T3" s="11"/>
      <c r="U3" s="11"/>
    </row>
    <row r="4" spans="1:21" ht="48" customHeight="1">
      <c r="A4" s="208" t="s">
        <v>7</v>
      </c>
      <c r="B4" s="179"/>
      <c r="C4" s="336" t="s">
        <v>121</v>
      </c>
      <c r="D4" s="337"/>
      <c r="E4" s="337"/>
      <c r="F4" s="337"/>
      <c r="G4" s="337"/>
      <c r="H4" s="338"/>
      <c r="I4" s="44"/>
      <c r="J4" s="339" t="s">
        <v>8</v>
      </c>
      <c r="K4" s="340"/>
      <c r="L4" s="340" t="s">
        <v>9</v>
      </c>
      <c r="M4" s="340"/>
      <c r="N4" s="340"/>
      <c r="O4" s="340"/>
      <c r="P4" s="341"/>
      <c r="R4" s="11"/>
      <c r="S4" s="11"/>
      <c r="T4" s="11"/>
      <c r="U4" s="11"/>
    </row>
    <row r="5" spans="1:21" ht="15">
      <c r="A5" s="11"/>
      <c r="B5" s="50"/>
      <c r="C5" s="50"/>
      <c r="D5" s="5"/>
      <c r="E5" s="5"/>
      <c r="F5" s="5"/>
      <c r="G5" s="5"/>
      <c r="H5" s="5"/>
      <c r="I5" s="5"/>
      <c r="J5" s="59"/>
      <c r="K5" s="59"/>
      <c r="L5" s="58"/>
      <c r="M5" s="58"/>
      <c r="N5" s="58"/>
      <c r="O5" s="58"/>
      <c r="P5" s="58"/>
      <c r="R5" s="11"/>
      <c r="S5" s="11"/>
      <c r="T5" s="11"/>
      <c r="U5" s="11"/>
    </row>
    <row r="6" spans="1:21" ht="22.5" customHeight="1">
      <c r="A6" s="325" t="s">
        <v>10</v>
      </c>
      <c r="B6" s="342"/>
      <c r="C6" s="342"/>
      <c r="D6" s="303" t="s">
        <v>165</v>
      </c>
      <c r="E6" s="304"/>
      <c r="F6" s="304"/>
      <c r="G6" s="304"/>
      <c r="H6" s="305"/>
      <c r="I6" s="44"/>
      <c r="J6" s="91" t="s">
        <v>11</v>
      </c>
      <c r="K6" s="73"/>
      <c r="L6" s="73"/>
      <c r="M6" s="73"/>
      <c r="N6" s="73"/>
      <c r="O6" s="73"/>
      <c r="P6" s="74" t="s">
        <v>12</v>
      </c>
      <c r="R6" s="50"/>
      <c r="S6" s="50"/>
      <c r="T6" s="50"/>
      <c r="U6" s="50"/>
    </row>
    <row r="7" spans="1:21" ht="23.25" customHeight="1">
      <c r="A7" s="362" t="s">
        <v>13</v>
      </c>
      <c r="B7" s="326"/>
      <c r="C7" s="326"/>
      <c r="D7" s="303" t="s">
        <v>123</v>
      </c>
      <c r="E7" s="304"/>
      <c r="F7" s="304"/>
      <c r="G7" s="304"/>
      <c r="H7" s="305"/>
      <c r="I7" s="44"/>
      <c r="J7" s="327" t="s">
        <v>14</v>
      </c>
      <c r="K7" s="328"/>
      <c r="L7" s="328"/>
      <c r="M7" s="328"/>
      <c r="N7" s="328"/>
      <c r="O7" s="329"/>
      <c r="P7" s="195"/>
      <c r="R7" s="50"/>
      <c r="S7" s="50"/>
      <c r="T7" s="50"/>
      <c r="U7" s="50"/>
    </row>
    <row r="8" spans="1:21" ht="21" customHeight="1">
      <c r="A8" s="245"/>
      <c r="B8" s="246"/>
      <c r="C8" s="246"/>
      <c r="D8" s="246"/>
      <c r="E8" s="246"/>
      <c r="F8" s="246"/>
      <c r="G8" s="246"/>
      <c r="H8" s="246"/>
      <c r="J8" s="330" t="s">
        <v>15</v>
      </c>
      <c r="K8" s="331"/>
      <c r="L8" s="331"/>
      <c r="M8" s="331"/>
      <c r="N8" s="331"/>
      <c r="O8" s="332"/>
      <c r="P8" s="196"/>
      <c r="R8" s="50"/>
      <c r="S8" s="50"/>
      <c r="T8" s="50"/>
      <c r="U8" s="50"/>
    </row>
    <row r="9" spans="1:21" ht="15.75" customHeight="1">
      <c r="A9" s="333" t="s">
        <v>16</v>
      </c>
      <c r="B9" s="334"/>
      <c r="C9" s="334"/>
      <c r="D9" s="334"/>
      <c r="E9" s="334"/>
      <c r="F9" s="334"/>
      <c r="G9" s="334"/>
      <c r="H9" s="335"/>
      <c r="I9" s="44"/>
      <c r="J9" s="205"/>
      <c r="K9" s="206"/>
      <c r="L9" s="206"/>
      <c r="M9" s="206"/>
      <c r="N9" s="206"/>
      <c r="O9" s="207"/>
      <c r="P9" s="197"/>
      <c r="R9" s="50"/>
      <c r="S9" s="50"/>
      <c r="T9" s="50"/>
      <c r="U9" s="50"/>
    </row>
    <row r="10" spans="1:21" ht="19.5" customHeight="1">
      <c r="A10" s="221" t="s">
        <v>17</v>
      </c>
      <c r="B10" s="354"/>
      <c r="C10" s="221" t="s">
        <v>166</v>
      </c>
      <c r="D10" s="222"/>
      <c r="E10" s="222"/>
      <c r="F10" s="222"/>
      <c r="G10" s="222"/>
      <c r="H10" s="355"/>
      <c r="I10" s="44"/>
      <c r="J10" s="95" t="s">
        <v>19</v>
      </c>
      <c r="K10" s="96"/>
      <c r="L10" s="96"/>
      <c r="M10" s="96"/>
      <c r="N10" s="96"/>
      <c r="O10" s="85"/>
      <c r="P10" s="92"/>
      <c r="R10" s="50"/>
      <c r="S10" s="50"/>
      <c r="T10" s="50"/>
      <c r="U10" s="50"/>
    </row>
    <row r="11" spans="1:21" ht="19.5" customHeight="1">
      <c r="A11" s="356" t="s">
        <v>20</v>
      </c>
      <c r="B11" s="357"/>
      <c r="C11" s="191" t="s">
        <v>126</v>
      </c>
      <c r="D11" s="309"/>
      <c r="E11" s="309"/>
      <c r="F11" s="309"/>
      <c r="G11" s="309"/>
      <c r="H11" s="358"/>
      <c r="I11" s="44"/>
      <c r="J11" s="77" t="s">
        <v>22</v>
      </c>
      <c r="K11" s="75"/>
      <c r="L11" s="75"/>
      <c r="M11" s="75"/>
      <c r="N11" s="75"/>
      <c r="O11" s="76"/>
      <c r="P11" s="93"/>
      <c r="R11" s="50"/>
      <c r="S11" s="50"/>
      <c r="T11" s="50"/>
      <c r="U11" s="50"/>
    </row>
    <row r="12" spans="1:21" ht="18.75" customHeight="1">
      <c r="A12" s="339" t="s">
        <v>23</v>
      </c>
      <c r="B12" s="359"/>
      <c r="C12" s="339" t="s">
        <v>127</v>
      </c>
      <c r="D12" s="360"/>
      <c r="E12" s="360"/>
      <c r="F12" s="360"/>
      <c r="G12" s="360"/>
      <c r="H12" s="361"/>
      <c r="I12" s="44"/>
      <c r="J12" s="77" t="s">
        <v>15</v>
      </c>
      <c r="K12" s="82"/>
      <c r="L12" s="82"/>
      <c r="M12" s="82"/>
      <c r="N12" s="83"/>
      <c r="O12" s="84"/>
      <c r="P12" s="93"/>
      <c r="R12" s="62"/>
      <c r="S12" s="62"/>
      <c r="T12" s="62"/>
      <c r="U12" s="62"/>
    </row>
    <row r="13" spans="1:21" ht="16.5" customHeight="1">
      <c r="A13" s="234"/>
      <c r="B13" s="234"/>
      <c r="C13" s="234"/>
      <c r="D13" s="234"/>
      <c r="E13" s="234"/>
      <c r="F13" s="234"/>
      <c r="G13" s="234"/>
      <c r="H13" s="234"/>
      <c r="J13" s="77"/>
      <c r="K13" s="78"/>
      <c r="L13" s="78"/>
      <c r="M13" s="78"/>
      <c r="N13" s="79"/>
      <c r="O13" s="80"/>
      <c r="P13" s="94"/>
      <c r="R13" s="61"/>
      <c r="S13" s="50"/>
      <c r="T13" s="50"/>
      <c r="U13" s="50"/>
    </row>
    <row r="14" spans="1:21" ht="18" customHeight="1">
      <c r="A14" s="343" t="s">
        <v>25</v>
      </c>
      <c r="B14" s="304"/>
      <c r="C14" s="304"/>
      <c r="D14" s="343">
        <v>186.5</v>
      </c>
      <c r="E14" s="304"/>
      <c r="F14" s="304"/>
      <c r="G14" s="304"/>
      <c r="H14" s="305"/>
      <c r="I14" s="44"/>
      <c r="J14" s="327" t="s">
        <v>26</v>
      </c>
      <c r="K14" s="328"/>
      <c r="L14" s="328"/>
      <c r="M14" s="328"/>
      <c r="N14" s="328"/>
      <c r="O14" s="329"/>
      <c r="P14" s="195" t="s">
        <v>124</v>
      </c>
      <c r="Q14" s="63"/>
      <c r="R14" s="63"/>
      <c r="S14" s="63"/>
      <c r="T14" s="63"/>
      <c r="U14" s="50"/>
    </row>
    <row r="15" spans="1:21" ht="17.25" customHeight="1">
      <c r="A15" s="303" t="s">
        <v>27</v>
      </c>
      <c r="B15" s="347"/>
      <c r="C15" s="347"/>
      <c r="D15" s="348">
        <f>I51</f>
        <v>3921</v>
      </c>
      <c r="E15" s="349"/>
      <c r="F15" s="349"/>
      <c r="G15" s="349"/>
      <c r="H15" s="350"/>
      <c r="I15" s="44"/>
      <c r="J15" s="351" t="s">
        <v>28</v>
      </c>
      <c r="K15" s="352"/>
      <c r="L15" s="352"/>
      <c r="M15" s="352"/>
      <c r="N15" s="352"/>
      <c r="O15" s="353"/>
      <c r="P15" s="196"/>
      <c r="Q15" s="1"/>
      <c r="R15" s="1"/>
      <c r="S15" s="2"/>
      <c r="T15" s="2"/>
      <c r="U15" s="50"/>
    </row>
    <row r="16" spans="1:21" ht="15" customHeight="1">
      <c r="A16" s="245"/>
      <c r="B16" s="246"/>
      <c r="C16" s="246"/>
      <c r="D16" s="246"/>
      <c r="E16" s="246"/>
      <c r="F16" s="246"/>
      <c r="G16" s="246"/>
      <c r="H16" s="246"/>
      <c r="J16" s="205"/>
      <c r="K16" s="206"/>
      <c r="L16" s="206"/>
      <c r="M16" s="206"/>
      <c r="N16" s="206"/>
      <c r="O16" s="207"/>
      <c r="P16" s="197"/>
      <c r="Q16" s="60"/>
      <c r="R16" s="50"/>
      <c r="S16" s="50"/>
      <c r="T16" s="64"/>
      <c r="U16" s="50"/>
    </row>
    <row r="17" spans="1:21" ht="20.25" customHeight="1">
      <c r="A17" s="362" t="s">
        <v>29</v>
      </c>
      <c r="B17" s="326"/>
      <c r="C17" s="326"/>
      <c r="D17" s="326"/>
      <c r="E17" s="303" t="s">
        <v>128</v>
      </c>
      <c r="F17" s="304"/>
      <c r="G17" s="304"/>
      <c r="H17" s="305"/>
      <c r="I17" s="44"/>
      <c r="J17" s="247"/>
      <c r="K17" s="247"/>
      <c r="L17" s="247"/>
      <c r="M17" s="247"/>
      <c r="N17" s="247"/>
      <c r="O17" s="247"/>
      <c r="P17" s="247"/>
      <c r="Q17" s="50"/>
      <c r="R17" s="50"/>
      <c r="S17" s="50"/>
      <c r="T17" s="50"/>
      <c r="U17" s="50"/>
    </row>
    <row r="18" spans="1:21" ht="21.75" customHeight="1">
      <c r="A18" s="325" t="s">
        <v>129</v>
      </c>
      <c r="B18" s="326"/>
      <c r="C18" s="326"/>
      <c r="D18" s="363"/>
      <c r="E18" s="303" t="s">
        <v>130</v>
      </c>
      <c r="F18" s="347"/>
      <c r="G18" s="347"/>
      <c r="H18" s="364"/>
      <c r="I18" s="44"/>
      <c r="J18" s="365" t="s">
        <v>32</v>
      </c>
      <c r="K18" s="366"/>
      <c r="L18" s="366"/>
      <c r="M18" s="367">
        <v>45982</v>
      </c>
      <c r="N18" s="368"/>
      <c r="O18" s="368"/>
      <c r="P18" s="368"/>
      <c r="Q18" s="50"/>
      <c r="R18" s="50"/>
      <c r="S18" s="50"/>
      <c r="T18" s="50"/>
      <c r="U18" s="50"/>
    </row>
    <row r="19" spans="1:21" ht="18.75" customHeight="1">
      <c r="I19" s="44"/>
      <c r="J19" s="50"/>
      <c r="K19" s="50"/>
      <c r="L19" s="50"/>
      <c r="M19" s="61"/>
      <c r="N19" s="61"/>
      <c r="O19" s="50"/>
      <c r="P19" s="50"/>
      <c r="Q19" s="50"/>
      <c r="R19" s="50"/>
      <c r="S19" s="50"/>
      <c r="T19" s="50"/>
      <c r="U19" s="50"/>
    </row>
    <row r="20" spans="1:21" ht="15">
      <c r="A20" s="53" t="s">
        <v>33</v>
      </c>
      <c r="B20" s="71"/>
      <c r="C20" s="71"/>
      <c r="D20" s="53"/>
      <c r="E20" s="53"/>
      <c r="F20" s="53"/>
      <c r="G20" s="54"/>
      <c r="H20" s="54"/>
      <c r="I20" s="54"/>
      <c r="J20" s="54"/>
      <c r="K20" s="54"/>
      <c r="L20" s="54"/>
      <c r="M20" s="54"/>
      <c r="N20" s="54"/>
      <c r="O20" s="54"/>
      <c r="P20" s="54"/>
      <c r="Q20" s="11"/>
      <c r="R20" s="11"/>
      <c r="S20" s="11"/>
      <c r="T20" s="11"/>
      <c r="U20" s="11"/>
    </row>
    <row r="21" spans="1:21" ht="15">
      <c r="A21" s="53" t="s">
        <v>34</v>
      </c>
      <c r="B21" s="53" t="s">
        <v>35</v>
      </c>
      <c r="C21" s="386" t="s">
        <v>36</v>
      </c>
      <c r="D21" s="386"/>
      <c r="E21" s="386" t="s">
        <v>37</v>
      </c>
      <c r="F21" s="386"/>
      <c r="G21" s="53" t="s">
        <v>38</v>
      </c>
      <c r="H21" s="53" t="s">
        <v>39</v>
      </c>
      <c r="I21" s="386" t="s">
        <v>40</v>
      </c>
      <c r="J21" s="386"/>
      <c r="K21" s="53" t="s">
        <v>41</v>
      </c>
      <c r="L21" s="53" t="s">
        <v>42</v>
      </c>
      <c r="M21" s="53" t="s">
        <v>43</v>
      </c>
      <c r="N21" s="72" t="s">
        <v>44</v>
      </c>
      <c r="O21" s="386" t="s">
        <v>45</v>
      </c>
      <c r="P21" s="386"/>
      <c r="Q21" s="64"/>
      <c r="R21" s="64"/>
      <c r="S21" s="64"/>
      <c r="T21" s="64"/>
      <c r="U21" s="64"/>
    </row>
    <row r="22" spans="1:21" ht="15" customHeight="1">
      <c r="A22" s="369" t="s">
        <v>46</v>
      </c>
      <c r="B22" s="370"/>
      <c r="C22" s="371" t="s">
        <v>47</v>
      </c>
      <c r="D22" s="372"/>
      <c r="E22" s="371" t="s">
        <v>48</v>
      </c>
      <c r="F22" s="372"/>
      <c r="G22" s="375" t="s">
        <v>49</v>
      </c>
      <c r="H22" s="375" t="s">
        <v>50</v>
      </c>
      <c r="I22" s="377" t="s">
        <v>51</v>
      </c>
      <c r="J22" s="378"/>
      <c r="K22" s="369" t="s">
        <v>52</v>
      </c>
      <c r="L22" s="381"/>
      <c r="M22" s="370"/>
      <c r="N22" s="377" t="s">
        <v>53</v>
      </c>
      <c r="O22" s="377" t="s">
        <v>54</v>
      </c>
      <c r="P22" s="378"/>
      <c r="Q22" s="3"/>
      <c r="R22" s="3"/>
      <c r="S22" s="3"/>
      <c r="T22" s="3"/>
      <c r="U22" s="3"/>
    </row>
    <row r="23" spans="1:21" s="66" customFormat="1" ht="30.75" customHeight="1">
      <c r="A23" s="45" t="s">
        <v>55</v>
      </c>
      <c r="B23" s="46" t="s">
        <v>56</v>
      </c>
      <c r="C23" s="373"/>
      <c r="D23" s="374"/>
      <c r="E23" s="373"/>
      <c r="F23" s="374"/>
      <c r="G23" s="376"/>
      <c r="H23" s="376"/>
      <c r="I23" s="379"/>
      <c r="J23" s="380"/>
      <c r="K23" s="46" t="s">
        <v>57</v>
      </c>
      <c r="L23" s="46" t="s">
        <v>58</v>
      </c>
      <c r="M23" s="46" t="s">
        <v>59</v>
      </c>
      <c r="N23" s="379"/>
      <c r="O23" s="379"/>
      <c r="P23" s="380"/>
      <c r="Q23" s="47"/>
      <c r="R23" s="47"/>
      <c r="S23" s="47"/>
      <c r="T23" s="47"/>
      <c r="U23" s="47"/>
    </row>
    <row r="24" spans="1:21" ht="20.25" customHeight="1">
      <c r="A24" s="46"/>
      <c r="B24" s="46"/>
      <c r="C24" s="394">
        <v>13</v>
      </c>
      <c r="D24" s="383"/>
      <c r="E24" s="394">
        <v>8</v>
      </c>
      <c r="F24" s="383"/>
      <c r="G24" s="46"/>
      <c r="H24" s="46"/>
      <c r="I24" s="384">
        <v>352</v>
      </c>
      <c r="J24" s="385"/>
      <c r="K24" s="46"/>
      <c r="L24" s="46"/>
      <c r="M24" s="46"/>
      <c r="N24" s="46">
        <v>3.9350000000000001</v>
      </c>
      <c r="O24" s="382">
        <v>151.36000000000001</v>
      </c>
      <c r="P24" s="383"/>
      <c r="Q24" s="7"/>
      <c r="R24" s="7"/>
      <c r="S24" s="7"/>
      <c r="T24" s="7"/>
      <c r="U24" s="7"/>
    </row>
    <row r="25" spans="1:21" ht="20.25" customHeight="1">
      <c r="A25" s="46"/>
      <c r="B25" s="46"/>
      <c r="C25" s="382">
        <v>14</v>
      </c>
      <c r="D25" s="383"/>
      <c r="E25" s="394">
        <v>10</v>
      </c>
      <c r="F25" s="383"/>
      <c r="G25" s="46"/>
      <c r="H25" s="46"/>
      <c r="I25" s="384">
        <v>646</v>
      </c>
      <c r="J25" s="385"/>
      <c r="K25" s="46"/>
      <c r="L25" s="46"/>
      <c r="M25" s="46"/>
      <c r="N25" s="46">
        <v>6.9960000000000004</v>
      </c>
      <c r="O25" s="382">
        <v>284.24</v>
      </c>
      <c r="P25" s="383"/>
      <c r="Q25" s="7"/>
      <c r="R25" s="7"/>
      <c r="S25" s="7"/>
      <c r="T25" s="7"/>
      <c r="U25" s="7"/>
    </row>
    <row r="26" spans="1:21" ht="20.25" customHeight="1">
      <c r="A26" s="46"/>
      <c r="B26" s="46"/>
      <c r="C26" s="382">
        <v>15</v>
      </c>
      <c r="D26" s="383"/>
      <c r="E26" s="382">
        <v>12</v>
      </c>
      <c r="F26" s="383"/>
      <c r="G26" s="46"/>
      <c r="H26" s="46"/>
      <c r="I26" s="384">
        <v>1107</v>
      </c>
      <c r="J26" s="385"/>
      <c r="K26" s="46"/>
      <c r="L26" s="46"/>
      <c r="M26" s="46"/>
      <c r="N26" s="46">
        <v>12.243</v>
      </c>
      <c r="O26" s="382">
        <v>499.05</v>
      </c>
      <c r="P26" s="383"/>
      <c r="Q26" s="7"/>
      <c r="R26" s="7"/>
      <c r="S26" s="7"/>
      <c r="T26" s="7"/>
      <c r="U26" s="7"/>
    </row>
    <row r="27" spans="1:21" ht="20.25" customHeight="1">
      <c r="A27" s="46"/>
      <c r="B27" s="46"/>
      <c r="C27" s="382">
        <v>16</v>
      </c>
      <c r="D27" s="383"/>
      <c r="E27" s="382">
        <v>14</v>
      </c>
      <c r="F27" s="383"/>
      <c r="G27" s="46"/>
      <c r="H27" s="46"/>
      <c r="I27" s="384">
        <v>920</v>
      </c>
      <c r="J27" s="385"/>
      <c r="K27" s="46"/>
      <c r="L27" s="46"/>
      <c r="M27" s="46"/>
      <c r="N27" s="46">
        <v>10.058</v>
      </c>
      <c r="O27" s="382">
        <v>423.2</v>
      </c>
      <c r="P27" s="383"/>
      <c r="Q27" s="7"/>
      <c r="R27" s="7"/>
      <c r="S27" s="7"/>
      <c r="T27" s="7"/>
      <c r="U27" s="7"/>
    </row>
    <row r="28" spans="1:21" ht="20.25" customHeight="1">
      <c r="A28" s="46"/>
      <c r="B28" s="46"/>
      <c r="C28" s="382">
        <v>17</v>
      </c>
      <c r="D28" s="383"/>
      <c r="E28" s="382">
        <v>16</v>
      </c>
      <c r="F28" s="383"/>
      <c r="G28" s="46"/>
      <c r="H28" s="46"/>
      <c r="I28" s="384">
        <v>544</v>
      </c>
      <c r="J28" s="385"/>
      <c r="K28" s="46"/>
      <c r="L28" s="46"/>
      <c r="M28" s="46"/>
      <c r="N28" s="46">
        <v>6.1210000000000004</v>
      </c>
      <c r="O28" s="382">
        <v>255.68</v>
      </c>
      <c r="P28" s="383"/>
      <c r="Q28" s="7"/>
      <c r="R28" s="7"/>
      <c r="S28" s="7"/>
      <c r="T28" s="7"/>
      <c r="U28" s="7"/>
    </row>
    <row r="29" spans="1:21" ht="20.25" customHeight="1">
      <c r="A29" s="46"/>
      <c r="B29" s="46"/>
      <c r="C29" s="382">
        <v>18</v>
      </c>
      <c r="D29" s="383"/>
      <c r="E29" s="382">
        <v>18</v>
      </c>
      <c r="F29" s="383"/>
      <c r="G29" s="46"/>
      <c r="H29" s="46"/>
      <c r="I29" s="384">
        <v>272</v>
      </c>
      <c r="J29" s="385"/>
      <c r="K29" s="46"/>
      <c r="L29" s="46"/>
      <c r="M29" s="46"/>
      <c r="N29" s="46">
        <v>3.0619999999999998</v>
      </c>
      <c r="O29" s="382">
        <v>130.56</v>
      </c>
      <c r="P29" s="383"/>
      <c r="Q29" s="7"/>
      <c r="R29" s="7"/>
      <c r="S29" s="7"/>
      <c r="T29" s="7"/>
      <c r="U29" s="7"/>
    </row>
    <row r="30" spans="1:21" ht="20.25" customHeight="1">
      <c r="A30" s="46"/>
      <c r="B30" s="46"/>
      <c r="C30" s="382">
        <v>19</v>
      </c>
      <c r="D30" s="383"/>
      <c r="E30" s="382">
        <v>20</v>
      </c>
      <c r="F30" s="383"/>
      <c r="G30" s="46"/>
      <c r="H30" s="46"/>
      <c r="I30" s="384">
        <v>80</v>
      </c>
      <c r="J30" s="385"/>
      <c r="K30" s="46"/>
      <c r="L30" s="46"/>
      <c r="M30" s="46"/>
      <c r="N30" s="46">
        <v>1.3120000000000001</v>
      </c>
      <c r="O30" s="382">
        <v>39.200000000000003</v>
      </c>
      <c r="P30" s="383"/>
      <c r="Q30" s="7"/>
      <c r="R30" s="7"/>
      <c r="S30" s="7"/>
      <c r="T30" s="7"/>
      <c r="U30" s="7"/>
    </row>
    <row r="31" spans="1:21" ht="20.25" customHeight="1">
      <c r="A31" s="46"/>
      <c r="B31" s="46"/>
      <c r="C31" s="382"/>
      <c r="D31" s="383"/>
      <c r="E31" s="382"/>
      <c r="F31" s="383"/>
      <c r="G31" s="46"/>
      <c r="H31" s="46"/>
      <c r="I31" s="384"/>
      <c r="J31" s="385"/>
      <c r="K31" s="46"/>
      <c r="L31" s="46"/>
      <c r="M31" s="46"/>
      <c r="N31" s="65"/>
      <c r="O31" s="382"/>
      <c r="P31" s="383"/>
      <c r="Q31" s="7"/>
      <c r="R31" s="7"/>
      <c r="S31" s="7"/>
      <c r="T31" s="7"/>
      <c r="U31" s="7"/>
    </row>
    <row r="32" spans="1:21" ht="20.25" customHeight="1">
      <c r="A32" s="46"/>
      <c r="B32" s="46"/>
      <c r="C32" s="382"/>
      <c r="D32" s="383"/>
      <c r="E32" s="394"/>
      <c r="F32" s="383"/>
      <c r="G32" s="46"/>
      <c r="H32" s="46"/>
      <c r="I32" s="384"/>
      <c r="J32" s="385"/>
      <c r="K32" s="46"/>
      <c r="L32" s="46"/>
      <c r="M32" s="46"/>
      <c r="N32" s="65"/>
      <c r="O32" s="382"/>
      <c r="P32" s="383"/>
      <c r="Q32" s="7"/>
      <c r="R32" s="7"/>
      <c r="S32" s="7"/>
      <c r="T32" s="7"/>
      <c r="U32" s="7"/>
    </row>
    <row r="33" spans="1:21" ht="20.25" customHeight="1">
      <c r="A33" s="46"/>
      <c r="B33" s="46"/>
      <c r="C33" s="382"/>
      <c r="D33" s="383"/>
      <c r="E33" s="394"/>
      <c r="F33" s="383"/>
      <c r="G33" s="46"/>
      <c r="H33" s="46"/>
      <c r="I33" s="384"/>
      <c r="J33" s="385"/>
      <c r="K33" s="46"/>
      <c r="L33" s="46"/>
      <c r="M33" s="46"/>
      <c r="N33" s="65"/>
      <c r="O33" s="382"/>
      <c r="P33" s="383"/>
      <c r="Q33" s="7"/>
      <c r="R33" s="7"/>
      <c r="S33" s="7"/>
      <c r="T33" s="7"/>
      <c r="U33" s="7"/>
    </row>
    <row r="34" spans="1:21" ht="20.25" customHeight="1">
      <c r="A34" s="46"/>
      <c r="B34" s="46"/>
      <c r="C34" s="382"/>
      <c r="D34" s="383"/>
      <c r="E34" s="382"/>
      <c r="F34" s="383"/>
      <c r="G34" s="46"/>
      <c r="H34" s="46"/>
      <c r="I34" s="384"/>
      <c r="J34" s="385"/>
      <c r="K34" s="46"/>
      <c r="L34" s="46"/>
      <c r="M34" s="46"/>
      <c r="N34" s="65"/>
      <c r="O34" s="382"/>
      <c r="P34" s="383"/>
      <c r="Q34" s="7"/>
      <c r="R34" s="7"/>
      <c r="S34" s="7"/>
      <c r="T34" s="7"/>
      <c r="U34" s="7"/>
    </row>
    <row r="35" spans="1:21" ht="20.25" customHeight="1">
      <c r="A35" s="46"/>
      <c r="B35" s="46"/>
      <c r="C35" s="382"/>
      <c r="D35" s="383"/>
      <c r="E35" s="382"/>
      <c r="F35" s="383"/>
      <c r="G35" s="46"/>
      <c r="H35" s="46"/>
      <c r="I35" s="384"/>
      <c r="J35" s="385"/>
      <c r="K35" s="46"/>
      <c r="L35" s="46"/>
      <c r="M35" s="46"/>
      <c r="N35" s="65"/>
      <c r="O35" s="382"/>
      <c r="P35" s="383"/>
      <c r="Q35" s="7"/>
      <c r="R35" s="7"/>
      <c r="S35" s="7"/>
      <c r="T35" s="7"/>
      <c r="U35" s="7"/>
    </row>
    <row r="36" spans="1:21" ht="20.25" customHeight="1">
      <c r="A36" s="46"/>
      <c r="B36" s="46"/>
      <c r="C36" s="382"/>
      <c r="D36" s="383"/>
      <c r="E36" s="382"/>
      <c r="F36" s="383"/>
      <c r="G36" s="46"/>
      <c r="H36" s="46"/>
      <c r="I36" s="384"/>
      <c r="J36" s="385"/>
      <c r="K36" s="46"/>
      <c r="L36" s="46"/>
      <c r="M36" s="46"/>
      <c r="N36" s="65"/>
      <c r="O36" s="382"/>
      <c r="P36" s="383"/>
      <c r="Q36" s="7"/>
      <c r="R36" s="7"/>
      <c r="S36" s="7"/>
      <c r="T36" s="7"/>
      <c r="U36" s="7"/>
    </row>
    <row r="37" spans="1:21" ht="20.25" customHeight="1">
      <c r="A37" s="46"/>
      <c r="B37" s="46"/>
      <c r="C37" s="382"/>
      <c r="D37" s="383"/>
      <c r="E37" s="382"/>
      <c r="F37" s="383"/>
      <c r="G37" s="46"/>
      <c r="H37" s="46"/>
      <c r="I37" s="384"/>
      <c r="J37" s="385"/>
      <c r="K37" s="46"/>
      <c r="L37" s="46"/>
      <c r="M37" s="46"/>
      <c r="N37" s="65"/>
      <c r="O37" s="382"/>
      <c r="P37" s="383"/>
      <c r="Q37" s="7"/>
      <c r="R37" s="7"/>
      <c r="S37" s="7"/>
      <c r="T37" s="7"/>
      <c r="U37" s="7"/>
    </row>
    <row r="38" spans="1:21" ht="20.25" customHeight="1">
      <c r="A38" s="46"/>
      <c r="B38" s="46"/>
      <c r="C38" s="382"/>
      <c r="D38" s="383"/>
      <c r="E38" s="382"/>
      <c r="F38" s="383"/>
      <c r="G38" s="46"/>
      <c r="H38" s="46"/>
      <c r="I38" s="384"/>
      <c r="J38" s="385"/>
      <c r="K38" s="46"/>
      <c r="L38" s="46"/>
      <c r="M38" s="46"/>
      <c r="N38" s="65"/>
      <c r="O38" s="382"/>
      <c r="P38" s="383"/>
      <c r="Q38" s="7"/>
      <c r="R38" s="7"/>
      <c r="S38" s="7"/>
      <c r="T38" s="7"/>
      <c r="U38" s="7"/>
    </row>
    <row r="39" spans="1:21" ht="20.25" customHeight="1">
      <c r="A39" s="46"/>
      <c r="B39" s="46"/>
      <c r="C39" s="382"/>
      <c r="D39" s="383"/>
      <c r="E39" s="382"/>
      <c r="F39" s="383"/>
      <c r="G39" s="46"/>
      <c r="H39" s="46"/>
      <c r="I39" s="384"/>
      <c r="J39" s="385"/>
      <c r="K39" s="46"/>
      <c r="L39" s="46"/>
      <c r="M39" s="46"/>
      <c r="N39" s="65"/>
      <c r="O39" s="382"/>
      <c r="P39" s="383"/>
      <c r="Q39" s="7"/>
      <c r="R39" s="7"/>
      <c r="S39" s="7"/>
      <c r="T39" s="7"/>
      <c r="U39" s="7"/>
    </row>
    <row r="40" spans="1:21" ht="20.25" customHeight="1">
      <c r="A40" s="46"/>
      <c r="B40" s="46"/>
      <c r="C40" s="382"/>
      <c r="D40" s="383"/>
      <c r="E40" s="382"/>
      <c r="F40" s="383"/>
      <c r="G40" s="46"/>
      <c r="H40" s="46"/>
      <c r="I40" s="384"/>
      <c r="J40" s="385"/>
      <c r="K40" s="46"/>
      <c r="L40" s="46"/>
      <c r="M40" s="46"/>
      <c r="N40" s="65"/>
      <c r="O40" s="382"/>
      <c r="P40" s="383"/>
      <c r="Q40" s="7"/>
      <c r="R40" s="7"/>
      <c r="S40" s="7"/>
      <c r="T40" s="7"/>
      <c r="U40" s="7"/>
    </row>
    <row r="41" spans="1:21" ht="20.25" customHeight="1">
      <c r="A41" s="46"/>
      <c r="B41" s="46"/>
      <c r="C41" s="382"/>
      <c r="D41" s="383"/>
      <c r="E41" s="382"/>
      <c r="F41" s="383"/>
      <c r="G41" s="46"/>
      <c r="H41" s="46"/>
      <c r="I41" s="384"/>
      <c r="J41" s="385"/>
      <c r="K41" s="46"/>
      <c r="L41" s="46"/>
      <c r="M41" s="46"/>
      <c r="N41" s="65"/>
      <c r="O41" s="382"/>
      <c r="P41" s="383"/>
      <c r="Q41" s="7"/>
      <c r="R41" s="7"/>
      <c r="S41" s="7"/>
      <c r="T41" s="7"/>
      <c r="U41" s="7"/>
    </row>
    <row r="42" spans="1:21" ht="20.25" customHeight="1">
      <c r="A42" s="46"/>
      <c r="B42" s="46"/>
      <c r="C42" s="382"/>
      <c r="D42" s="383"/>
      <c r="E42" s="382"/>
      <c r="F42" s="383"/>
      <c r="G42" s="46"/>
      <c r="H42" s="46"/>
      <c r="I42" s="384"/>
      <c r="J42" s="385"/>
      <c r="K42" s="46"/>
      <c r="L42" s="46"/>
      <c r="M42" s="46"/>
      <c r="N42" s="65"/>
      <c r="O42" s="382"/>
      <c r="P42" s="383"/>
      <c r="Q42" s="7"/>
      <c r="R42" s="7"/>
      <c r="S42" s="7"/>
      <c r="T42" s="7"/>
      <c r="U42" s="7"/>
    </row>
    <row r="43" spans="1:21" ht="20.25" customHeight="1">
      <c r="A43" s="46"/>
      <c r="B43" s="46"/>
      <c r="C43" s="382"/>
      <c r="D43" s="383"/>
      <c r="E43" s="382"/>
      <c r="F43" s="383"/>
      <c r="G43" s="46"/>
      <c r="H43" s="46"/>
      <c r="I43" s="384"/>
      <c r="J43" s="385"/>
      <c r="K43" s="46"/>
      <c r="L43" s="46"/>
      <c r="M43" s="46"/>
      <c r="N43" s="65"/>
      <c r="O43" s="382"/>
      <c r="P43" s="383"/>
      <c r="Q43" s="7"/>
      <c r="R43" s="7"/>
      <c r="S43" s="7"/>
      <c r="T43" s="7"/>
      <c r="U43" s="7"/>
    </row>
    <row r="44" spans="1:21" ht="20.25" customHeight="1">
      <c r="A44" s="46"/>
      <c r="B44" s="46"/>
      <c r="C44" s="382"/>
      <c r="D44" s="383"/>
      <c r="E44" s="382"/>
      <c r="F44" s="383"/>
      <c r="G44" s="46"/>
      <c r="H44" s="46"/>
      <c r="I44" s="384"/>
      <c r="J44" s="385"/>
      <c r="K44" s="46"/>
      <c r="L44" s="46"/>
      <c r="M44" s="46"/>
      <c r="N44" s="65"/>
      <c r="O44" s="382"/>
      <c r="P44" s="383"/>
      <c r="Q44" s="7"/>
      <c r="R44" s="7"/>
      <c r="S44" s="7"/>
      <c r="T44" s="7"/>
      <c r="U44" s="7"/>
    </row>
    <row r="45" spans="1:21" ht="20.25" customHeight="1">
      <c r="A45" s="46"/>
      <c r="B45" s="46"/>
      <c r="C45" s="382"/>
      <c r="D45" s="383"/>
      <c r="E45" s="382"/>
      <c r="F45" s="383"/>
      <c r="G45" s="46"/>
      <c r="H45" s="46"/>
      <c r="I45" s="384"/>
      <c r="J45" s="385"/>
      <c r="K45" s="46"/>
      <c r="L45" s="46"/>
      <c r="M45" s="46"/>
      <c r="N45" s="65"/>
      <c r="O45" s="382"/>
      <c r="P45" s="383"/>
      <c r="Q45" s="7"/>
      <c r="R45" s="7"/>
      <c r="S45" s="7"/>
      <c r="T45" s="7"/>
      <c r="U45" s="7"/>
    </row>
    <row r="46" spans="1:21" ht="20.25" customHeight="1">
      <c r="A46" s="46"/>
      <c r="B46" s="46"/>
      <c r="C46" s="382"/>
      <c r="D46" s="383"/>
      <c r="E46" s="382"/>
      <c r="F46" s="383"/>
      <c r="G46" s="46"/>
      <c r="H46" s="46"/>
      <c r="I46" s="384"/>
      <c r="J46" s="385"/>
      <c r="K46" s="46"/>
      <c r="L46" s="46"/>
      <c r="M46" s="46"/>
      <c r="N46" s="65"/>
      <c r="O46" s="382"/>
      <c r="P46" s="383"/>
      <c r="Q46" s="7"/>
      <c r="R46" s="7"/>
      <c r="S46" s="7"/>
      <c r="T46" s="7"/>
      <c r="U46" s="7"/>
    </row>
    <row r="47" spans="1:21" ht="20.25" customHeight="1">
      <c r="A47" s="46"/>
      <c r="B47" s="46"/>
      <c r="C47" s="382"/>
      <c r="D47" s="383"/>
      <c r="E47" s="382"/>
      <c r="F47" s="383"/>
      <c r="G47" s="46"/>
      <c r="H47" s="46"/>
      <c r="I47" s="384"/>
      <c r="J47" s="385"/>
      <c r="K47" s="46"/>
      <c r="L47" s="46"/>
      <c r="M47" s="46"/>
      <c r="N47" s="65"/>
      <c r="O47" s="382"/>
      <c r="P47" s="383"/>
      <c r="Q47" s="7"/>
      <c r="R47" s="7"/>
      <c r="S47" s="7"/>
      <c r="T47" s="7"/>
      <c r="U47" s="7"/>
    </row>
    <row r="48" spans="1:21" ht="20.25" customHeight="1">
      <c r="A48" s="46"/>
      <c r="B48" s="46"/>
      <c r="C48" s="382"/>
      <c r="D48" s="383"/>
      <c r="E48" s="382"/>
      <c r="F48" s="383"/>
      <c r="G48" s="46"/>
      <c r="H48" s="46"/>
      <c r="I48" s="384"/>
      <c r="J48" s="385"/>
      <c r="K48" s="46"/>
      <c r="L48" s="46"/>
      <c r="M48" s="46"/>
      <c r="N48" s="65"/>
      <c r="O48" s="382"/>
      <c r="P48" s="383"/>
      <c r="Q48" s="7"/>
      <c r="R48" s="7"/>
      <c r="S48" s="7"/>
      <c r="T48" s="7"/>
      <c r="U48" s="7"/>
    </row>
    <row r="49" spans="1:21" ht="20.25" customHeight="1">
      <c r="A49" s="46"/>
      <c r="B49" s="46"/>
      <c r="C49" s="382"/>
      <c r="D49" s="383"/>
      <c r="E49" s="382"/>
      <c r="F49" s="383"/>
      <c r="G49" s="46"/>
      <c r="H49" s="46"/>
      <c r="I49" s="384"/>
      <c r="J49" s="385"/>
      <c r="K49" s="46"/>
      <c r="L49" s="46"/>
      <c r="M49" s="46"/>
      <c r="N49" s="65"/>
      <c r="O49" s="382"/>
      <c r="P49" s="383"/>
      <c r="Q49" s="11"/>
      <c r="R49" s="11"/>
      <c r="S49" s="11"/>
      <c r="T49" s="11"/>
      <c r="U49" s="11"/>
    </row>
    <row r="50" spans="1:21" ht="15">
      <c r="A50" s="11"/>
      <c r="B50" s="11"/>
      <c r="C50" s="11"/>
      <c r="D50" s="64"/>
      <c r="E50" s="64"/>
      <c r="F50" s="64"/>
      <c r="G50" s="51"/>
      <c r="H50" s="11"/>
      <c r="I50" s="393"/>
      <c r="J50" s="393"/>
      <c r="K50" s="11"/>
      <c r="L50" s="11"/>
      <c r="M50" s="11"/>
      <c r="N50" s="81"/>
      <c r="O50" s="247"/>
      <c r="P50" s="247"/>
      <c r="Q50" s="11"/>
      <c r="R50" s="11"/>
      <c r="S50" s="11"/>
      <c r="T50" s="11"/>
      <c r="U50" s="11"/>
    </row>
    <row r="51" spans="1:21">
      <c r="A51" s="52" t="s">
        <v>60</v>
      </c>
      <c r="D51" s="64"/>
      <c r="E51" s="64"/>
      <c r="F51" s="64"/>
      <c r="G51" s="46">
        <f>SUM(G24:G50)</f>
        <v>0</v>
      </c>
      <c r="H51" s="11"/>
      <c r="I51" s="387">
        <f>SUM(I24:J50)</f>
        <v>3921</v>
      </c>
      <c r="J51" s="388"/>
      <c r="K51" s="11"/>
      <c r="M51" s="11"/>
      <c r="N51" s="97">
        <f>SUM(N24:N50)</f>
        <v>43.726999999999997</v>
      </c>
      <c r="O51" s="389">
        <f>SUM(O24:P50)</f>
        <v>1783.2900000000002</v>
      </c>
      <c r="P51" s="389"/>
      <c r="R51" s="11"/>
      <c r="S51" s="11"/>
      <c r="T51" s="11"/>
      <c r="U51" s="11"/>
    </row>
    <row r="52" spans="1:21" ht="15">
      <c r="A52" s="11"/>
      <c r="B52" s="11"/>
      <c r="C52" s="11"/>
      <c r="D52" s="64"/>
      <c r="E52" s="64"/>
      <c r="F52" s="64"/>
      <c r="G52" s="64" t="s">
        <v>61</v>
      </c>
      <c r="H52" s="64"/>
      <c r="I52" s="390" t="s">
        <v>62</v>
      </c>
      <c r="J52" s="390"/>
      <c r="K52" s="64"/>
      <c r="M52" s="64"/>
      <c r="N52" s="69" t="s">
        <v>63</v>
      </c>
      <c r="O52" s="390" t="s">
        <v>64</v>
      </c>
      <c r="P52" s="390"/>
      <c r="R52" s="11"/>
      <c r="S52" s="11"/>
      <c r="T52" s="11"/>
      <c r="U52" s="11"/>
    </row>
    <row r="53" spans="1:21" ht="15">
      <c r="A53" s="11"/>
      <c r="B53" s="11"/>
      <c r="C53" s="11"/>
      <c r="D53" s="64"/>
      <c r="E53" s="64"/>
      <c r="F53" s="64"/>
      <c r="G53" s="64"/>
      <c r="H53" s="64"/>
      <c r="I53" s="69"/>
      <c r="J53" s="69"/>
      <c r="K53" s="64"/>
      <c r="M53" s="64"/>
      <c r="N53" s="69"/>
      <c r="O53" s="69"/>
      <c r="P53" s="69"/>
      <c r="R53" s="11"/>
      <c r="S53" s="11"/>
      <c r="T53" s="11"/>
      <c r="U53" s="11"/>
    </row>
    <row r="54" spans="1:21" ht="15">
      <c r="A54" s="391" t="s">
        <v>65</v>
      </c>
      <c r="B54" s="392"/>
      <c r="C54" s="392"/>
      <c r="D54" s="392"/>
      <c r="E54" s="392"/>
      <c r="F54" s="392"/>
      <c r="G54" s="392"/>
      <c r="H54" s="392"/>
      <c r="I54" s="392"/>
      <c r="J54" s="392"/>
      <c r="K54" s="392"/>
      <c r="L54" s="70"/>
      <c r="M54" s="70"/>
      <c r="N54" s="70"/>
      <c r="O54" s="70"/>
      <c r="P54" s="70"/>
      <c r="Q54" s="70"/>
      <c r="R54" s="70"/>
      <c r="S54" s="11"/>
      <c r="T54" s="11"/>
      <c r="U54" s="11"/>
    </row>
    <row r="55" spans="1:21" ht="15.75" customHeight="1">
      <c r="A55" s="391" t="s">
        <v>66</v>
      </c>
      <c r="B55" s="392"/>
      <c r="C55" s="392"/>
      <c r="D55" s="392"/>
      <c r="E55" s="392"/>
      <c r="F55" s="392"/>
      <c r="G55" s="392"/>
      <c r="H55" s="392"/>
      <c r="I55" s="392"/>
      <c r="J55" s="392"/>
      <c r="K55" s="392"/>
      <c r="L55" s="392"/>
      <c r="M55" s="392"/>
      <c r="N55" s="392"/>
      <c r="O55" s="392"/>
      <c r="P55" s="392"/>
      <c r="Q55" s="392"/>
      <c r="R55" s="392"/>
    </row>
    <row r="56" spans="1:21" ht="15.75" customHeight="1">
      <c r="A56" s="67"/>
      <c r="B56" s="68"/>
      <c r="C56" s="68"/>
      <c r="D56" s="68"/>
      <c r="E56" s="68"/>
      <c r="F56" s="68"/>
      <c r="G56" s="68"/>
      <c r="H56" s="68"/>
      <c r="I56" s="68"/>
      <c r="J56" s="68"/>
      <c r="K56" s="68"/>
      <c r="L56" s="68"/>
      <c r="M56" s="68"/>
      <c r="N56" s="68"/>
      <c r="O56" s="68"/>
      <c r="P56" s="68"/>
      <c r="Q56" s="68"/>
      <c r="R56" s="68"/>
    </row>
    <row r="57" spans="1:21" s="49" customFormat="1" ht="21" customHeight="1">
      <c r="A57" s="55" t="s">
        <v>67</v>
      </c>
      <c r="B57" s="56">
        <v>8</v>
      </c>
      <c r="C57" s="56">
        <v>10</v>
      </c>
      <c r="D57" s="56">
        <v>12</v>
      </c>
      <c r="E57" s="56">
        <v>14</v>
      </c>
      <c r="F57" s="56">
        <v>16</v>
      </c>
      <c r="G57" s="56">
        <v>18</v>
      </c>
      <c r="H57" s="56">
        <v>20</v>
      </c>
      <c r="I57" s="56"/>
      <c r="J57" s="56"/>
      <c r="K57" s="56"/>
      <c r="L57" s="56"/>
      <c r="M57" s="56"/>
      <c r="N57" s="56"/>
      <c r="O57" s="56"/>
      <c r="P57" s="57" t="s">
        <v>68</v>
      </c>
      <c r="Q57" s="48"/>
      <c r="R57" s="48"/>
      <c r="S57" s="48"/>
    </row>
    <row r="58" spans="1:21" ht="19.5" customHeight="1">
      <c r="A58" s="109" t="s">
        <v>69</v>
      </c>
      <c r="B58" s="112">
        <v>340</v>
      </c>
      <c r="C58" s="112">
        <v>630</v>
      </c>
      <c r="D58" s="112">
        <v>1090</v>
      </c>
      <c r="E58" s="112">
        <v>900</v>
      </c>
      <c r="F58" s="112">
        <v>530</v>
      </c>
      <c r="G58" s="112">
        <v>260</v>
      </c>
      <c r="H58" s="112">
        <v>80</v>
      </c>
      <c r="I58" s="112"/>
      <c r="J58" s="112"/>
      <c r="K58" s="112"/>
      <c r="L58" s="112"/>
      <c r="M58" s="112"/>
      <c r="N58" s="112"/>
      <c r="O58" s="112"/>
      <c r="P58" s="103">
        <f>SUM(A58:O58)</f>
        <v>3830</v>
      </c>
      <c r="Q58" s="6"/>
      <c r="R58" s="6"/>
      <c r="S58" s="6"/>
    </row>
    <row r="59" spans="1:21" ht="18" customHeight="1">
      <c r="A59" s="109" t="s">
        <v>70</v>
      </c>
      <c r="B59" s="112">
        <v>352</v>
      </c>
      <c r="C59" s="112">
        <v>646</v>
      </c>
      <c r="D59" s="112">
        <v>1107</v>
      </c>
      <c r="E59" s="112">
        <v>920</v>
      </c>
      <c r="F59" s="112">
        <v>544</v>
      </c>
      <c r="G59" s="112">
        <v>272</v>
      </c>
      <c r="H59" s="112">
        <v>80</v>
      </c>
      <c r="I59" s="112"/>
      <c r="J59" s="112"/>
      <c r="K59" s="112"/>
      <c r="L59" s="112"/>
      <c r="M59" s="112"/>
      <c r="N59" s="112"/>
      <c r="O59" s="112"/>
      <c r="P59" s="103">
        <f>SUM(A59:O59)</f>
        <v>3921</v>
      </c>
      <c r="Q59" s="6"/>
      <c r="R59" s="6"/>
      <c r="S59" s="6"/>
    </row>
    <row r="60" spans="1:21" ht="18.75" customHeight="1">
      <c r="A60" s="86" t="s">
        <v>71</v>
      </c>
      <c r="B60" s="87">
        <f>B59-B58</f>
        <v>12</v>
      </c>
      <c r="C60" s="87">
        <f>C59-C58</f>
        <v>16</v>
      </c>
      <c r="D60" s="87">
        <f t="shared" ref="D60:O60" si="0">D59-D58</f>
        <v>17</v>
      </c>
      <c r="E60" s="87">
        <f t="shared" si="0"/>
        <v>20</v>
      </c>
      <c r="F60" s="87">
        <f t="shared" si="0"/>
        <v>14</v>
      </c>
      <c r="G60" s="87">
        <f t="shared" si="0"/>
        <v>12</v>
      </c>
      <c r="H60" s="87">
        <f t="shared" si="0"/>
        <v>0</v>
      </c>
      <c r="I60" s="87">
        <f t="shared" si="0"/>
        <v>0</v>
      </c>
      <c r="J60" s="87">
        <f t="shared" si="0"/>
        <v>0</v>
      </c>
      <c r="K60" s="87">
        <f t="shared" si="0"/>
        <v>0</v>
      </c>
      <c r="L60" s="87">
        <f t="shared" si="0"/>
        <v>0</v>
      </c>
      <c r="M60" s="87">
        <f t="shared" si="0"/>
        <v>0</v>
      </c>
      <c r="N60" s="87">
        <f t="shared" si="0"/>
        <v>0</v>
      </c>
      <c r="O60" s="87">
        <f t="shared" si="0"/>
        <v>0</v>
      </c>
      <c r="P60" s="88">
        <f>SUM(A60:O60)</f>
        <v>91</v>
      </c>
      <c r="Q60" s="6"/>
      <c r="R60" s="6"/>
      <c r="S60" s="6"/>
    </row>
    <row r="61" spans="1:21" ht="18" customHeight="1">
      <c r="A61" s="86" t="s">
        <v>72</v>
      </c>
      <c r="B61" s="89">
        <f>B60/B58</f>
        <v>3.5294117647058823E-2</v>
      </c>
      <c r="C61" s="89">
        <f>C60/C58</f>
        <v>2.5396825396825397E-2</v>
      </c>
      <c r="D61" s="89">
        <f t="shared" ref="D61:P61" si="1">D60/D58</f>
        <v>1.5596330275229359E-2</v>
      </c>
      <c r="E61" s="89">
        <f t="shared" si="1"/>
        <v>2.2222222222222223E-2</v>
      </c>
      <c r="F61" s="89">
        <f t="shared" si="1"/>
        <v>2.6415094339622643E-2</v>
      </c>
      <c r="G61" s="89">
        <f t="shared" si="1"/>
        <v>4.6153846153846156E-2</v>
      </c>
      <c r="H61" s="89">
        <f t="shared" si="1"/>
        <v>0</v>
      </c>
      <c r="I61" s="89" t="e">
        <f t="shared" si="1"/>
        <v>#DIV/0!</v>
      </c>
      <c r="J61" s="89" t="e">
        <f t="shared" si="1"/>
        <v>#DIV/0!</v>
      </c>
      <c r="K61" s="89" t="e">
        <f t="shared" si="1"/>
        <v>#DIV/0!</v>
      </c>
      <c r="L61" s="89" t="e">
        <f t="shared" si="1"/>
        <v>#DIV/0!</v>
      </c>
      <c r="M61" s="89" t="e">
        <f t="shared" si="1"/>
        <v>#DIV/0!</v>
      </c>
      <c r="N61" s="89" t="e">
        <f t="shared" si="1"/>
        <v>#DIV/0!</v>
      </c>
      <c r="O61" s="89" t="e">
        <f t="shared" si="1"/>
        <v>#DIV/0!</v>
      </c>
      <c r="P61" s="90">
        <f t="shared" si="1"/>
        <v>2.3759791122715406E-2</v>
      </c>
      <c r="Q61" s="6"/>
      <c r="R61" s="6"/>
      <c r="S61" s="6"/>
    </row>
    <row r="62" spans="1:21" ht="18" customHeight="1">
      <c r="A62" s="98"/>
      <c r="B62" s="99"/>
      <c r="C62" s="99"/>
      <c r="D62" s="99"/>
      <c r="E62" s="99"/>
      <c r="F62" s="99"/>
      <c r="G62" s="99"/>
      <c r="H62" s="99"/>
      <c r="I62" s="99"/>
      <c r="J62" s="99"/>
      <c r="K62" s="99"/>
      <c r="L62" s="99"/>
      <c r="M62" s="99"/>
      <c r="N62" s="99"/>
      <c r="O62" s="99"/>
      <c r="P62" s="100"/>
      <c r="Q62" s="6"/>
      <c r="R62" s="6"/>
      <c r="S62" s="6"/>
    </row>
    <row r="63" spans="1:21" ht="18" hidden="1" customHeight="1">
      <c r="A63" s="55" t="s">
        <v>67</v>
      </c>
      <c r="B63" s="56"/>
      <c r="C63" s="56"/>
      <c r="D63" s="56"/>
      <c r="E63" s="56"/>
      <c r="F63" s="56"/>
      <c r="G63" s="56"/>
      <c r="H63" s="56"/>
      <c r="I63" s="56"/>
      <c r="J63" s="56"/>
      <c r="K63" s="56"/>
      <c r="L63" s="56"/>
      <c r="M63" s="56"/>
      <c r="N63" s="56"/>
      <c r="O63" s="56"/>
      <c r="P63" s="57" t="s">
        <v>68</v>
      </c>
      <c r="Q63" s="6"/>
      <c r="R63" s="6"/>
      <c r="S63" s="6"/>
    </row>
    <row r="64" spans="1:21" ht="18" hidden="1" customHeight="1">
      <c r="A64" s="109" t="s">
        <v>69</v>
      </c>
      <c r="B64" s="110"/>
      <c r="C64" s="110"/>
      <c r="D64" s="110"/>
      <c r="E64" s="110"/>
      <c r="F64" s="110"/>
      <c r="G64" s="110"/>
      <c r="H64" s="110"/>
      <c r="I64" s="110"/>
      <c r="J64" s="110"/>
      <c r="K64" s="110"/>
      <c r="L64" s="110"/>
      <c r="M64" s="110"/>
      <c r="N64" s="110"/>
      <c r="O64" s="110"/>
      <c r="P64" s="57">
        <f>SUM(A64:O64)</f>
        <v>0</v>
      </c>
      <c r="Q64" s="6"/>
      <c r="R64" s="6"/>
      <c r="S64" s="6"/>
    </row>
    <row r="65" spans="1:30" ht="18" hidden="1" customHeight="1">
      <c r="A65" s="109" t="s">
        <v>70</v>
      </c>
      <c r="B65" s="110"/>
      <c r="C65" s="110"/>
      <c r="D65" s="110"/>
      <c r="E65" s="110"/>
      <c r="F65" s="110"/>
      <c r="G65" s="110"/>
      <c r="H65" s="110"/>
      <c r="I65" s="110"/>
      <c r="J65" s="110"/>
      <c r="K65" s="110"/>
      <c r="L65" s="110"/>
      <c r="M65" s="110"/>
      <c r="N65" s="110"/>
      <c r="O65" s="110"/>
      <c r="P65" s="57">
        <f>SUM(A65:O65)</f>
        <v>0</v>
      </c>
      <c r="Q65" s="6"/>
      <c r="R65" s="6"/>
      <c r="S65" s="6"/>
    </row>
    <row r="66" spans="1:30" ht="18" hidden="1" customHeight="1">
      <c r="A66" s="86" t="s">
        <v>71</v>
      </c>
      <c r="B66" s="87">
        <f>B65-B64</f>
        <v>0</v>
      </c>
      <c r="C66" s="87">
        <f>C65-C64</f>
        <v>0</v>
      </c>
      <c r="D66" s="87">
        <f t="shared" ref="D66:O66" si="2">D65-D64</f>
        <v>0</v>
      </c>
      <c r="E66" s="87">
        <f t="shared" si="2"/>
        <v>0</v>
      </c>
      <c r="F66" s="87">
        <f t="shared" si="2"/>
        <v>0</v>
      </c>
      <c r="G66" s="87">
        <f t="shared" si="2"/>
        <v>0</v>
      </c>
      <c r="H66" s="87">
        <f t="shared" si="2"/>
        <v>0</v>
      </c>
      <c r="I66" s="87">
        <f t="shared" si="2"/>
        <v>0</v>
      </c>
      <c r="J66" s="87">
        <f t="shared" si="2"/>
        <v>0</v>
      </c>
      <c r="K66" s="87">
        <f t="shared" si="2"/>
        <v>0</v>
      </c>
      <c r="L66" s="87">
        <f t="shared" si="2"/>
        <v>0</v>
      </c>
      <c r="M66" s="87">
        <f t="shared" si="2"/>
        <v>0</v>
      </c>
      <c r="N66" s="87">
        <f t="shared" si="2"/>
        <v>0</v>
      </c>
      <c r="O66" s="87">
        <f t="shared" si="2"/>
        <v>0</v>
      </c>
      <c r="P66" s="88">
        <f>SUM(A66:O66)</f>
        <v>0</v>
      </c>
      <c r="Q66" s="6"/>
      <c r="R66" s="6"/>
      <c r="S66" s="6"/>
    </row>
    <row r="67" spans="1:30" ht="18" hidden="1" customHeight="1">
      <c r="A67" s="86" t="s">
        <v>72</v>
      </c>
      <c r="B67" s="89" t="e">
        <f>B66/B64</f>
        <v>#DIV/0!</v>
      </c>
      <c r="C67" s="89" t="e">
        <f>C66/C64</f>
        <v>#DIV/0!</v>
      </c>
      <c r="D67" s="89" t="e">
        <f t="shared" ref="D67:P67" si="3">D66/D64</f>
        <v>#DIV/0!</v>
      </c>
      <c r="E67" s="89" t="e">
        <f t="shared" si="3"/>
        <v>#DIV/0!</v>
      </c>
      <c r="F67" s="89" t="e">
        <f t="shared" si="3"/>
        <v>#DIV/0!</v>
      </c>
      <c r="G67" s="89" t="e">
        <f t="shared" si="3"/>
        <v>#DIV/0!</v>
      </c>
      <c r="H67" s="89" t="e">
        <f t="shared" si="3"/>
        <v>#DIV/0!</v>
      </c>
      <c r="I67" s="89" t="e">
        <f t="shared" si="3"/>
        <v>#DIV/0!</v>
      </c>
      <c r="J67" s="89" t="e">
        <f t="shared" si="3"/>
        <v>#DIV/0!</v>
      </c>
      <c r="K67" s="89" t="e">
        <f t="shared" si="3"/>
        <v>#DIV/0!</v>
      </c>
      <c r="L67" s="89" t="e">
        <f t="shared" si="3"/>
        <v>#DIV/0!</v>
      </c>
      <c r="M67" s="89" t="e">
        <f t="shared" si="3"/>
        <v>#DIV/0!</v>
      </c>
      <c r="N67" s="89" t="e">
        <f t="shared" si="3"/>
        <v>#DIV/0!</v>
      </c>
      <c r="O67" s="89" t="e">
        <f t="shared" si="3"/>
        <v>#DIV/0!</v>
      </c>
      <c r="P67" s="90" t="e">
        <f t="shared" si="3"/>
        <v>#DIV/0!</v>
      </c>
      <c r="Q67" s="6"/>
      <c r="R67" s="6"/>
      <c r="S67" s="6"/>
    </row>
    <row r="68" spans="1:30" ht="18" hidden="1" customHeight="1">
      <c r="A68" s="98"/>
      <c r="B68" s="99"/>
      <c r="C68" s="99"/>
      <c r="D68" s="99"/>
      <c r="E68" s="99"/>
      <c r="F68" s="99"/>
      <c r="G68" s="99"/>
      <c r="H68" s="99"/>
      <c r="I68" s="99"/>
      <c r="J68" s="99"/>
      <c r="K68" s="99"/>
      <c r="L68" s="99"/>
      <c r="M68" s="99"/>
      <c r="N68" s="99"/>
      <c r="O68" s="99"/>
      <c r="P68" s="100"/>
      <c r="Q68" s="6"/>
      <c r="R68" s="6"/>
      <c r="S68" s="6"/>
    </row>
    <row r="69" spans="1:30" ht="18" hidden="1" customHeight="1">
      <c r="A69" s="55" t="s">
        <v>67</v>
      </c>
      <c r="B69" s="56"/>
      <c r="C69" s="56"/>
      <c r="D69" s="56"/>
      <c r="E69" s="56"/>
      <c r="F69" s="56"/>
      <c r="G69" s="56"/>
      <c r="H69" s="56"/>
      <c r="I69" s="56"/>
      <c r="J69" s="56"/>
      <c r="K69" s="56"/>
      <c r="L69" s="56"/>
      <c r="M69" s="56"/>
      <c r="N69" s="56"/>
      <c r="O69" s="56"/>
      <c r="P69" s="57" t="s">
        <v>68</v>
      </c>
      <c r="Q69" s="6"/>
      <c r="R69" s="6"/>
      <c r="S69" s="6"/>
    </row>
    <row r="70" spans="1:30" ht="18" hidden="1" customHeight="1">
      <c r="A70" s="109" t="s">
        <v>69</v>
      </c>
      <c r="B70" s="110"/>
      <c r="C70" s="110"/>
      <c r="D70" s="110"/>
      <c r="E70" s="110"/>
      <c r="F70" s="110"/>
      <c r="G70" s="110"/>
      <c r="H70" s="110"/>
      <c r="I70" s="110"/>
      <c r="J70" s="110"/>
      <c r="K70" s="110"/>
      <c r="L70" s="110"/>
      <c r="M70" s="110"/>
      <c r="N70" s="110"/>
      <c r="O70" s="110"/>
      <c r="P70" s="57">
        <f>SUM(A70:O70)</f>
        <v>0</v>
      </c>
      <c r="Q70" s="6"/>
      <c r="R70" s="6"/>
      <c r="S70" s="6"/>
    </row>
    <row r="71" spans="1:30" ht="18" hidden="1" customHeight="1">
      <c r="A71" s="109" t="s">
        <v>70</v>
      </c>
      <c r="B71" s="110"/>
      <c r="C71" s="110"/>
      <c r="D71" s="110"/>
      <c r="E71" s="110"/>
      <c r="F71" s="110"/>
      <c r="G71" s="110"/>
      <c r="H71" s="110"/>
      <c r="I71" s="110"/>
      <c r="J71" s="110"/>
      <c r="K71" s="110"/>
      <c r="L71" s="110"/>
      <c r="M71" s="110"/>
      <c r="N71" s="110"/>
      <c r="O71" s="110"/>
      <c r="P71" s="57">
        <f>SUM(A71:O71)</f>
        <v>0</v>
      </c>
      <c r="Q71" s="6"/>
      <c r="R71" s="6"/>
      <c r="S71" s="6"/>
    </row>
    <row r="72" spans="1:30" ht="18" hidden="1" customHeight="1">
      <c r="A72" s="86" t="s">
        <v>71</v>
      </c>
      <c r="B72" s="87">
        <f>B71-B70</f>
        <v>0</v>
      </c>
      <c r="C72" s="87">
        <f>C71-C70</f>
        <v>0</v>
      </c>
      <c r="D72" s="87">
        <f t="shared" ref="D72:O72" si="4">D71-D70</f>
        <v>0</v>
      </c>
      <c r="E72" s="87">
        <f t="shared" si="4"/>
        <v>0</v>
      </c>
      <c r="F72" s="87">
        <f t="shared" si="4"/>
        <v>0</v>
      </c>
      <c r="G72" s="87">
        <f t="shared" si="4"/>
        <v>0</v>
      </c>
      <c r="H72" s="87">
        <f t="shared" si="4"/>
        <v>0</v>
      </c>
      <c r="I72" s="87">
        <f t="shared" si="4"/>
        <v>0</v>
      </c>
      <c r="J72" s="87">
        <f t="shared" si="4"/>
        <v>0</v>
      </c>
      <c r="K72" s="87">
        <f t="shared" si="4"/>
        <v>0</v>
      </c>
      <c r="L72" s="87">
        <f t="shared" si="4"/>
        <v>0</v>
      </c>
      <c r="M72" s="87">
        <f t="shared" si="4"/>
        <v>0</v>
      </c>
      <c r="N72" s="87">
        <f t="shared" si="4"/>
        <v>0</v>
      </c>
      <c r="O72" s="87">
        <f t="shared" si="4"/>
        <v>0</v>
      </c>
      <c r="P72" s="88">
        <f>SUM(A72:O72)</f>
        <v>0</v>
      </c>
      <c r="Q72" s="6"/>
      <c r="R72" s="6"/>
      <c r="S72" s="6"/>
    </row>
    <row r="73" spans="1:30" ht="18" hidden="1" customHeight="1">
      <c r="A73" s="86" t="s">
        <v>72</v>
      </c>
      <c r="B73" s="89" t="e">
        <f>B72/B70</f>
        <v>#DIV/0!</v>
      </c>
      <c r="C73" s="89" t="e">
        <f>C72/C70</f>
        <v>#DIV/0!</v>
      </c>
      <c r="D73" s="89" t="e">
        <f t="shared" ref="D73:P73" si="5">D72/D70</f>
        <v>#DIV/0!</v>
      </c>
      <c r="E73" s="89" t="e">
        <f t="shared" si="5"/>
        <v>#DIV/0!</v>
      </c>
      <c r="F73" s="89" t="e">
        <f t="shared" si="5"/>
        <v>#DIV/0!</v>
      </c>
      <c r="G73" s="89" t="e">
        <f t="shared" si="5"/>
        <v>#DIV/0!</v>
      </c>
      <c r="H73" s="89" t="e">
        <f t="shared" si="5"/>
        <v>#DIV/0!</v>
      </c>
      <c r="I73" s="89" t="e">
        <f t="shared" si="5"/>
        <v>#DIV/0!</v>
      </c>
      <c r="J73" s="89" t="e">
        <f t="shared" si="5"/>
        <v>#DIV/0!</v>
      </c>
      <c r="K73" s="89" t="e">
        <f t="shared" si="5"/>
        <v>#DIV/0!</v>
      </c>
      <c r="L73" s="89" t="e">
        <f t="shared" si="5"/>
        <v>#DIV/0!</v>
      </c>
      <c r="M73" s="89" t="e">
        <f t="shared" si="5"/>
        <v>#DIV/0!</v>
      </c>
      <c r="N73" s="89" t="e">
        <f t="shared" si="5"/>
        <v>#DIV/0!</v>
      </c>
      <c r="O73" s="89" t="e">
        <f t="shared" si="5"/>
        <v>#DIV/0!</v>
      </c>
      <c r="P73" s="90" t="e">
        <f t="shared" si="5"/>
        <v>#DIV/0!</v>
      </c>
      <c r="Q73" s="6"/>
      <c r="R73" s="6"/>
      <c r="S73" s="6"/>
    </row>
    <row r="74" spans="1:30" ht="18" hidden="1" customHeight="1">
      <c r="A74" s="98"/>
      <c r="B74" s="99"/>
      <c r="C74" s="99"/>
      <c r="D74" s="99"/>
      <c r="E74" s="99"/>
      <c r="F74" s="99"/>
      <c r="G74" s="99"/>
      <c r="H74" s="99"/>
      <c r="I74" s="99"/>
      <c r="J74" s="99"/>
      <c r="K74" s="99"/>
      <c r="L74" s="99"/>
      <c r="M74" s="99"/>
      <c r="N74" s="99"/>
      <c r="O74" s="99"/>
      <c r="P74" s="100"/>
      <c r="Q74" s="6"/>
      <c r="R74" s="6"/>
      <c r="S74" s="6"/>
    </row>
    <row r="75" spans="1:30" ht="42" customHeight="1">
      <c r="A75" s="287" t="s">
        <v>143</v>
      </c>
      <c r="B75" s="287"/>
      <c r="C75" s="287"/>
      <c r="D75" s="287"/>
      <c r="E75" s="287"/>
      <c r="F75" s="287"/>
      <c r="G75" s="287"/>
      <c r="H75" s="287"/>
      <c r="I75" s="287"/>
      <c r="J75" s="287"/>
      <c r="K75" s="287"/>
      <c r="L75" s="287"/>
      <c r="M75" s="287"/>
      <c r="N75" s="287"/>
      <c r="O75" s="287"/>
      <c r="P75" s="287"/>
      <c r="R75" s="4"/>
      <c r="S75" s="4"/>
      <c r="T75" s="4"/>
      <c r="U75" s="4"/>
      <c r="V75" s="4"/>
      <c r="W75" s="4"/>
      <c r="X75" s="4"/>
      <c r="Y75" s="4"/>
      <c r="Z75" s="4"/>
      <c r="AA75" s="4"/>
      <c r="AB75" s="4"/>
      <c r="AC75" s="4"/>
      <c r="AD75" s="4"/>
    </row>
    <row r="76" spans="1:30" ht="38.25" customHeight="1">
      <c r="A76" s="287" t="s">
        <v>144</v>
      </c>
      <c r="B76" s="287"/>
      <c r="C76" s="287"/>
      <c r="D76" s="287"/>
      <c r="E76" s="287"/>
      <c r="F76" s="287"/>
      <c r="G76" s="287"/>
      <c r="H76" s="287"/>
      <c r="I76" s="287"/>
      <c r="J76" s="287"/>
      <c r="K76" s="287"/>
      <c r="L76" s="287"/>
      <c r="M76" s="287"/>
      <c r="N76" s="287"/>
      <c r="O76" s="287"/>
      <c r="P76" s="287"/>
      <c r="R76" s="4"/>
      <c r="S76" s="4"/>
      <c r="T76" s="4"/>
      <c r="U76" s="4"/>
      <c r="V76" s="4"/>
      <c r="W76" s="4"/>
      <c r="X76" s="4"/>
      <c r="Y76" s="4"/>
      <c r="Z76" s="4"/>
      <c r="AA76" s="4"/>
      <c r="AB76" s="4"/>
      <c r="AC76" s="4"/>
      <c r="AD76" s="4"/>
    </row>
    <row r="77" spans="1:30" ht="18.75" customHeight="1">
      <c r="A77" s="287"/>
      <c r="B77" s="287"/>
      <c r="C77" s="287"/>
      <c r="D77" s="287"/>
      <c r="E77" s="287"/>
      <c r="F77" s="287"/>
      <c r="G77" s="287"/>
      <c r="H77" s="287"/>
      <c r="I77" s="287"/>
      <c r="J77" s="287"/>
      <c r="K77" s="287"/>
      <c r="L77" s="287"/>
      <c r="M77" s="287"/>
      <c r="N77" s="287"/>
      <c r="O77" s="287"/>
      <c r="P77" s="287"/>
      <c r="R77" s="4"/>
      <c r="S77" s="4"/>
      <c r="T77" s="4"/>
      <c r="U77" s="4"/>
      <c r="V77" s="4"/>
      <c r="W77" s="4"/>
      <c r="X77" s="4"/>
      <c r="Y77" s="4"/>
      <c r="Z77" s="4"/>
      <c r="AA77" s="4"/>
      <c r="AB77" s="4"/>
      <c r="AC77" s="4"/>
      <c r="AD77" s="4"/>
    </row>
    <row r="78" spans="1:30" ht="15">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row>
    <row r="79" spans="1:30" ht="18">
      <c r="A79" s="288" t="s">
        <v>76</v>
      </c>
      <c r="B79" s="246"/>
      <c r="D79" s="64"/>
      <c r="E79" s="64"/>
      <c r="F79" s="64"/>
      <c r="G79" s="11"/>
      <c r="H79" s="11"/>
      <c r="I79" s="11"/>
      <c r="J79" s="11"/>
      <c r="K79" s="11"/>
      <c r="L79" s="11"/>
      <c r="M79" s="11"/>
      <c r="N79" s="11"/>
      <c r="O79" s="11"/>
      <c r="P79" s="11"/>
      <c r="Q79" s="11"/>
    </row>
    <row r="81" spans="1:16" ht="47.25" customHeight="1">
      <c r="A81" s="289" t="s">
        <v>77</v>
      </c>
      <c r="B81" s="289"/>
      <c r="C81" s="319"/>
      <c r="D81" s="319"/>
      <c r="E81" s="319"/>
      <c r="F81" s="319"/>
      <c r="G81" s="319"/>
      <c r="H81" s="319"/>
      <c r="I81" s="44"/>
      <c r="J81" s="291" t="s">
        <v>78</v>
      </c>
      <c r="K81" s="324"/>
      <c r="L81" s="310"/>
      <c r="M81" s="311"/>
      <c r="N81" s="311"/>
      <c r="O81" s="311"/>
      <c r="P81" s="312"/>
    </row>
    <row r="82" spans="1:16" ht="15">
      <c r="G82" s="4"/>
      <c r="H82" s="4"/>
      <c r="I82" s="4"/>
      <c r="J82" s="4"/>
      <c r="K82" s="4"/>
      <c r="L82" s="313"/>
      <c r="M82" s="314"/>
      <c r="N82" s="314"/>
      <c r="O82" s="314"/>
      <c r="P82" s="315"/>
    </row>
    <row r="83" spans="1:16" ht="22.5" customHeight="1">
      <c r="A83" s="292" t="s">
        <v>79</v>
      </c>
      <c r="B83" s="292"/>
      <c r="C83" s="320"/>
      <c r="D83" s="320"/>
      <c r="E83" s="320"/>
      <c r="F83" s="320"/>
      <c r="G83" s="320"/>
      <c r="H83" s="320"/>
      <c r="I83" s="44"/>
      <c r="J83" s="4"/>
      <c r="K83" s="4"/>
      <c r="L83" s="313"/>
      <c r="M83" s="314"/>
      <c r="N83" s="314"/>
      <c r="O83" s="314"/>
      <c r="P83" s="315"/>
    </row>
    <row r="84" spans="1:16" ht="15">
      <c r="G84" s="4"/>
      <c r="H84" s="4"/>
      <c r="I84" s="4"/>
      <c r="J84" s="4"/>
      <c r="K84" s="4"/>
      <c r="L84" s="313"/>
      <c r="M84" s="314"/>
      <c r="N84" s="314"/>
      <c r="O84" s="314"/>
      <c r="P84" s="315"/>
    </row>
    <row r="85" spans="1:16">
      <c r="A85" s="280" t="s">
        <v>80</v>
      </c>
      <c r="B85" s="281"/>
      <c r="C85" s="321"/>
      <c r="D85" s="322"/>
      <c r="E85" s="322"/>
      <c r="F85" s="322"/>
      <c r="G85" s="322"/>
      <c r="H85" s="323"/>
      <c r="I85" s="44"/>
      <c r="L85" s="316"/>
      <c r="M85" s="317"/>
      <c r="N85" s="317"/>
      <c r="O85" s="317"/>
      <c r="P85" s="318"/>
    </row>
  </sheetData>
  <mergeCells count="183">
    <mergeCell ref="A1:P1"/>
    <mergeCell ref="A2:B2"/>
    <mergeCell ref="C2:H2"/>
    <mergeCell ref="L2:P2"/>
    <mergeCell ref="A3:B3"/>
    <mergeCell ref="C3:H3"/>
    <mergeCell ref="J3:K3"/>
    <mergeCell ref="L3:P3"/>
    <mergeCell ref="P7:P9"/>
    <mergeCell ref="A8:H8"/>
    <mergeCell ref="J8:O8"/>
    <mergeCell ref="A9:H9"/>
    <mergeCell ref="J9:O9"/>
    <mergeCell ref="A4:B4"/>
    <mergeCell ref="C4:H4"/>
    <mergeCell ref="J4:K4"/>
    <mergeCell ref="L4:P4"/>
    <mergeCell ref="A6:C6"/>
    <mergeCell ref="D6:H6"/>
    <mergeCell ref="J2:K2"/>
    <mergeCell ref="A10:B10"/>
    <mergeCell ref="C10:H10"/>
    <mergeCell ref="A11:B11"/>
    <mergeCell ref="C11:H11"/>
    <mergeCell ref="A12:B12"/>
    <mergeCell ref="C12:H12"/>
    <mergeCell ref="A7:C7"/>
    <mergeCell ref="D7:H7"/>
    <mergeCell ref="J7:O7"/>
    <mergeCell ref="A13:H13"/>
    <mergeCell ref="A14:C14"/>
    <mergeCell ref="D14:H14"/>
    <mergeCell ref="J14:O14"/>
    <mergeCell ref="P14:P16"/>
    <mergeCell ref="A15:C15"/>
    <mergeCell ref="D15:H15"/>
    <mergeCell ref="J15:O15"/>
    <mergeCell ref="A16:H16"/>
    <mergeCell ref="J16:O16"/>
    <mergeCell ref="A22:B22"/>
    <mergeCell ref="C22:D23"/>
    <mergeCell ref="E22:F23"/>
    <mergeCell ref="G22:G23"/>
    <mergeCell ref="H22:H23"/>
    <mergeCell ref="I22:J23"/>
    <mergeCell ref="A17:D17"/>
    <mergeCell ref="E17:H17"/>
    <mergeCell ref="J17:P17"/>
    <mergeCell ref="A18:D18"/>
    <mergeCell ref="E18:H18"/>
    <mergeCell ref="J18:L18"/>
    <mergeCell ref="M18:P18"/>
    <mergeCell ref="K22:M22"/>
    <mergeCell ref="N22:N23"/>
    <mergeCell ref="O22:P23"/>
    <mergeCell ref="C24:D24"/>
    <mergeCell ref="E24:F24"/>
    <mergeCell ref="I24:J24"/>
    <mergeCell ref="O24:P24"/>
    <mergeCell ref="C21:D21"/>
    <mergeCell ref="E21:F21"/>
    <mergeCell ref="I21:J21"/>
    <mergeCell ref="O21:P21"/>
    <mergeCell ref="C27:D27"/>
    <mergeCell ref="E27:F27"/>
    <mergeCell ref="I27:J27"/>
    <mergeCell ref="O27:P27"/>
    <mergeCell ref="C28:D28"/>
    <mergeCell ref="E28:F28"/>
    <mergeCell ref="I28:J28"/>
    <mergeCell ref="O28:P28"/>
    <mergeCell ref="C25:D25"/>
    <mergeCell ref="E25:F25"/>
    <mergeCell ref="I25:J25"/>
    <mergeCell ref="O25:P25"/>
    <mergeCell ref="C26:D26"/>
    <mergeCell ref="E26:F26"/>
    <mergeCell ref="I26:J26"/>
    <mergeCell ref="O26:P26"/>
    <mergeCell ref="C31:D31"/>
    <mergeCell ref="E31:F31"/>
    <mergeCell ref="I31:J31"/>
    <mergeCell ref="O31:P31"/>
    <mergeCell ref="C32:D32"/>
    <mergeCell ref="E32:F32"/>
    <mergeCell ref="I32:J32"/>
    <mergeCell ref="O32:P32"/>
    <mergeCell ref="C29:D29"/>
    <mergeCell ref="E29:F29"/>
    <mergeCell ref="I29:J29"/>
    <mergeCell ref="O29:P29"/>
    <mergeCell ref="C30:D30"/>
    <mergeCell ref="E30:F30"/>
    <mergeCell ref="I30:J30"/>
    <mergeCell ref="O30:P30"/>
    <mergeCell ref="C35:D35"/>
    <mergeCell ref="E35:F35"/>
    <mergeCell ref="I35:J35"/>
    <mergeCell ref="O35:P35"/>
    <mergeCell ref="C36:D36"/>
    <mergeCell ref="E36:F36"/>
    <mergeCell ref="I36:J36"/>
    <mergeCell ref="O36:P36"/>
    <mergeCell ref="C33:D33"/>
    <mergeCell ref="E33:F33"/>
    <mergeCell ref="I33:J33"/>
    <mergeCell ref="O33:P33"/>
    <mergeCell ref="C34:D34"/>
    <mergeCell ref="E34:F34"/>
    <mergeCell ref="I34:J34"/>
    <mergeCell ref="O34:P34"/>
    <mergeCell ref="C39:D39"/>
    <mergeCell ref="E39:F39"/>
    <mergeCell ref="I39:J39"/>
    <mergeCell ref="O39:P39"/>
    <mergeCell ref="C40:D40"/>
    <mergeCell ref="E40:F40"/>
    <mergeCell ref="I40:J40"/>
    <mergeCell ref="O40:P40"/>
    <mergeCell ref="C37:D37"/>
    <mergeCell ref="E37:F37"/>
    <mergeCell ref="I37:J37"/>
    <mergeCell ref="O37:P37"/>
    <mergeCell ref="C38:D38"/>
    <mergeCell ref="E38:F38"/>
    <mergeCell ref="I38:J38"/>
    <mergeCell ref="O38:P38"/>
    <mergeCell ref="C43:D43"/>
    <mergeCell ref="E43:F43"/>
    <mergeCell ref="I43:J43"/>
    <mergeCell ref="O43:P43"/>
    <mergeCell ref="C44:D44"/>
    <mergeCell ref="E44:F44"/>
    <mergeCell ref="I44:J44"/>
    <mergeCell ref="O44:P44"/>
    <mergeCell ref="C41:D41"/>
    <mergeCell ref="E41:F41"/>
    <mergeCell ref="I41:J41"/>
    <mergeCell ref="O41:P41"/>
    <mergeCell ref="C42:D42"/>
    <mergeCell ref="E42:F42"/>
    <mergeCell ref="I42:J42"/>
    <mergeCell ref="O42:P42"/>
    <mergeCell ref="C47:D47"/>
    <mergeCell ref="E47:F47"/>
    <mergeCell ref="I47:J47"/>
    <mergeCell ref="O47:P47"/>
    <mergeCell ref="C48:D48"/>
    <mergeCell ref="E48:F48"/>
    <mergeCell ref="I48:J48"/>
    <mergeCell ref="O48:P48"/>
    <mergeCell ref="C45:D45"/>
    <mergeCell ref="E45:F45"/>
    <mergeCell ref="I45:J45"/>
    <mergeCell ref="O45:P45"/>
    <mergeCell ref="C46:D46"/>
    <mergeCell ref="E46:F46"/>
    <mergeCell ref="I46:J46"/>
    <mergeCell ref="O46:P46"/>
    <mergeCell ref="I51:J51"/>
    <mergeCell ref="O51:P51"/>
    <mergeCell ref="I52:J52"/>
    <mergeCell ref="O52:P52"/>
    <mergeCell ref="A54:K54"/>
    <mergeCell ref="A55:R55"/>
    <mergeCell ref="C49:D49"/>
    <mergeCell ref="E49:F49"/>
    <mergeCell ref="I49:J49"/>
    <mergeCell ref="O49:P49"/>
    <mergeCell ref="I50:J50"/>
    <mergeCell ref="O50:P50"/>
    <mergeCell ref="A85:B85"/>
    <mergeCell ref="C85:H85"/>
    <mergeCell ref="A75:P75"/>
    <mergeCell ref="A76:P76"/>
    <mergeCell ref="A77:P77"/>
    <mergeCell ref="A79:B79"/>
    <mergeCell ref="A81:B81"/>
    <mergeCell ref="C81:H81"/>
    <mergeCell ref="J81:K81"/>
    <mergeCell ref="L81:P85"/>
    <mergeCell ref="A83:B83"/>
    <mergeCell ref="C83:H83"/>
  </mergeCells>
  <pageMargins left="0.39370078740157483" right="0.39370078740157483" top="0.74803149606299213" bottom="0.74803149606299213" header="0.31496062992125984" footer="0.31496062992125984"/>
  <pageSetup paperSize="9" scale="5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C4469-361B-422E-9157-06BAE5ACDEB3}">
  <sheetPr>
    <tabColor theme="7" tint="0.79998168889431442"/>
    <outlinePr summaryBelow="0" summaryRight="0"/>
    <pageSetUpPr fitToPage="1"/>
  </sheetPr>
  <dimension ref="A1:AD89"/>
  <sheetViews>
    <sheetView zoomScaleNormal="100" workbookViewId="0">
      <selection activeCell="A6" sqref="A6:C6"/>
    </sheetView>
  </sheetViews>
  <sheetFormatPr defaultColWidth="12.5703125" defaultRowHeight="15.75" customHeight="1"/>
  <cols>
    <col min="1" max="1" width="12.7109375" customWidth="1"/>
    <col min="2" max="2" width="13.5703125" customWidth="1"/>
    <col min="3" max="3" width="11.42578125" customWidth="1"/>
    <col min="4" max="4" width="11.28515625" customWidth="1"/>
    <col min="5" max="5" width="11" customWidth="1"/>
    <col min="6" max="6" width="11.5703125" customWidth="1"/>
    <col min="8" max="8" width="12.7109375" customWidth="1"/>
    <col min="9" max="9" width="11.85546875" customWidth="1"/>
    <col min="10" max="10" width="11.5703125" customWidth="1"/>
    <col min="12" max="12" width="12.42578125" customWidth="1"/>
    <col min="14" max="14" width="12.5703125" customWidth="1"/>
    <col min="15" max="15" width="12.140625" customWidth="1"/>
    <col min="16" max="16" width="11" customWidth="1"/>
  </cols>
  <sheetData>
    <row r="1" spans="1:21" ht="33.75" customHeight="1">
      <c r="A1" s="177" t="s">
        <v>167</v>
      </c>
      <c r="B1" s="177"/>
      <c r="C1" s="177"/>
      <c r="D1" s="177"/>
      <c r="E1" s="177"/>
      <c r="F1" s="177"/>
      <c r="G1" s="177"/>
      <c r="H1" s="177"/>
      <c r="I1" s="177"/>
      <c r="J1" s="177"/>
      <c r="K1" s="177"/>
      <c r="L1" s="177"/>
      <c r="M1" s="177"/>
      <c r="N1" s="177"/>
      <c r="O1" s="177"/>
      <c r="P1" s="177"/>
      <c r="R1" s="11"/>
      <c r="S1" s="11"/>
      <c r="T1" s="11"/>
      <c r="U1" s="11"/>
    </row>
    <row r="2" spans="1:21" ht="21.75" customHeight="1">
      <c r="A2" s="178" t="s">
        <v>1</v>
      </c>
      <c r="B2" s="179"/>
      <c r="C2" s="303" t="s">
        <v>118</v>
      </c>
      <c r="D2" s="304"/>
      <c r="E2" s="304"/>
      <c r="F2" s="304"/>
      <c r="G2" s="304"/>
      <c r="H2" s="305"/>
      <c r="I2" s="44"/>
      <c r="J2" s="221" t="s">
        <v>2</v>
      </c>
      <c r="K2" s="222"/>
      <c r="L2" s="232" t="s">
        <v>3</v>
      </c>
      <c r="M2" s="232"/>
      <c r="N2" s="232"/>
      <c r="O2" s="232"/>
      <c r="P2" s="233"/>
      <c r="R2" s="11"/>
      <c r="S2" s="11"/>
      <c r="T2" s="11"/>
      <c r="U2" s="11"/>
    </row>
    <row r="3" spans="1:21" ht="21.75" customHeight="1">
      <c r="A3" s="186" t="s">
        <v>4</v>
      </c>
      <c r="B3" s="187"/>
      <c r="C3" s="306" t="s">
        <v>119</v>
      </c>
      <c r="D3" s="307"/>
      <c r="E3" s="307"/>
      <c r="F3" s="307"/>
      <c r="G3" s="307"/>
      <c r="H3" s="308"/>
      <c r="I3" s="44"/>
      <c r="J3" s="191" t="s">
        <v>5</v>
      </c>
      <c r="K3" s="192"/>
      <c r="L3" s="192" t="s">
        <v>120</v>
      </c>
      <c r="M3" s="192"/>
      <c r="N3" s="192"/>
      <c r="O3" s="192"/>
      <c r="P3" s="201"/>
      <c r="R3" s="11"/>
      <c r="S3" s="11"/>
      <c r="T3" s="11"/>
      <c r="U3" s="11"/>
    </row>
    <row r="4" spans="1:21" ht="48" customHeight="1">
      <c r="A4" s="208" t="s">
        <v>7</v>
      </c>
      <c r="B4" s="179"/>
      <c r="C4" s="336" t="s">
        <v>121</v>
      </c>
      <c r="D4" s="337"/>
      <c r="E4" s="337"/>
      <c r="F4" s="337"/>
      <c r="G4" s="337"/>
      <c r="H4" s="338"/>
      <c r="I4" s="44"/>
      <c r="J4" s="339" t="s">
        <v>8</v>
      </c>
      <c r="K4" s="340"/>
      <c r="L4" s="340" t="s">
        <v>9</v>
      </c>
      <c r="M4" s="340"/>
      <c r="N4" s="340"/>
      <c r="O4" s="340"/>
      <c r="P4" s="341"/>
      <c r="R4" s="11"/>
      <c r="S4" s="11"/>
      <c r="T4" s="11"/>
      <c r="U4" s="11"/>
    </row>
    <row r="5" spans="1:21" ht="15">
      <c r="A5" s="11"/>
      <c r="B5" s="50"/>
      <c r="C5" s="50"/>
      <c r="D5" s="5"/>
      <c r="E5" s="5"/>
      <c r="F5" s="5"/>
      <c r="G5" s="5"/>
      <c r="H5" s="5"/>
      <c r="I5" s="5"/>
      <c r="J5" s="59"/>
      <c r="K5" s="59"/>
      <c r="L5" s="58"/>
      <c r="M5" s="58"/>
      <c r="N5" s="58"/>
      <c r="O5" s="58"/>
      <c r="P5" s="58"/>
      <c r="R5" s="11"/>
      <c r="S5" s="11"/>
      <c r="T5" s="11"/>
      <c r="U5" s="11"/>
    </row>
    <row r="6" spans="1:21" ht="22.5" customHeight="1">
      <c r="A6" s="325" t="s">
        <v>10</v>
      </c>
      <c r="B6" s="342"/>
      <c r="C6" s="342"/>
      <c r="D6" s="303" t="s">
        <v>122</v>
      </c>
      <c r="E6" s="304"/>
      <c r="F6" s="304"/>
      <c r="G6" s="304"/>
      <c r="H6" s="305"/>
      <c r="I6" s="44"/>
      <c r="J6" s="91" t="s">
        <v>11</v>
      </c>
      <c r="K6" s="73"/>
      <c r="L6" s="73"/>
      <c r="M6" s="73"/>
      <c r="N6" s="73"/>
      <c r="O6" s="73"/>
      <c r="P6" s="74" t="s">
        <v>12</v>
      </c>
      <c r="R6" s="50"/>
      <c r="S6" s="50"/>
      <c r="T6" s="50"/>
      <c r="U6" s="50"/>
    </row>
    <row r="7" spans="1:21" ht="23.25" customHeight="1">
      <c r="A7" s="362" t="s">
        <v>13</v>
      </c>
      <c r="B7" s="326"/>
      <c r="C7" s="326"/>
      <c r="D7" s="303" t="s">
        <v>123</v>
      </c>
      <c r="E7" s="304"/>
      <c r="F7" s="304"/>
      <c r="G7" s="304"/>
      <c r="H7" s="305"/>
      <c r="I7" s="44"/>
      <c r="J7" s="327" t="s">
        <v>14</v>
      </c>
      <c r="K7" s="328"/>
      <c r="L7" s="328"/>
      <c r="M7" s="328"/>
      <c r="N7" s="328"/>
      <c r="O7" s="329"/>
      <c r="P7" s="195"/>
      <c r="R7" s="50"/>
      <c r="S7" s="50"/>
      <c r="T7" s="50"/>
      <c r="U7" s="50"/>
    </row>
    <row r="8" spans="1:21" ht="21" customHeight="1">
      <c r="A8" s="245"/>
      <c r="B8" s="246"/>
      <c r="C8" s="246"/>
      <c r="D8" s="246"/>
      <c r="E8" s="246"/>
      <c r="F8" s="246"/>
      <c r="G8" s="246"/>
      <c r="H8" s="246"/>
      <c r="J8" s="330" t="s">
        <v>15</v>
      </c>
      <c r="K8" s="331"/>
      <c r="L8" s="331"/>
      <c r="M8" s="331"/>
      <c r="N8" s="331"/>
      <c r="O8" s="332"/>
      <c r="P8" s="196"/>
      <c r="R8" s="50"/>
      <c r="S8" s="50"/>
      <c r="T8" s="50"/>
      <c r="U8" s="50"/>
    </row>
    <row r="9" spans="1:21" ht="15.75" customHeight="1">
      <c r="A9" s="333" t="s">
        <v>16</v>
      </c>
      <c r="B9" s="334"/>
      <c r="C9" s="334"/>
      <c r="D9" s="334"/>
      <c r="E9" s="334"/>
      <c r="F9" s="334"/>
      <c r="G9" s="334"/>
      <c r="H9" s="335"/>
      <c r="I9" s="44"/>
      <c r="J9" s="205"/>
      <c r="K9" s="206"/>
      <c r="L9" s="206"/>
      <c r="M9" s="206"/>
      <c r="N9" s="206"/>
      <c r="O9" s="207"/>
      <c r="P9" s="197"/>
      <c r="R9" s="50"/>
      <c r="S9" s="50"/>
      <c r="T9" s="50"/>
      <c r="U9" s="50"/>
    </row>
    <row r="10" spans="1:21" ht="19.5" customHeight="1">
      <c r="A10" s="221" t="s">
        <v>17</v>
      </c>
      <c r="B10" s="354"/>
      <c r="C10" s="221" t="s">
        <v>125</v>
      </c>
      <c r="D10" s="222"/>
      <c r="E10" s="222"/>
      <c r="F10" s="222"/>
      <c r="G10" s="222"/>
      <c r="H10" s="355"/>
      <c r="I10" s="44"/>
      <c r="J10" s="95" t="s">
        <v>19</v>
      </c>
      <c r="K10" s="96"/>
      <c r="L10" s="96"/>
      <c r="M10" s="96"/>
      <c r="N10" s="96"/>
      <c r="O10" s="85"/>
      <c r="P10" s="344" t="s">
        <v>124</v>
      </c>
      <c r="R10" s="50"/>
      <c r="S10" s="50"/>
      <c r="T10" s="50"/>
      <c r="U10" s="50"/>
    </row>
    <row r="11" spans="1:21" ht="19.5" customHeight="1">
      <c r="A11" s="356" t="s">
        <v>20</v>
      </c>
      <c r="B11" s="357"/>
      <c r="C11" s="191" t="s">
        <v>126</v>
      </c>
      <c r="D11" s="309"/>
      <c r="E11" s="309"/>
      <c r="F11" s="309"/>
      <c r="G11" s="309"/>
      <c r="H11" s="358"/>
      <c r="I11" s="44"/>
      <c r="J11" s="77" t="s">
        <v>22</v>
      </c>
      <c r="K11" s="75"/>
      <c r="L11" s="75"/>
      <c r="M11" s="75"/>
      <c r="N11" s="75"/>
      <c r="O11" s="76"/>
      <c r="P11" s="345"/>
      <c r="R11" s="50"/>
      <c r="S11" s="50"/>
      <c r="T11" s="50"/>
      <c r="U11" s="50"/>
    </row>
    <row r="12" spans="1:21" ht="18.75" customHeight="1">
      <c r="A12" s="339" t="s">
        <v>23</v>
      </c>
      <c r="B12" s="359"/>
      <c r="C12" s="339" t="s">
        <v>127</v>
      </c>
      <c r="D12" s="360"/>
      <c r="E12" s="360"/>
      <c r="F12" s="360"/>
      <c r="G12" s="360"/>
      <c r="H12" s="361"/>
      <c r="I12" s="44"/>
      <c r="J12" s="77" t="s">
        <v>15</v>
      </c>
      <c r="K12" s="82"/>
      <c r="L12" s="82"/>
      <c r="M12" s="82"/>
      <c r="N12" s="83"/>
      <c r="O12" s="84"/>
      <c r="P12" s="345"/>
      <c r="R12" s="62"/>
      <c r="S12" s="62"/>
      <c r="T12" s="62"/>
      <c r="U12" s="62"/>
    </row>
    <row r="13" spans="1:21" ht="16.5" customHeight="1">
      <c r="A13" s="234"/>
      <c r="B13" s="234"/>
      <c r="C13" s="234"/>
      <c r="D13" s="234"/>
      <c r="E13" s="234"/>
      <c r="F13" s="234"/>
      <c r="G13" s="234"/>
      <c r="H13" s="234"/>
      <c r="J13" s="77"/>
      <c r="K13" s="78"/>
      <c r="L13" s="78"/>
      <c r="M13" s="78"/>
      <c r="N13" s="79"/>
      <c r="O13" s="80"/>
      <c r="P13" s="346"/>
      <c r="R13" s="61"/>
      <c r="S13" s="50"/>
      <c r="T13" s="50"/>
      <c r="U13" s="50"/>
    </row>
    <row r="14" spans="1:21" ht="18" customHeight="1">
      <c r="A14" s="343" t="s">
        <v>25</v>
      </c>
      <c r="B14" s="304"/>
      <c r="C14" s="304"/>
      <c r="D14" s="343">
        <v>149.4</v>
      </c>
      <c r="E14" s="304"/>
      <c r="F14" s="304"/>
      <c r="G14" s="304"/>
      <c r="H14" s="305"/>
      <c r="I14" s="44"/>
      <c r="J14" s="327" t="s">
        <v>26</v>
      </c>
      <c r="K14" s="328"/>
      <c r="L14" s="328"/>
      <c r="M14" s="328"/>
      <c r="N14" s="328"/>
      <c r="O14" s="329"/>
      <c r="P14" s="195"/>
      <c r="Q14" s="63"/>
      <c r="R14" s="63"/>
      <c r="S14" s="63"/>
      <c r="T14" s="63"/>
      <c r="U14" s="50"/>
    </row>
    <row r="15" spans="1:21" ht="17.25" customHeight="1">
      <c r="A15" s="303" t="s">
        <v>27</v>
      </c>
      <c r="B15" s="347"/>
      <c r="C15" s="347"/>
      <c r="D15" s="348">
        <f>I51</f>
        <v>1448</v>
      </c>
      <c r="E15" s="349"/>
      <c r="F15" s="349"/>
      <c r="G15" s="349"/>
      <c r="H15" s="350"/>
      <c r="I15" s="44"/>
      <c r="J15" s="351" t="s">
        <v>28</v>
      </c>
      <c r="K15" s="352"/>
      <c r="L15" s="352"/>
      <c r="M15" s="352"/>
      <c r="N15" s="352"/>
      <c r="O15" s="353"/>
      <c r="P15" s="196"/>
      <c r="Q15" s="1"/>
      <c r="R15" s="1"/>
      <c r="S15" s="2"/>
      <c r="T15" s="2"/>
      <c r="U15" s="50"/>
    </row>
    <row r="16" spans="1:21" ht="15" customHeight="1">
      <c r="A16" s="245"/>
      <c r="B16" s="246"/>
      <c r="C16" s="246"/>
      <c r="D16" s="246"/>
      <c r="E16" s="246"/>
      <c r="F16" s="246"/>
      <c r="G16" s="246"/>
      <c r="H16" s="246"/>
      <c r="J16" s="205"/>
      <c r="K16" s="206"/>
      <c r="L16" s="206"/>
      <c r="M16" s="206"/>
      <c r="N16" s="206"/>
      <c r="O16" s="207"/>
      <c r="P16" s="197"/>
      <c r="Q16" s="60"/>
      <c r="R16" s="50"/>
      <c r="S16" s="50"/>
      <c r="T16" s="64"/>
      <c r="U16" s="50"/>
    </row>
    <row r="17" spans="1:21" ht="20.25" customHeight="1">
      <c r="A17" s="362" t="s">
        <v>29</v>
      </c>
      <c r="B17" s="326"/>
      <c r="C17" s="326"/>
      <c r="D17" s="326"/>
      <c r="E17" s="303" t="s">
        <v>128</v>
      </c>
      <c r="F17" s="304"/>
      <c r="G17" s="304"/>
      <c r="H17" s="305"/>
      <c r="I17" s="44"/>
      <c r="J17" s="247"/>
      <c r="K17" s="247"/>
      <c r="L17" s="247"/>
      <c r="M17" s="247"/>
      <c r="N17" s="247"/>
      <c r="O17" s="247"/>
      <c r="P17" s="247"/>
      <c r="Q17" s="50"/>
      <c r="R17" s="50"/>
      <c r="S17" s="50"/>
      <c r="T17" s="50"/>
      <c r="U17" s="50"/>
    </row>
    <row r="18" spans="1:21" ht="21.75" customHeight="1">
      <c r="A18" s="325" t="s">
        <v>129</v>
      </c>
      <c r="B18" s="326"/>
      <c r="C18" s="326"/>
      <c r="D18" s="363"/>
      <c r="E18" s="303" t="s">
        <v>130</v>
      </c>
      <c r="F18" s="347"/>
      <c r="G18" s="347"/>
      <c r="H18" s="364"/>
      <c r="I18" s="44"/>
      <c r="J18" s="365" t="s">
        <v>32</v>
      </c>
      <c r="K18" s="366"/>
      <c r="L18" s="366"/>
      <c r="M18" s="367">
        <v>45982</v>
      </c>
      <c r="N18" s="368"/>
      <c r="O18" s="368"/>
      <c r="P18" s="368"/>
      <c r="Q18" s="50"/>
      <c r="R18" s="50"/>
      <c r="S18" s="50"/>
      <c r="T18" s="50"/>
      <c r="U18" s="50"/>
    </row>
    <row r="19" spans="1:21" ht="18.75" customHeight="1">
      <c r="I19" s="44"/>
      <c r="J19" s="50"/>
      <c r="K19" s="50"/>
      <c r="L19" s="50"/>
      <c r="M19" s="61"/>
      <c r="N19" s="61"/>
      <c r="O19" s="50"/>
      <c r="P19" s="50"/>
      <c r="Q19" s="50"/>
      <c r="R19" s="50"/>
      <c r="S19" s="50"/>
      <c r="T19" s="50"/>
      <c r="U19" s="50"/>
    </row>
    <row r="20" spans="1:21" ht="15">
      <c r="A20" s="53" t="s">
        <v>33</v>
      </c>
      <c r="B20" s="71"/>
      <c r="C20" s="71"/>
      <c r="D20" s="53"/>
      <c r="E20" s="53"/>
      <c r="F20" s="53"/>
      <c r="G20" s="54"/>
      <c r="H20" s="54"/>
      <c r="I20" s="54"/>
      <c r="J20" s="54"/>
      <c r="K20" s="54"/>
      <c r="L20" s="54"/>
      <c r="M20" s="54"/>
      <c r="N20" s="54"/>
      <c r="O20" s="54"/>
      <c r="P20" s="54"/>
      <c r="Q20" s="11"/>
      <c r="R20" s="11"/>
      <c r="S20" s="11"/>
      <c r="T20" s="11"/>
      <c r="U20" s="11"/>
    </row>
    <row r="21" spans="1:21" ht="15">
      <c r="A21" s="53" t="s">
        <v>34</v>
      </c>
      <c r="B21" s="53" t="s">
        <v>35</v>
      </c>
      <c r="C21" s="386" t="s">
        <v>36</v>
      </c>
      <c r="D21" s="386"/>
      <c r="E21" s="386" t="s">
        <v>37</v>
      </c>
      <c r="F21" s="386"/>
      <c r="G21" s="53" t="s">
        <v>38</v>
      </c>
      <c r="H21" s="53" t="s">
        <v>39</v>
      </c>
      <c r="I21" s="386" t="s">
        <v>40</v>
      </c>
      <c r="J21" s="386"/>
      <c r="K21" s="53" t="s">
        <v>41</v>
      </c>
      <c r="L21" s="53" t="s">
        <v>42</v>
      </c>
      <c r="M21" s="53" t="s">
        <v>43</v>
      </c>
      <c r="N21" s="72" t="s">
        <v>44</v>
      </c>
      <c r="O21" s="386" t="s">
        <v>45</v>
      </c>
      <c r="P21" s="386"/>
      <c r="Q21" s="64"/>
      <c r="R21" s="64"/>
      <c r="S21" s="64"/>
      <c r="T21" s="64"/>
      <c r="U21" s="64"/>
    </row>
    <row r="22" spans="1:21" ht="15" customHeight="1">
      <c r="A22" s="369" t="s">
        <v>46</v>
      </c>
      <c r="B22" s="370"/>
      <c r="C22" s="371" t="s">
        <v>47</v>
      </c>
      <c r="D22" s="372"/>
      <c r="E22" s="371" t="s">
        <v>48</v>
      </c>
      <c r="F22" s="372"/>
      <c r="G22" s="375" t="s">
        <v>49</v>
      </c>
      <c r="H22" s="375" t="s">
        <v>50</v>
      </c>
      <c r="I22" s="377" t="s">
        <v>51</v>
      </c>
      <c r="J22" s="378"/>
      <c r="K22" s="369" t="s">
        <v>52</v>
      </c>
      <c r="L22" s="381"/>
      <c r="M22" s="370"/>
      <c r="N22" s="377" t="s">
        <v>53</v>
      </c>
      <c r="O22" s="377" t="s">
        <v>54</v>
      </c>
      <c r="P22" s="378"/>
      <c r="Q22" s="3"/>
      <c r="R22" s="3"/>
      <c r="S22" s="3"/>
      <c r="T22" s="3"/>
      <c r="U22" s="3"/>
    </row>
    <row r="23" spans="1:21" s="66" customFormat="1" ht="30.75" customHeight="1">
      <c r="A23" s="45" t="s">
        <v>55</v>
      </c>
      <c r="B23" s="46" t="s">
        <v>56</v>
      </c>
      <c r="C23" s="373"/>
      <c r="D23" s="374"/>
      <c r="E23" s="373"/>
      <c r="F23" s="374"/>
      <c r="G23" s="376"/>
      <c r="H23" s="376"/>
      <c r="I23" s="379"/>
      <c r="J23" s="380"/>
      <c r="K23" s="46" t="s">
        <v>57</v>
      </c>
      <c r="L23" s="46" t="s">
        <v>58</v>
      </c>
      <c r="M23" s="46" t="s">
        <v>59</v>
      </c>
      <c r="N23" s="379"/>
      <c r="O23" s="379"/>
      <c r="P23" s="380"/>
      <c r="Q23" s="47"/>
      <c r="R23" s="47"/>
      <c r="S23" s="47"/>
      <c r="T23" s="47"/>
      <c r="U23" s="47"/>
    </row>
    <row r="24" spans="1:21" ht="35.25" customHeight="1">
      <c r="A24" s="46"/>
      <c r="B24" s="46">
        <v>1</v>
      </c>
      <c r="C24" s="397" t="s">
        <v>168</v>
      </c>
      <c r="D24" s="398"/>
      <c r="E24" s="400" t="s">
        <v>169</v>
      </c>
      <c r="F24" s="401"/>
      <c r="G24" s="46">
        <v>1</v>
      </c>
      <c r="H24" s="46">
        <v>98</v>
      </c>
      <c r="I24" s="384">
        <v>98</v>
      </c>
      <c r="J24" s="385"/>
      <c r="K24" s="46">
        <v>60</v>
      </c>
      <c r="L24" s="46">
        <v>30</v>
      </c>
      <c r="M24" s="46">
        <v>40</v>
      </c>
      <c r="N24" s="65">
        <v>7.5999999999999998E-2</v>
      </c>
      <c r="O24" s="382">
        <v>7.6</v>
      </c>
      <c r="P24" s="383"/>
      <c r="Q24" s="7"/>
      <c r="R24" s="7"/>
      <c r="S24" s="7"/>
      <c r="T24" s="7"/>
      <c r="U24" s="7"/>
    </row>
    <row r="25" spans="1:21" ht="20.25" customHeight="1">
      <c r="A25" s="46">
        <v>2</v>
      </c>
      <c r="B25" s="46">
        <v>4</v>
      </c>
      <c r="C25" s="382">
        <v>30</v>
      </c>
      <c r="D25" s="383"/>
      <c r="E25" s="382" t="s">
        <v>133</v>
      </c>
      <c r="F25" s="383"/>
      <c r="G25" s="46">
        <v>3</v>
      </c>
      <c r="H25" s="46">
        <v>110</v>
      </c>
      <c r="I25" s="384">
        <v>330</v>
      </c>
      <c r="J25" s="385"/>
      <c r="K25" s="46">
        <v>60</v>
      </c>
      <c r="L25" s="46">
        <v>30</v>
      </c>
      <c r="M25" s="46">
        <v>40</v>
      </c>
      <c r="N25" s="65">
        <v>0.22900000000000001</v>
      </c>
      <c r="O25" s="382">
        <v>29.7</v>
      </c>
      <c r="P25" s="383"/>
      <c r="Q25" s="7"/>
      <c r="R25" s="7"/>
      <c r="S25" s="7"/>
      <c r="T25" s="7"/>
      <c r="U25" s="7"/>
    </row>
    <row r="26" spans="1:21" ht="20.25" customHeight="1">
      <c r="A26" s="46">
        <v>5</v>
      </c>
      <c r="B26" s="46">
        <v>8</v>
      </c>
      <c r="C26" s="382">
        <v>38</v>
      </c>
      <c r="D26" s="383"/>
      <c r="E26" s="382" t="s">
        <v>134</v>
      </c>
      <c r="F26" s="383"/>
      <c r="G26" s="46">
        <v>4</v>
      </c>
      <c r="H26" s="46">
        <v>100</v>
      </c>
      <c r="I26" s="384">
        <v>400</v>
      </c>
      <c r="J26" s="385"/>
      <c r="K26" s="46">
        <v>60</v>
      </c>
      <c r="L26" s="46">
        <v>30</v>
      </c>
      <c r="M26" s="46">
        <v>40</v>
      </c>
      <c r="N26" s="65">
        <v>0.30499999999999999</v>
      </c>
      <c r="O26" s="382">
        <v>46.4</v>
      </c>
      <c r="P26" s="383"/>
      <c r="Q26" s="7"/>
      <c r="R26" s="7"/>
      <c r="S26" s="7"/>
      <c r="T26" s="7"/>
      <c r="U26" s="7"/>
    </row>
    <row r="27" spans="1:21" ht="20.25" customHeight="1">
      <c r="A27" s="46">
        <v>9</v>
      </c>
      <c r="B27" s="46">
        <v>11</v>
      </c>
      <c r="C27" s="382">
        <v>40</v>
      </c>
      <c r="D27" s="383"/>
      <c r="E27" s="382" t="s">
        <v>135</v>
      </c>
      <c r="F27" s="383"/>
      <c r="G27" s="46">
        <v>3</v>
      </c>
      <c r="H27" s="46">
        <v>100</v>
      </c>
      <c r="I27" s="384">
        <v>300</v>
      </c>
      <c r="J27" s="385"/>
      <c r="K27" s="46">
        <v>60</v>
      </c>
      <c r="L27" s="46">
        <v>30</v>
      </c>
      <c r="M27" s="46">
        <v>40</v>
      </c>
      <c r="N27" s="65">
        <v>0.22900000000000001</v>
      </c>
      <c r="O27" s="382">
        <v>34.799999999999997</v>
      </c>
      <c r="P27" s="383"/>
      <c r="Q27" s="7"/>
      <c r="R27" s="7"/>
      <c r="S27" s="7"/>
      <c r="T27" s="7"/>
      <c r="U27" s="7"/>
    </row>
    <row r="28" spans="1:21" ht="20.25" customHeight="1">
      <c r="A28" s="46">
        <v>12</v>
      </c>
      <c r="B28" s="46">
        <v>13</v>
      </c>
      <c r="C28" s="382">
        <v>41</v>
      </c>
      <c r="D28" s="383"/>
      <c r="E28" s="382" t="s">
        <v>136</v>
      </c>
      <c r="F28" s="383"/>
      <c r="G28" s="46">
        <v>2</v>
      </c>
      <c r="H28" s="46">
        <v>90</v>
      </c>
      <c r="I28" s="384">
        <v>180</v>
      </c>
      <c r="J28" s="385"/>
      <c r="K28" s="46">
        <v>60</v>
      </c>
      <c r="L28" s="46">
        <v>30</v>
      </c>
      <c r="M28" s="46">
        <v>40</v>
      </c>
      <c r="N28" s="65">
        <v>0.153</v>
      </c>
      <c r="O28" s="382">
        <v>22.4</v>
      </c>
      <c r="P28" s="383"/>
      <c r="Q28" s="7"/>
      <c r="R28" s="7"/>
      <c r="S28" s="7"/>
      <c r="T28" s="7"/>
      <c r="U28" s="7"/>
    </row>
    <row r="29" spans="1:21" ht="20.25" customHeight="1">
      <c r="A29" s="46"/>
      <c r="B29" s="46">
        <v>14</v>
      </c>
      <c r="C29" s="397" t="s">
        <v>170</v>
      </c>
      <c r="D29" s="398"/>
      <c r="E29" s="397" t="s">
        <v>171</v>
      </c>
      <c r="F29" s="398"/>
      <c r="G29" s="46">
        <v>1</v>
      </c>
      <c r="H29" s="46">
        <v>70</v>
      </c>
      <c r="I29" s="384">
        <v>70</v>
      </c>
      <c r="J29" s="385"/>
      <c r="K29" s="46">
        <v>60</v>
      </c>
      <c r="L29" s="46">
        <v>30</v>
      </c>
      <c r="M29" s="46">
        <v>40</v>
      </c>
      <c r="N29" s="65">
        <v>7.5999999999999998E-2</v>
      </c>
      <c r="O29" s="382">
        <v>10.1</v>
      </c>
      <c r="P29" s="383"/>
      <c r="Q29" s="7"/>
      <c r="R29" s="7"/>
      <c r="S29" s="7"/>
      <c r="T29" s="7"/>
      <c r="U29" s="7"/>
    </row>
    <row r="30" spans="1:21" ht="20.25" customHeight="1">
      <c r="A30" s="46"/>
      <c r="B30" s="46">
        <v>15</v>
      </c>
      <c r="C30" s="399" t="s">
        <v>172</v>
      </c>
      <c r="D30" s="398"/>
      <c r="E30" s="399" t="s">
        <v>173</v>
      </c>
      <c r="F30" s="398"/>
      <c r="G30" s="46">
        <v>1</v>
      </c>
      <c r="H30" s="46">
        <v>70</v>
      </c>
      <c r="I30" s="384">
        <v>70</v>
      </c>
      <c r="J30" s="385"/>
      <c r="K30" s="46">
        <v>60</v>
      </c>
      <c r="L30" s="46">
        <v>30</v>
      </c>
      <c r="M30" s="46">
        <v>40</v>
      </c>
      <c r="N30" s="65">
        <v>7.5999999999999998E-2</v>
      </c>
      <c r="O30" s="382">
        <v>10.3</v>
      </c>
      <c r="P30" s="383"/>
      <c r="Q30" s="7"/>
      <c r="R30" s="7"/>
      <c r="S30" s="7"/>
      <c r="T30" s="7"/>
      <c r="U30" s="7"/>
    </row>
    <row r="31" spans="1:21" ht="20.25" customHeight="1">
      <c r="A31" s="46"/>
      <c r="B31" s="46"/>
      <c r="C31" s="382"/>
      <c r="D31" s="383"/>
      <c r="E31" s="382"/>
      <c r="F31" s="383"/>
      <c r="G31" s="46"/>
      <c r="H31" s="46"/>
      <c r="I31" s="384"/>
      <c r="J31" s="385"/>
      <c r="K31" s="46"/>
      <c r="L31" s="46"/>
      <c r="M31" s="46"/>
      <c r="N31" s="65"/>
      <c r="O31" s="382"/>
      <c r="P31" s="383"/>
      <c r="Q31" s="7"/>
      <c r="R31" s="7"/>
      <c r="S31" s="7"/>
      <c r="T31" s="7"/>
      <c r="U31" s="7"/>
    </row>
    <row r="32" spans="1:21" ht="20.25" customHeight="1">
      <c r="A32" s="46"/>
      <c r="B32" s="46"/>
      <c r="C32" s="382"/>
      <c r="D32" s="383"/>
      <c r="E32" s="382"/>
      <c r="F32" s="383"/>
      <c r="G32" s="46"/>
      <c r="H32" s="46"/>
      <c r="I32" s="384"/>
      <c r="J32" s="385"/>
      <c r="K32" s="46"/>
      <c r="L32" s="46"/>
      <c r="M32" s="46"/>
      <c r="N32" s="65"/>
      <c r="O32" s="382"/>
      <c r="P32" s="383"/>
      <c r="Q32" s="7"/>
      <c r="R32" s="7"/>
      <c r="S32" s="7"/>
      <c r="T32" s="7"/>
      <c r="U32" s="7"/>
    </row>
    <row r="33" spans="1:21" ht="20.25" customHeight="1">
      <c r="A33" s="46"/>
      <c r="B33" s="46"/>
      <c r="C33" s="382"/>
      <c r="D33" s="383"/>
      <c r="E33" s="382"/>
      <c r="F33" s="383"/>
      <c r="G33" s="46"/>
      <c r="H33" s="46"/>
      <c r="I33" s="384"/>
      <c r="J33" s="385"/>
      <c r="K33" s="46"/>
      <c r="L33" s="46"/>
      <c r="M33" s="46"/>
      <c r="N33" s="65"/>
      <c r="O33" s="382"/>
      <c r="P33" s="383"/>
      <c r="Q33" s="7"/>
      <c r="R33" s="7"/>
      <c r="S33" s="7"/>
      <c r="T33" s="7"/>
      <c r="U33" s="7"/>
    </row>
    <row r="34" spans="1:21" ht="20.25" customHeight="1">
      <c r="A34" s="46"/>
      <c r="B34" s="46"/>
      <c r="C34" s="382"/>
      <c r="D34" s="383"/>
      <c r="E34" s="382"/>
      <c r="F34" s="383"/>
      <c r="G34" s="46"/>
      <c r="H34" s="46"/>
      <c r="I34" s="384"/>
      <c r="J34" s="385"/>
      <c r="K34" s="46"/>
      <c r="L34" s="46"/>
      <c r="M34" s="46"/>
      <c r="N34" s="65"/>
      <c r="O34" s="382"/>
      <c r="P34" s="383"/>
      <c r="Q34" s="7"/>
      <c r="R34" s="7"/>
      <c r="S34" s="7"/>
      <c r="T34" s="7"/>
      <c r="U34" s="7"/>
    </row>
    <row r="35" spans="1:21" ht="20.25" customHeight="1">
      <c r="A35" s="46"/>
      <c r="B35" s="46"/>
      <c r="C35" s="382"/>
      <c r="D35" s="383"/>
      <c r="E35" s="382"/>
      <c r="F35" s="383"/>
      <c r="G35" s="46"/>
      <c r="H35" s="46"/>
      <c r="I35" s="384"/>
      <c r="J35" s="385"/>
      <c r="K35" s="46"/>
      <c r="L35" s="46"/>
      <c r="M35" s="46"/>
      <c r="N35" s="65"/>
      <c r="O35" s="382"/>
      <c r="P35" s="383"/>
      <c r="Q35" s="7"/>
      <c r="R35" s="7"/>
      <c r="S35" s="7"/>
      <c r="T35" s="7"/>
      <c r="U35" s="7"/>
    </row>
    <row r="36" spans="1:21" ht="20.25" customHeight="1">
      <c r="A36" s="46"/>
      <c r="B36" s="46"/>
      <c r="C36" s="382"/>
      <c r="D36" s="383"/>
      <c r="E36" s="382"/>
      <c r="F36" s="383"/>
      <c r="G36" s="46"/>
      <c r="H36" s="46"/>
      <c r="I36" s="384"/>
      <c r="J36" s="385"/>
      <c r="K36" s="46"/>
      <c r="L36" s="46"/>
      <c r="M36" s="46"/>
      <c r="N36" s="65"/>
      <c r="O36" s="382"/>
      <c r="P36" s="383"/>
      <c r="Q36" s="7"/>
      <c r="R36" s="7"/>
      <c r="S36" s="7"/>
      <c r="T36" s="7"/>
      <c r="U36" s="7"/>
    </row>
    <row r="37" spans="1:21" ht="20.25" customHeight="1">
      <c r="A37" s="46"/>
      <c r="B37" s="46"/>
      <c r="C37" s="382"/>
      <c r="D37" s="383"/>
      <c r="E37" s="382"/>
      <c r="F37" s="383"/>
      <c r="G37" s="46"/>
      <c r="H37" s="46"/>
      <c r="I37" s="384"/>
      <c r="J37" s="385"/>
      <c r="K37" s="46"/>
      <c r="L37" s="46"/>
      <c r="M37" s="46"/>
      <c r="N37" s="65"/>
      <c r="O37" s="382"/>
      <c r="P37" s="383"/>
      <c r="Q37" s="7"/>
      <c r="R37" s="7"/>
      <c r="S37" s="7"/>
      <c r="T37" s="7"/>
      <c r="U37" s="7"/>
    </row>
    <row r="38" spans="1:21" ht="20.25" customHeight="1">
      <c r="A38" s="46"/>
      <c r="B38" s="46"/>
      <c r="C38" s="382"/>
      <c r="D38" s="383"/>
      <c r="E38" s="382"/>
      <c r="F38" s="383"/>
      <c r="G38" s="46"/>
      <c r="H38" s="46"/>
      <c r="I38" s="384"/>
      <c r="J38" s="385"/>
      <c r="K38" s="46"/>
      <c r="L38" s="46"/>
      <c r="M38" s="46"/>
      <c r="N38" s="65"/>
      <c r="O38" s="382"/>
      <c r="P38" s="383"/>
      <c r="Q38" s="7"/>
      <c r="R38" s="7"/>
      <c r="S38" s="7"/>
      <c r="T38" s="7"/>
      <c r="U38" s="7"/>
    </row>
    <row r="39" spans="1:21" ht="20.25" customHeight="1">
      <c r="A39" s="46"/>
      <c r="B39" s="46"/>
      <c r="C39" s="382"/>
      <c r="D39" s="383"/>
      <c r="E39" s="382"/>
      <c r="F39" s="383"/>
      <c r="G39" s="46"/>
      <c r="H39" s="46"/>
      <c r="I39" s="384"/>
      <c r="J39" s="385"/>
      <c r="K39" s="46"/>
      <c r="L39" s="46"/>
      <c r="M39" s="46"/>
      <c r="N39" s="65"/>
      <c r="O39" s="382"/>
      <c r="P39" s="383"/>
      <c r="Q39" s="7"/>
      <c r="R39" s="7"/>
      <c r="S39" s="7"/>
      <c r="T39" s="7"/>
      <c r="U39" s="7"/>
    </row>
    <row r="40" spans="1:21" ht="20.25" customHeight="1">
      <c r="A40" s="46"/>
      <c r="B40" s="46"/>
      <c r="C40" s="382"/>
      <c r="D40" s="383"/>
      <c r="E40" s="382"/>
      <c r="F40" s="383"/>
      <c r="G40" s="46"/>
      <c r="H40" s="46"/>
      <c r="I40" s="384"/>
      <c r="J40" s="385"/>
      <c r="K40" s="46"/>
      <c r="L40" s="46"/>
      <c r="M40" s="46"/>
      <c r="N40" s="65"/>
      <c r="O40" s="382"/>
      <c r="P40" s="383"/>
      <c r="Q40" s="7"/>
      <c r="R40" s="7"/>
      <c r="S40" s="7"/>
      <c r="T40" s="7"/>
      <c r="U40" s="7"/>
    </row>
    <row r="41" spans="1:21" ht="20.25" customHeight="1">
      <c r="A41" s="46"/>
      <c r="B41" s="46"/>
      <c r="C41" s="382"/>
      <c r="D41" s="383"/>
      <c r="E41" s="382"/>
      <c r="F41" s="383"/>
      <c r="G41" s="46"/>
      <c r="H41" s="46"/>
      <c r="I41" s="384"/>
      <c r="J41" s="385"/>
      <c r="K41" s="46"/>
      <c r="L41" s="46"/>
      <c r="M41" s="46"/>
      <c r="N41" s="65"/>
      <c r="O41" s="382"/>
      <c r="P41" s="383"/>
      <c r="Q41" s="7"/>
      <c r="R41" s="7"/>
      <c r="S41" s="7"/>
      <c r="T41" s="7"/>
      <c r="U41" s="7"/>
    </row>
    <row r="42" spans="1:21" ht="20.25" customHeight="1">
      <c r="A42" s="46"/>
      <c r="B42" s="46"/>
      <c r="C42" s="382"/>
      <c r="D42" s="383"/>
      <c r="E42" s="382"/>
      <c r="F42" s="383"/>
      <c r="G42" s="46"/>
      <c r="H42" s="46"/>
      <c r="I42" s="384"/>
      <c r="J42" s="385"/>
      <c r="K42" s="46"/>
      <c r="L42" s="46"/>
      <c r="M42" s="46"/>
      <c r="N42" s="65"/>
      <c r="O42" s="382"/>
      <c r="P42" s="383"/>
      <c r="Q42" s="7"/>
      <c r="R42" s="7"/>
      <c r="S42" s="7"/>
      <c r="T42" s="7"/>
      <c r="U42" s="7"/>
    </row>
    <row r="43" spans="1:21" ht="20.25" customHeight="1">
      <c r="A43" s="46"/>
      <c r="B43" s="46"/>
      <c r="C43" s="382"/>
      <c r="D43" s="383"/>
      <c r="E43" s="382"/>
      <c r="F43" s="383"/>
      <c r="G43" s="46"/>
      <c r="H43" s="46"/>
      <c r="I43" s="384"/>
      <c r="J43" s="385"/>
      <c r="K43" s="46"/>
      <c r="L43" s="46"/>
      <c r="M43" s="46"/>
      <c r="N43" s="65"/>
      <c r="O43" s="382"/>
      <c r="P43" s="383"/>
      <c r="Q43" s="7"/>
      <c r="R43" s="7"/>
      <c r="S43" s="7"/>
      <c r="T43" s="7"/>
      <c r="U43" s="7"/>
    </row>
    <row r="44" spans="1:21" ht="20.25" customHeight="1">
      <c r="A44" s="46"/>
      <c r="B44" s="46"/>
      <c r="C44" s="382"/>
      <c r="D44" s="383"/>
      <c r="E44" s="382"/>
      <c r="F44" s="383"/>
      <c r="G44" s="46"/>
      <c r="H44" s="46"/>
      <c r="I44" s="384"/>
      <c r="J44" s="385"/>
      <c r="K44" s="46"/>
      <c r="L44" s="46"/>
      <c r="M44" s="46"/>
      <c r="N44" s="65"/>
      <c r="O44" s="382"/>
      <c r="P44" s="383"/>
      <c r="Q44" s="7"/>
      <c r="R44" s="7"/>
      <c r="S44" s="7"/>
      <c r="T44" s="7"/>
      <c r="U44" s="7"/>
    </row>
    <row r="45" spans="1:21" ht="20.25" customHeight="1">
      <c r="A45" s="46"/>
      <c r="B45" s="46"/>
      <c r="C45" s="382"/>
      <c r="D45" s="383"/>
      <c r="E45" s="382"/>
      <c r="F45" s="383"/>
      <c r="G45" s="46"/>
      <c r="H45" s="46"/>
      <c r="I45" s="384"/>
      <c r="J45" s="385"/>
      <c r="K45" s="46"/>
      <c r="L45" s="46"/>
      <c r="M45" s="46"/>
      <c r="N45" s="65"/>
      <c r="O45" s="382"/>
      <c r="P45" s="383"/>
      <c r="Q45" s="7"/>
      <c r="R45" s="7"/>
      <c r="S45" s="7"/>
      <c r="T45" s="7"/>
      <c r="U45" s="7"/>
    </row>
    <row r="46" spans="1:21" ht="20.25" customHeight="1">
      <c r="A46" s="46"/>
      <c r="B46" s="46"/>
      <c r="C46" s="382"/>
      <c r="D46" s="383"/>
      <c r="E46" s="382"/>
      <c r="F46" s="383"/>
      <c r="G46" s="46"/>
      <c r="H46" s="46"/>
      <c r="I46" s="384"/>
      <c r="J46" s="385"/>
      <c r="K46" s="46"/>
      <c r="L46" s="46"/>
      <c r="M46" s="46"/>
      <c r="N46" s="65"/>
      <c r="O46" s="382"/>
      <c r="P46" s="383"/>
      <c r="Q46" s="7"/>
      <c r="R46" s="7"/>
      <c r="S46" s="7"/>
      <c r="T46" s="7"/>
      <c r="U46" s="7"/>
    </row>
    <row r="47" spans="1:21" ht="20.25" customHeight="1">
      <c r="A47" s="46"/>
      <c r="B47" s="46"/>
      <c r="C47" s="382"/>
      <c r="D47" s="383"/>
      <c r="E47" s="382"/>
      <c r="F47" s="383"/>
      <c r="G47" s="46"/>
      <c r="H47" s="46"/>
      <c r="I47" s="384"/>
      <c r="J47" s="385"/>
      <c r="K47" s="46"/>
      <c r="L47" s="46"/>
      <c r="M47" s="46"/>
      <c r="N47" s="65"/>
      <c r="O47" s="382"/>
      <c r="P47" s="383"/>
      <c r="Q47" s="7"/>
      <c r="R47" s="7"/>
      <c r="S47" s="7"/>
      <c r="T47" s="7"/>
      <c r="U47" s="7"/>
    </row>
    <row r="48" spans="1:21" ht="20.25" customHeight="1">
      <c r="A48" s="46"/>
      <c r="B48" s="46"/>
      <c r="C48" s="382"/>
      <c r="D48" s="383"/>
      <c r="E48" s="382"/>
      <c r="F48" s="383"/>
      <c r="G48" s="46"/>
      <c r="H48" s="46"/>
      <c r="I48" s="384"/>
      <c r="J48" s="385"/>
      <c r="K48" s="46"/>
      <c r="L48" s="46"/>
      <c r="M48" s="46"/>
      <c r="N48" s="65"/>
      <c r="O48" s="382"/>
      <c r="P48" s="383"/>
      <c r="Q48" s="7"/>
      <c r="R48" s="7"/>
      <c r="S48" s="7"/>
      <c r="T48" s="7"/>
      <c r="U48" s="7"/>
    </row>
    <row r="49" spans="1:21" ht="20.25" customHeight="1">
      <c r="A49" s="46"/>
      <c r="B49" s="46"/>
      <c r="C49" s="382"/>
      <c r="D49" s="383"/>
      <c r="E49" s="382"/>
      <c r="F49" s="383"/>
      <c r="G49" s="46"/>
      <c r="H49" s="46"/>
      <c r="I49" s="384"/>
      <c r="J49" s="385"/>
      <c r="K49" s="46"/>
      <c r="L49" s="46"/>
      <c r="M49" s="46"/>
      <c r="N49" s="65"/>
      <c r="O49" s="382"/>
      <c r="P49" s="383"/>
      <c r="Q49" s="11"/>
      <c r="R49" s="11"/>
      <c r="S49" s="11"/>
      <c r="T49" s="11"/>
      <c r="U49" s="11"/>
    </row>
    <row r="50" spans="1:21" ht="15">
      <c r="A50" s="11"/>
      <c r="B50" s="11"/>
      <c r="C50" s="11"/>
      <c r="D50" s="64"/>
      <c r="E50" s="64"/>
      <c r="F50" s="64"/>
      <c r="G50" s="51"/>
      <c r="H50" s="11"/>
      <c r="I50" s="393"/>
      <c r="J50" s="393"/>
      <c r="K50" s="11"/>
      <c r="L50" s="11"/>
      <c r="M50" s="11"/>
      <c r="N50" s="81"/>
      <c r="O50" s="247"/>
      <c r="P50" s="247"/>
      <c r="Q50" s="11"/>
      <c r="R50" s="11"/>
      <c r="S50" s="11"/>
      <c r="T50" s="11"/>
      <c r="U50" s="11"/>
    </row>
    <row r="51" spans="1:21">
      <c r="A51" s="52" t="s">
        <v>60</v>
      </c>
      <c r="D51" s="64"/>
      <c r="E51" s="64"/>
      <c r="F51" s="64"/>
      <c r="G51" s="46">
        <f>SUM(G24:G50)</f>
        <v>15</v>
      </c>
      <c r="H51" s="11"/>
      <c r="I51" s="387">
        <f>SUM(I24:J50)</f>
        <v>1448</v>
      </c>
      <c r="J51" s="388"/>
      <c r="K51" s="11"/>
      <c r="M51" s="11"/>
      <c r="N51" s="97">
        <f>SUM(N24:N50)</f>
        <v>1.1440000000000001</v>
      </c>
      <c r="O51" s="389">
        <f>SUM(O24:P50)</f>
        <v>161.29999999999998</v>
      </c>
      <c r="P51" s="389"/>
      <c r="R51" s="11"/>
      <c r="S51" s="11"/>
      <c r="T51" s="11"/>
      <c r="U51" s="11"/>
    </row>
    <row r="52" spans="1:21" ht="15">
      <c r="A52" s="11"/>
      <c r="B52" s="11"/>
      <c r="C52" s="11"/>
      <c r="D52" s="64"/>
      <c r="E52" s="64"/>
      <c r="F52" s="64"/>
      <c r="G52" s="64" t="s">
        <v>61</v>
      </c>
      <c r="H52" s="64"/>
      <c r="I52" s="390" t="s">
        <v>62</v>
      </c>
      <c r="J52" s="390"/>
      <c r="K52" s="64"/>
      <c r="M52" s="64"/>
      <c r="N52" s="69" t="s">
        <v>63</v>
      </c>
      <c r="O52" s="390" t="s">
        <v>64</v>
      </c>
      <c r="P52" s="390"/>
      <c r="R52" s="11"/>
      <c r="S52" s="11"/>
      <c r="T52" s="11"/>
      <c r="U52" s="11"/>
    </row>
    <row r="53" spans="1:21" ht="15">
      <c r="A53" s="11"/>
      <c r="B53" s="11"/>
      <c r="C53" s="11"/>
      <c r="D53" s="64"/>
      <c r="E53" s="64"/>
      <c r="F53" s="64"/>
      <c r="G53" s="64"/>
      <c r="H53" s="64"/>
      <c r="I53" s="69"/>
      <c r="J53" s="69"/>
      <c r="K53" s="64"/>
      <c r="M53" s="64"/>
      <c r="N53" s="69"/>
      <c r="O53" s="69"/>
      <c r="P53" s="69"/>
      <c r="R53" s="11"/>
      <c r="S53" s="11"/>
      <c r="T53" s="11"/>
      <c r="U53" s="11"/>
    </row>
    <row r="54" spans="1:21" ht="15">
      <c r="A54" s="391" t="s">
        <v>65</v>
      </c>
      <c r="B54" s="392"/>
      <c r="C54" s="392"/>
      <c r="D54" s="392"/>
      <c r="E54" s="392"/>
      <c r="F54" s="392"/>
      <c r="G54" s="392"/>
      <c r="H54" s="392"/>
      <c r="I54" s="392"/>
      <c r="J54" s="392"/>
      <c r="K54" s="392"/>
      <c r="L54" s="70"/>
      <c r="M54" s="70"/>
      <c r="N54" s="70"/>
      <c r="O54" s="70"/>
      <c r="P54" s="70"/>
      <c r="Q54" s="70"/>
      <c r="R54" s="70"/>
      <c r="S54" s="11"/>
      <c r="T54" s="11"/>
      <c r="U54" s="11"/>
    </row>
    <row r="55" spans="1:21" ht="15.75" customHeight="1">
      <c r="A55" s="391" t="s">
        <v>66</v>
      </c>
      <c r="B55" s="392"/>
      <c r="C55" s="392"/>
      <c r="D55" s="392"/>
      <c r="E55" s="392"/>
      <c r="F55" s="392"/>
      <c r="G55" s="392"/>
      <c r="H55" s="392"/>
      <c r="I55" s="392"/>
      <c r="J55" s="392"/>
      <c r="K55" s="392"/>
      <c r="L55" s="392"/>
      <c r="M55" s="392"/>
      <c r="N55" s="392"/>
      <c r="O55" s="392"/>
      <c r="P55" s="392"/>
      <c r="Q55" s="392"/>
      <c r="R55" s="392"/>
    </row>
    <row r="56" spans="1:21" ht="15.75" customHeight="1">
      <c r="A56" s="67"/>
      <c r="B56" s="68"/>
      <c r="C56" s="68"/>
      <c r="D56" s="68"/>
      <c r="E56" s="68"/>
      <c r="F56" s="68"/>
      <c r="G56" s="68"/>
      <c r="H56" s="68"/>
      <c r="I56" s="68"/>
      <c r="J56" s="68"/>
      <c r="K56" s="68"/>
      <c r="L56" s="68"/>
      <c r="M56" s="68"/>
      <c r="N56" s="68"/>
      <c r="O56" s="68"/>
      <c r="P56" s="68"/>
      <c r="Q56" s="68"/>
      <c r="R56" s="68"/>
    </row>
    <row r="57" spans="1:21" s="49" customFormat="1" ht="21" customHeight="1">
      <c r="A57" s="55" t="s">
        <v>67</v>
      </c>
      <c r="B57" s="56" t="s">
        <v>137</v>
      </c>
      <c r="C57" s="56" t="s">
        <v>138</v>
      </c>
      <c r="D57" s="56" t="s">
        <v>139</v>
      </c>
      <c r="E57" s="56" t="s">
        <v>140</v>
      </c>
      <c r="F57" s="56" t="s">
        <v>133</v>
      </c>
      <c r="G57" s="56" t="s">
        <v>134</v>
      </c>
      <c r="H57" s="56" t="s">
        <v>135</v>
      </c>
      <c r="I57" s="56" t="s">
        <v>136</v>
      </c>
      <c r="J57" s="56" t="s">
        <v>141</v>
      </c>
      <c r="K57" s="56" t="s">
        <v>142</v>
      </c>
      <c r="L57" s="56"/>
      <c r="M57" s="56"/>
      <c r="N57" s="56"/>
      <c r="O57" s="56"/>
      <c r="P57" s="57" t="s">
        <v>68</v>
      </c>
      <c r="Q57" s="48"/>
      <c r="R57" s="48"/>
      <c r="S57" s="48"/>
    </row>
    <row r="58" spans="1:21" ht="19.5" customHeight="1">
      <c r="A58" s="109" t="s">
        <v>69</v>
      </c>
      <c r="B58" s="110">
        <v>6</v>
      </c>
      <c r="C58" s="110">
        <v>12</v>
      </c>
      <c r="D58" s="110">
        <v>20</v>
      </c>
      <c r="E58" s="110">
        <v>58</v>
      </c>
      <c r="F58" s="110">
        <v>318</v>
      </c>
      <c r="G58" s="110">
        <v>385</v>
      </c>
      <c r="H58" s="110">
        <v>320</v>
      </c>
      <c r="I58" s="110">
        <v>214</v>
      </c>
      <c r="J58" s="110">
        <v>48</v>
      </c>
      <c r="K58" s="110">
        <v>19</v>
      </c>
      <c r="L58" s="110"/>
      <c r="M58" s="110"/>
      <c r="N58" s="110"/>
      <c r="O58" s="110"/>
      <c r="P58" s="57">
        <f>SUM(A58:O58)</f>
        <v>1400</v>
      </c>
      <c r="Q58" s="6"/>
      <c r="R58" s="6"/>
      <c r="S58" s="6"/>
    </row>
    <row r="59" spans="1:21" ht="18" customHeight="1">
      <c r="A59" s="109" t="s">
        <v>70</v>
      </c>
      <c r="B59" s="110">
        <v>6</v>
      </c>
      <c r="C59" s="110">
        <v>12</v>
      </c>
      <c r="D59" s="110">
        <v>20</v>
      </c>
      <c r="E59" s="110">
        <v>60</v>
      </c>
      <c r="F59" s="110">
        <v>330</v>
      </c>
      <c r="G59" s="110">
        <v>400</v>
      </c>
      <c r="H59" s="110">
        <v>330</v>
      </c>
      <c r="I59" s="110">
        <v>220</v>
      </c>
      <c r="J59" s="110">
        <v>50</v>
      </c>
      <c r="K59" s="110">
        <v>20</v>
      </c>
      <c r="L59" s="110"/>
      <c r="M59" s="110"/>
      <c r="N59" s="110"/>
      <c r="O59" s="110"/>
      <c r="P59" s="57">
        <f>SUM(A59:O59)</f>
        <v>1448</v>
      </c>
      <c r="Q59" s="6"/>
      <c r="R59" s="6"/>
      <c r="S59" s="6"/>
    </row>
    <row r="60" spans="1:21" ht="18.75" customHeight="1">
      <c r="A60" s="86" t="s">
        <v>71</v>
      </c>
      <c r="B60" s="87">
        <f>B59-B58</f>
        <v>0</v>
      </c>
      <c r="C60" s="87">
        <f>C59-C58</f>
        <v>0</v>
      </c>
      <c r="D60" s="87">
        <f t="shared" ref="D60:O60" si="0">D59-D58</f>
        <v>0</v>
      </c>
      <c r="E60" s="87">
        <f t="shared" si="0"/>
        <v>2</v>
      </c>
      <c r="F60" s="87">
        <f t="shared" si="0"/>
        <v>12</v>
      </c>
      <c r="G60" s="87">
        <f t="shared" si="0"/>
        <v>15</v>
      </c>
      <c r="H60" s="87">
        <f t="shared" si="0"/>
        <v>10</v>
      </c>
      <c r="I60" s="87">
        <f t="shared" si="0"/>
        <v>6</v>
      </c>
      <c r="J60" s="87">
        <f t="shared" si="0"/>
        <v>2</v>
      </c>
      <c r="K60" s="87">
        <f t="shared" si="0"/>
        <v>1</v>
      </c>
      <c r="L60" s="87">
        <f t="shared" si="0"/>
        <v>0</v>
      </c>
      <c r="M60" s="87">
        <f t="shared" si="0"/>
        <v>0</v>
      </c>
      <c r="N60" s="87">
        <f t="shared" si="0"/>
        <v>0</v>
      </c>
      <c r="O60" s="87">
        <f t="shared" si="0"/>
        <v>0</v>
      </c>
      <c r="P60" s="88">
        <f>SUM(A60:O60)</f>
        <v>48</v>
      </c>
      <c r="Q60" s="6"/>
      <c r="R60" s="6"/>
      <c r="S60" s="6"/>
    </row>
    <row r="61" spans="1:21" ht="18" customHeight="1">
      <c r="A61" s="86" t="s">
        <v>72</v>
      </c>
      <c r="B61" s="89">
        <f>B60/B58</f>
        <v>0</v>
      </c>
      <c r="C61" s="89">
        <f>C60/C58</f>
        <v>0</v>
      </c>
      <c r="D61" s="89">
        <f t="shared" ref="D61:P61" si="1">D60/D58</f>
        <v>0</v>
      </c>
      <c r="E61" s="89">
        <f t="shared" si="1"/>
        <v>3.4482758620689655E-2</v>
      </c>
      <c r="F61" s="89">
        <f t="shared" si="1"/>
        <v>3.7735849056603772E-2</v>
      </c>
      <c r="G61" s="89">
        <f t="shared" si="1"/>
        <v>3.896103896103896E-2</v>
      </c>
      <c r="H61" s="89">
        <f t="shared" si="1"/>
        <v>3.125E-2</v>
      </c>
      <c r="I61" s="89">
        <f t="shared" si="1"/>
        <v>2.8037383177570093E-2</v>
      </c>
      <c r="J61" s="89">
        <f t="shared" si="1"/>
        <v>4.1666666666666664E-2</v>
      </c>
      <c r="K61" s="89">
        <f t="shared" si="1"/>
        <v>5.2631578947368418E-2</v>
      </c>
      <c r="L61" s="89" t="e">
        <f t="shared" si="1"/>
        <v>#DIV/0!</v>
      </c>
      <c r="M61" s="89" t="e">
        <f t="shared" si="1"/>
        <v>#DIV/0!</v>
      </c>
      <c r="N61" s="89" t="e">
        <f t="shared" si="1"/>
        <v>#DIV/0!</v>
      </c>
      <c r="O61" s="89" t="e">
        <f t="shared" si="1"/>
        <v>#DIV/0!</v>
      </c>
      <c r="P61" s="90">
        <f t="shared" si="1"/>
        <v>3.4285714285714287E-2</v>
      </c>
      <c r="Q61" s="6"/>
      <c r="R61" s="6"/>
      <c r="S61" s="6"/>
    </row>
    <row r="62" spans="1:21" ht="18" customHeight="1">
      <c r="A62" s="98"/>
      <c r="B62" s="99"/>
      <c r="C62" s="99"/>
      <c r="D62" s="99"/>
      <c r="E62" s="99"/>
      <c r="F62" s="99"/>
      <c r="G62" s="99"/>
      <c r="H62" s="99"/>
      <c r="I62" s="99"/>
      <c r="J62" s="99"/>
      <c r="K62" s="99"/>
      <c r="L62" s="99"/>
      <c r="M62" s="99"/>
      <c r="N62" s="99"/>
      <c r="O62" s="99"/>
      <c r="P62" s="100"/>
      <c r="Q62" s="6"/>
      <c r="R62" s="6"/>
      <c r="S62" s="6"/>
    </row>
    <row r="63" spans="1:21" ht="18" hidden="1" customHeight="1">
      <c r="A63" s="55" t="s">
        <v>67</v>
      </c>
      <c r="B63" s="56"/>
      <c r="C63" s="56"/>
      <c r="D63" s="56"/>
      <c r="E63" s="56"/>
      <c r="F63" s="56"/>
      <c r="G63" s="56"/>
      <c r="H63" s="56"/>
      <c r="I63" s="56"/>
      <c r="J63" s="56"/>
      <c r="K63" s="56"/>
      <c r="L63" s="56"/>
      <c r="M63" s="56"/>
      <c r="N63" s="56"/>
      <c r="O63" s="56"/>
      <c r="P63" s="57" t="s">
        <v>68</v>
      </c>
      <c r="Q63" s="6"/>
      <c r="R63" s="6"/>
      <c r="S63" s="6"/>
    </row>
    <row r="64" spans="1:21" ht="18" hidden="1" customHeight="1">
      <c r="A64" s="109" t="s">
        <v>69</v>
      </c>
      <c r="B64" s="110"/>
      <c r="C64" s="110"/>
      <c r="D64" s="110"/>
      <c r="E64" s="110"/>
      <c r="F64" s="110"/>
      <c r="G64" s="110"/>
      <c r="H64" s="110"/>
      <c r="I64" s="110"/>
      <c r="J64" s="110"/>
      <c r="K64" s="110"/>
      <c r="L64" s="110"/>
      <c r="M64" s="110"/>
      <c r="N64" s="110"/>
      <c r="O64" s="110"/>
      <c r="P64" s="57">
        <f>SUM(A64:O64)</f>
        <v>0</v>
      </c>
      <c r="Q64" s="6"/>
      <c r="R64" s="6"/>
      <c r="S64" s="6"/>
    </row>
    <row r="65" spans="1:30" ht="18" hidden="1" customHeight="1">
      <c r="A65" s="109" t="s">
        <v>70</v>
      </c>
      <c r="B65" s="110"/>
      <c r="C65" s="110"/>
      <c r="D65" s="110"/>
      <c r="E65" s="110"/>
      <c r="F65" s="110"/>
      <c r="G65" s="110"/>
      <c r="H65" s="110"/>
      <c r="I65" s="110"/>
      <c r="J65" s="110"/>
      <c r="K65" s="110"/>
      <c r="L65" s="110"/>
      <c r="M65" s="110"/>
      <c r="N65" s="110"/>
      <c r="O65" s="110"/>
      <c r="P65" s="57">
        <f>SUM(A65:O65)</f>
        <v>0</v>
      </c>
      <c r="Q65" s="6"/>
      <c r="R65" s="6"/>
      <c r="S65" s="6"/>
    </row>
    <row r="66" spans="1:30" ht="18" hidden="1" customHeight="1">
      <c r="A66" s="86" t="s">
        <v>71</v>
      </c>
      <c r="B66" s="87">
        <f>B65-B64</f>
        <v>0</v>
      </c>
      <c r="C66" s="87">
        <f>C65-C64</f>
        <v>0</v>
      </c>
      <c r="D66" s="87">
        <f t="shared" ref="D66:O66" si="2">D65-D64</f>
        <v>0</v>
      </c>
      <c r="E66" s="87">
        <f t="shared" si="2"/>
        <v>0</v>
      </c>
      <c r="F66" s="87">
        <f t="shared" si="2"/>
        <v>0</v>
      </c>
      <c r="G66" s="87">
        <f t="shared" si="2"/>
        <v>0</v>
      </c>
      <c r="H66" s="87">
        <f t="shared" si="2"/>
        <v>0</v>
      </c>
      <c r="I66" s="87">
        <f t="shared" si="2"/>
        <v>0</v>
      </c>
      <c r="J66" s="87">
        <f t="shared" si="2"/>
        <v>0</v>
      </c>
      <c r="K66" s="87">
        <f t="shared" si="2"/>
        <v>0</v>
      </c>
      <c r="L66" s="87">
        <f t="shared" si="2"/>
        <v>0</v>
      </c>
      <c r="M66" s="87">
        <f t="shared" si="2"/>
        <v>0</v>
      </c>
      <c r="N66" s="87">
        <f t="shared" si="2"/>
        <v>0</v>
      </c>
      <c r="O66" s="87">
        <f t="shared" si="2"/>
        <v>0</v>
      </c>
      <c r="P66" s="88">
        <f>SUM(A66:O66)</f>
        <v>0</v>
      </c>
      <c r="Q66" s="6"/>
      <c r="R66" s="6"/>
      <c r="S66" s="6"/>
    </row>
    <row r="67" spans="1:30" ht="18" hidden="1" customHeight="1">
      <c r="A67" s="86" t="s">
        <v>72</v>
      </c>
      <c r="B67" s="89" t="e">
        <f>B66/B64</f>
        <v>#DIV/0!</v>
      </c>
      <c r="C67" s="89" t="e">
        <f>C66/C64</f>
        <v>#DIV/0!</v>
      </c>
      <c r="D67" s="89" t="e">
        <f t="shared" ref="D67:P67" si="3">D66/D64</f>
        <v>#DIV/0!</v>
      </c>
      <c r="E67" s="89" t="e">
        <f t="shared" si="3"/>
        <v>#DIV/0!</v>
      </c>
      <c r="F67" s="89" t="e">
        <f t="shared" si="3"/>
        <v>#DIV/0!</v>
      </c>
      <c r="G67" s="89" t="e">
        <f t="shared" si="3"/>
        <v>#DIV/0!</v>
      </c>
      <c r="H67" s="89" t="e">
        <f t="shared" si="3"/>
        <v>#DIV/0!</v>
      </c>
      <c r="I67" s="89" t="e">
        <f t="shared" si="3"/>
        <v>#DIV/0!</v>
      </c>
      <c r="J67" s="89" t="e">
        <f t="shared" si="3"/>
        <v>#DIV/0!</v>
      </c>
      <c r="K67" s="89" t="e">
        <f t="shared" si="3"/>
        <v>#DIV/0!</v>
      </c>
      <c r="L67" s="89" t="e">
        <f t="shared" si="3"/>
        <v>#DIV/0!</v>
      </c>
      <c r="M67" s="89" t="e">
        <f t="shared" si="3"/>
        <v>#DIV/0!</v>
      </c>
      <c r="N67" s="89" t="e">
        <f t="shared" si="3"/>
        <v>#DIV/0!</v>
      </c>
      <c r="O67" s="89" t="e">
        <f t="shared" si="3"/>
        <v>#DIV/0!</v>
      </c>
      <c r="P67" s="90" t="e">
        <f t="shared" si="3"/>
        <v>#DIV/0!</v>
      </c>
      <c r="Q67" s="6"/>
      <c r="R67" s="6"/>
      <c r="S67" s="6"/>
    </row>
    <row r="68" spans="1:30" ht="18" hidden="1" customHeight="1">
      <c r="A68" s="98"/>
      <c r="B68" s="99"/>
      <c r="C68" s="99"/>
      <c r="D68" s="99"/>
      <c r="E68" s="99"/>
      <c r="F68" s="99"/>
      <c r="G68" s="99"/>
      <c r="H68" s="99"/>
      <c r="I68" s="99"/>
      <c r="J68" s="99"/>
      <c r="K68" s="99"/>
      <c r="L68" s="99"/>
      <c r="M68" s="99"/>
      <c r="N68" s="99"/>
      <c r="O68" s="99"/>
      <c r="P68" s="100"/>
      <c r="Q68" s="6"/>
      <c r="R68" s="6"/>
      <c r="S68" s="6"/>
    </row>
    <row r="69" spans="1:30" ht="18" hidden="1" customHeight="1">
      <c r="A69" s="55" t="s">
        <v>67</v>
      </c>
      <c r="B69" s="56"/>
      <c r="C69" s="56"/>
      <c r="D69" s="56"/>
      <c r="E69" s="56"/>
      <c r="F69" s="56"/>
      <c r="G69" s="56"/>
      <c r="H69" s="56"/>
      <c r="I69" s="56"/>
      <c r="J69" s="56"/>
      <c r="K69" s="56"/>
      <c r="L69" s="56"/>
      <c r="M69" s="56"/>
      <c r="N69" s="56"/>
      <c r="O69" s="56"/>
      <c r="P69" s="57" t="s">
        <v>68</v>
      </c>
      <c r="Q69" s="6"/>
      <c r="R69" s="6"/>
      <c r="S69" s="6"/>
    </row>
    <row r="70" spans="1:30" ht="18" hidden="1" customHeight="1">
      <c r="A70" s="109" t="s">
        <v>69</v>
      </c>
      <c r="B70" s="110"/>
      <c r="C70" s="110"/>
      <c r="D70" s="110"/>
      <c r="E70" s="110"/>
      <c r="F70" s="110"/>
      <c r="G70" s="110"/>
      <c r="H70" s="110"/>
      <c r="I70" s="110"/>
      <c r="J70" s="110"/>
      <c r="K70" s="110"/>
      <c r="L70" s="110"/>
      <c r="M70" s="110"/>
      <c r="N70" s="110"/>
      <c r="O70" s="110"/>
      <c r="P70" s="57">
        <f>SUM(A70:O70)</f>
        <v>0</v>
      </c>
      <c r="Q70" s="6"/>
      <c r="R70" s="6"/>
      <c r="S70" s="6"/>
    </row>
    <row r="71" spans="1:30" ht="18" hidden="1" customHeight="1">
      <c r="A71" s="109" t="s">
        <v>70</v>
      </c>
      <c r="B71" s="110"/>
      <c r="C71" s="110"/>
      <c r="D71" s="110"/>
      <c r="E71" s="110"/>
      <c r="F71" s="110"/>
      <c r="G71" s="110"/>
      <c r="H71" s="110"/>
      <c r="I71" s="110"/>
      <c r="J71" s="110"/>
      <c r="K71" s="110"/>
      <c r="L71" s="110"/>
      <c r="M71" s="110"/>
      <c r="N71" s="110"/>
      <c r="O71" s="110"/>
      <c r="P71" s="57">
        <f>SUM(A71:O71)</f>
        <v>0</v>
      </c>
      <c r="Q71" s="6"/>
      <c r="R71" s="6"/>
      <c r="S71" s="6"/>
    </row>
    <row r="72" spans="1:30" ht="18" hidden="1" customHeight="1">
      <c r="A72" s="86" t="s">
        <v>71</v>
      </c>
      <c r="B72" s="87">
        <f>B71-B70</f>
        <v>0</v>
      </c>
      <c r="C72" s="87">
        <f>C71-C70</f>
        <v>0</v>
      </c>
      <c r="D72" s="87">
        <f t="shared" ref="D72:O72" si="4">D71-D70</f>
        <v>0</v>
      </c>
      <c r="E72" s="87">
        <f t="shared" si="4"/>
        <v>0</v>
      </c>
      <c r="F72" s="87">
        <f t="shared" si="4"/>
        <v>0</v>
      </c>
      <c r="G72" s="87">
        <f t="shared" si="4"/>
        <v>0</v>
      </c>
      <c r="H72" s="87">
        <f t="shared" si="4"/>
        <v>0</v>
      </c>
      <c r="I72" s="87">
        <f t="shared" si="4"/>
        <v>0</v>
      </c>
      <c r="J72" s="87">
        <f t="shared" si="4"/>
        <v>0</v>
      </c>
      <c r="K72" s="87">
        <f t="shared" si="4"/>
        <v>0</v>
      </c>
      <c r="L72" s="87">
        <f t="shared" si="4"/>
        <v>0</v>
      </c>
      <c r="M72" s="87">
        <f t="shared" si="4"/>
        <v>0</v>
      </c>
      <c r="N72" s="87">
        <f t="shared" si="4"/>
        <v>0</v>
      </c>
      <c r="O72" s="87">
        <f t="shared" si="4"/>
        <v>0</v>
      </c>
      <c r="P72" s="88">
        <f>SUM(A72:O72)</f>
        <v>0</v>
      </c>
      <c r="Q72" s="6"/>
      <c r="R72" s="6"/>
      <c r="S72" s="6"/>
    </row>
    <row r="73" spans="1:30" ht="18" hidden="1" customHeight="1">
      <c r="A73" s="86" t="s">
        <v>72</v>
      </c>
      <c r="B73" s="89" t="e">
        <f>B72/B70</f>
        <v>#DIV/0!</v>
      </c>
      <c r="C73" s="89" t="e">
        <f>C72/C70</f>
        <v>#DIV/0!</v>
      </c>
      <c r="D73" s="89" t="e">
        <f t="shared" ref="D73:P73" si="5">D72/D70</f>
        <v>#DIV/0!</v>
      </c>
      <c r="E73" s="89" t="e">
        <f t="shared" si="5"/>
        <v>#DIV/0!</v>
      </c>
      <c r="F73" s="89" t="e">
        <f t="shared" si="5"/>
        <v>#DIV/0!</v>
      </c>
      <c r="G73" s="89" t="e">
        <f t="shared" si="5"/>
        <v>#DIV/0!</v>
      </c>
      <c r="H73" s="89" t="e">
        <f t="shared" si="5"/>
        <v>#DIV/0!</v>
      </c>
      <c r="I73" s="89" t="e">
        <f t="shared" si="5"/>
        <v>#DIV/0!</v>
      </c>
      <c r="J73" s="89" t="e">
        <f t="shared" si="5"/>
        <v>#DIV/0!</v>
      </c>
      <c r="K73" s="89" t="e">
        <f t="shared" si="5"/>
        <v>#DIV/0!</v>
      </c>
      <c r="L73" s="89" t="e">
        <f t="shared" si="5"/>
        <v>#DIV/0!</v>
      </c>
      <c r="M73" s="89" t="e">
        <f t="shared" si="5"/>
        <v>#DIV/0!</v>
      </c>
      <c r="N73" s="89" t="e">
        <f t="shared" si="5"/>
        <v>#DIV/0!</v>
      </c>
      <c r="O73" s="89" t="e">
        <f t="shared" si="5"/>
        <v>#DIV/0!</v>
      </c>
      <c r="P73" s="90" t="e">
        <f t="shared" si="5"/>
        <v>#DIV/0!</v>
      </c>
      <c r="Q73" s="6"/>
      <c r="R73" s="6"/>
      <c r="S73" s="6"/>
    </row>
    <row r="74" spans="1:30" ht="18" hidden="1" customHeight="1">
      <c r="A74" s="98"/>
      <c r="B74" s="99"/>
      <c r="C74" s="99"/>
      <c r="D74" s="99"/>
      <c r="E74" s="99"/>
      <c r="F74" s="99"/>
      <c r="G74" s="99"/>
      <c r="H74" s="99"/>
      <c r="I74" s="99"/>
      <c r="J74" s="99"/>
      <c r="K74" s="99"/>
      <c r="L74" s="99"/>
      <c r="M74" s="99"/>
      <c r="N74" s="99"/>
      <c r="O74" s="99"/>
      <c r="P74" s="100"/>
      <c r="Q74" s="6"/>
      <c r="R74" s="6"/>
      <c r="S74" s="6"/>
    </row>
    <row r="75" spans="1:30" ht="42" customHeight="1">
      <c r="A75" s="287" t="s">
        <v>143</v>
      </c>
      <c r="B75" s="287"/>
      <c r="C75" s="287"/>
      <c r="D75" s="287"/>
      <c r="E75" s="287"/>
      <c r="F75" s="287"/>
      <c r="G75" s="287"/>
      <c r="H75" s="287"/>
      <c r="I75" s="287"/>
      <c r="J75" s="287"/>
      <c r="K75" s="287"/>
      <c r="L75" s="287"/>
      <c r="M75" s="287"/>
      <c r="N75" s="287"/>
      <c r="O75" s="287"/>
      <c r="P75" s="287"/>
      <c r="R75" s="4"/>
      <c r="S75" s="4"/>
      <c r="T75" s="4"/>
      <c r="U75" s="4"/>
      <c r="V75" s="4"/>
      <c r="W75" s="4"/>
      <c r="X75" s="4"/>
      <c r="Y75" s="4"/>
      <c r="Z75" s="4"/>
      <c r="AA75" s="4"/>
      <c r="AB75" s="4"/>
      <c r="AC75" s="4"/>
      <c r="AD75" s="4"/>
    </row>
    <row r="76" spans="1:30" ht="38.25" customHeight="1">
      <c r="A76" s="287" t="s">
        <v>144</v>
      </c>
      <c r="B76" s="287"/>
      <c r="C76" s="287"/>
      <c r="D76" s="287"/>
      <c r="E76" s="287"/>
      <c r="F76" s="287"/>
      <c r="G76" s="287"/>
      <c r="H76" s="287"/>
      <c r="I76" s="287"/>
      <c r="J76" s="287"/>
      <c r="K76" s="287"/>
      <c r="L76" s="287"/>
      <c r="M76" s="287"/>
      <c r="N76" s="287"/>
      <c r="O76" s="287"/>
      <c r="P76" s="287"/>
      <c r="R76" s="4"/>
      <c r="S76" s="4"/>
      <c r="T76" s="4"/>
      <c r="U76" s="4"/>
      <c r="V76" s="4"/>
      <c r="W76" s="4"/>
      <c r="X76" s="4"/>
      <c r="Y76" s="4"/>
      <c r="Z76" s="4"/>
      <c r="AA76" s="4"/>
      <c r="AB76" s="4"/>
      <c r="AC76" s="4"/>
      <c r="AD76" s="4"/>
    </row>
    <row r="77" spans="1:30" ht="18.75" customHeight="1">
      <c r="A77" s="287"/>
      <c r="B77" s="287"/>
      <c r="C77" s="287"/>
      <c r="D77" s="287"/>
      <c r="E77" s="287"/>
      <c r="F77" s="287"/>
      <c r="G77" s="287"/>
      <c r="H77" s="287"/>
      <c r="I77" s="287"/>
      <c r="J77" s="287"/>
      <c r="K77" s="287"/>
      <c r="L77" s="287"/>
      <c r="M77" s="287"/>
      <c r="N77" s="287"/>
      <c r="O77" s="287"/>
      <c r="P77" s="287"/>
      <c r="R77" s="4"/>
      <c r="S77" s="4"/>
      <c r="T77" s="4"/>
      <c r="U77" s="4"/>
      <c r="V77" s="4"/>
      <c r="W77" s="4"/>
      <c r="X77" s="4"/>
      <c r="Y77" s="4"/>
      <c r="Z77" s="4"/>
      <c r="AA77" s="4"/>
      <c r="AB77" s="4"/>
      <c r="AC77" s="4"/>
      <c r="AD77" s="4"/>
    </row>
    <row r="78" spans="1:30" ht="15">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row>
    <row r="79" spans="1:30" ht="18">
      <c r="A79" s="288" t="s">
        <v>76</v>
      </c>
      <c r="B79" s="246"/>
      <c r="D79" s="64"/>
      <c r="E79" s="64"/>
      <c r="F79" s="64"/>
      <c r="G79" s="11"/>
      <c r="H79" s="11"/>
      <c r="I79" s="11"/>
      <c r="J79" s="11"/>
      <c r="K79" s="11"/>
      <c r="L79" s="11"/>
      <c r="M79" s="11"/>
      <c r="N79" s="11"/>
      <c r="O79" s="11"/>
      <c r="P79" s="11"/>
      <c r="Q79" s="11"/>
    </row>
    <row r="81" spans="1:18" ht="47.25" customHeight="1">
      <c r="A81" s="289" t="s">
        <v>77</v>
      </c>
      <c r="B81" s="289"/>
      <c r="C81" s="319"/>
      <c r="D81" s="319"/>
      <c r="E81" s="319"/>
      <c r="F81" s="319"/>
      <c r="G81" s="319"/>
      <c r="H81" s="319"/>
      <c r="I81" s="44"/>
      <c r="J81" s="291" t="s">
        <v>78</v>
      </c>
      <c r="K81" s="324"/>
      <c r="L81" s="310"/>
      <c r="M81" s="311"/>
      <c r="N81" s="311"/>
      <c r="O81" s="311"/>
      <c r="P81" s="312"/>
    </row>
    <row r="82" spans="1:18" ht="15">
      <c r="G82" s="4"/>
      <c r="H82" s="4"/>
      <c r="I82" s="4"/>
      <c r="J82" s="4"/>
      <c r="K82" s="4"/>
      <c r="L82" s="313"/>
      <c r="M82" s="314"/>
      <c r="N82" s="314"/>
      <c r="O82" s="314"/>
      <c r="P82" s="315"/>
    </row>
    <row r="83" spans="1:18" ht="22.5" customHeight="1">
      <c r="A83" s="292" t="s">
        <v>79</v>
      </c>
      <c r="B83" s="292"/>
      <c r="C83" s="320"/>
      <c r="D83" s="320"/>
      <c r="E83" s="320"/>
      <c r="F83" s="320"/>
      <c r="G83" s="320"/>
      <c r="H83" s="320"/>
      <c r="I83" s="44"/>
      <c r="J83" s="4"/>
      <c r="K83" s="4"/>
      <c r="L83" s="313"/>
      <c r="M83" s="314"/>
      <c r="N83" s="314"/>
      <c r="O83" s="314"/>
      <c r="P83" s="315"/>
    </row>
    <row r="84" spans="1:18" ht="15">
      <c r="G84" s="4"/>
      <c r="H84" s="4"/>
      <c r="I84" s="4"/>
      <c r="J84" s="4"/>
      <c r="K84" s="4"/>
      <c r="L84" s="313"/>
      <c r="M84" s="314"/>
      <c r="N84" s="314"/>
      <c r="O84" s="314"/>
      <c r="P84" s="315"/>
    </row>
    <row r="85" spans="1:18">
      <c r="A85" s="280" t="s">
        <v>80</v>
      </c>
      <c r="B85" s="281"/>
      <c r="C85" s="321"/>
      <c r="D85" s="322"/>
      <c r="E85" s="322"/>
      <c r="F85" s="322"/>
      <c r="G85" s="322"/>
      <c r="H85" s="323"/>
      <c r="I85" s="44"/>
      <c r="L85" s="316"/>
      <c r="M85" s="317"/>
      <c r="N85" s="317"/>
      <c r="O85" s="317"/>
      <c r="P85" s="318"/>
    </row>
    <row r="88" spans="1:18" ht="12.75">
      <c r="A88" s="395"/>
      <c r="B88" s="396"/>
      <c r="C88" s="396"/>
      <c r="D88" s="396"/>
      <c r="E88" s="396"/>
      <c r="F88" s="396"/>
      <c r="G88" s="396"/>
      <c r="H88" s="396"/>
      <c r="I88" s="396"/>
      <c r="J88" s="396"/>
      <c r="K88" s="396"/>
      <c r="L88" s="67"/>
      <c r="M88" s="67"/>
      <c r="N88" s="67"/>
      <c r="O88" s="67"/>
      <c r="P88" s="67"/>
      <c r="Q88" s="67"/>
      <c r="R88" s="67"/>
    </row>
    <row r="89" spans="1:18" ht="12.75">
      <c r="A89" s="395"/>
      <c r="B89" s="396"/>
      <c r="C89" s="396"/>
      <c r="D89" s="396"/>
      <c r="E89" s="396"/>
      <c r="F89" s="396"/>
      <c r="G89" s="396"/>
      <c r="H89" s="396"/>
      <c r="I89" s="396"/>
      <c r="J89" s="396"/>
      <c r="K89" s="396"/>
      <c r="L89" s="396"/>
      <c r="M89" s="396"/>
      <c r="N89" s="396"/>
      <c r="O89" s="396"/>
      <c r="P89" s="396"/>
      <c r="Q89" s="396"/>
      <c r="R89" s="396"/>
    </row>
  </sheetData>
  <mergeCells count="186">
    <mergeCell ref="A1:P1"/>
    <mergeCell ref="A2:B2"/>
    <mergeCell ref="C2:H2"/>
    <mergeCell ref="L2:P2"/>
    <mergeCell ref="A3:B3"/>
    <mergeCell ref="C3:H3"/>
    <mergeCell ref="J3:K3"/>
    <mergeCell ref="L3:P3"/>
    <mergeCell ref="P7:P9"/>
    <mergeCell ref="A8:H8"/>
    <mergeCell ref="J8:O8"/>
    <mergeCell ref="A9:H9"/>
    <mergeCell ref="J9:O9"/>
    <mergeCell ref="A4:B4"/>
    <mergeCell ref="C4:H4"/>
    <mergeCell ref="J4:K4"/>
    <mergeCell ref="L4:P4"/>
    <mergeCell ref="A6:C6"/>
    <mergeCell ref="D6:H6"/>
    <mergeCell ref="J2:K2"/>
    <mergeCell ref="A10:B10"/>
    <mergeCell ref="C10:H10"/>
    <mergeCell ref="A11:B11"/>
    <mergeCell ref="C11:H11"/>
    <mergeCell ref="A12:B12"/>
    <mergeCell ref="C12:H12"/>
    <mergeCell ref="A7:C7"/>
    <mergeCell ref="D7:H7"/>
    <mergeCell ref="J7:O7"/>
    <mergeCell ref="A17:D17"/>
    <mergeCell ref="E17:H17"/>
    <mergeCell ref="J17:P17"/>
    <mergeCell ref="A18:D18"/>
    <mergeCell ref="E18:H18"/>
    <mergeCell ref="J18:L18"/>
    <mergeCell ref="M18:P18"/>
    <mergeCell ref="A13:H13"/>
    <mergeCell ref="A14:C14"/>
    <mergeCell ref="D14:H14"/>
    <mergeCell ref="J14:O14"/>
    <mergeCell ref="P14:P16"/>
    <mergeCell ref="A15:C15"/>
    <mergeCell ref="D15:H15"/>
    <mergeCell ref="J15:O15"/>
    <mergeCell ref="A16:H16"/>
    <mergeCell ref="J16:O16"/>
    <mergeCell ref="C21:D21"/>
    <mergeCell ref="E21:F21"/>
    <mergeCell ref="I21:J21"/>
    <mergeCell ref="O21:P21"/>
    <mergeCell ref="A22:B22"/>
    <mergeCell ref="C22:D23"/>
    <mergeCell ref="E22:F23"/>
    <mergeCell ref="G22:G23"/>
    <mergeCell ref="H22:H23"/>
    <mergeCell ref="I22:J23"/>
    <mergeCell ref="C25:D25"/>
    <mergeCell ref="E25:F25"/>
    <mergeCell ref="I25:J25"/>
    <mergeCell ref="O25:P25"/>
    <mergeCell ref="C26:D26"/>
    <mergeCell ref="E26:F26"/>
    <mergeCell ref="I26:J26"/>
    <mergeCell ref="O26:P26"/>
    <mergeCell ref="K22:M22"/>
    <mergeCell ref="N22:N23"/>
    <mergeCell ref="O22:P23"/>
    <mergeCell ref="C24:D24"/>
    <mergeCell ref="E24:F24"/>
    <mergeCell ref="I24:J24"/>
    <mergeCell ref="O24:P24"/>
    <mergeCell ref="C29:D29"/>
    <mergeCell ref="E29:F29"/>
    <mergeCell ref="I29:J29"/>
    <mergeCell ref="O29:P29"/>
    <mergeCell ref="C30:D30"/>
    <mergeCell ref="E30:F30"/>
    <mergeCell ref="I30:J30"/>
    <mergeCell ref="O30:P30"/>
    <mergeCell ref="C27:D27"/>
    <mergeCell ref="E27:F27"/>
    <mergeCell ref="I27:J27"/>
    <mergeCell ref="O27:P27"/>
    <mergeCell ref="C28:D28"/>
    <mergeCell ref="E28:F28"/>
    <mergeCell ref="I28:J28"/>
    <mergeCell ref="O28:P28"/>
    <mergeCell ref="C33:D33"/>
    <mergeCell ref="E33:F33"/>
    <mergeCell ref="I33:J33"/>
    <mergeCell ref="O33:P33"/>
    <mergeCell ref="C34:D34"/>
    <mergeCell ref="E34:F34"/>
    <mergeCell ref="I34:J34"/>
    <mergeCell ref="O34:P34"/>
    <mergeCell ref="C31:D31"/>
    <mergeCell ref="E31:F31"/>
    <mergeCell ref="I31:J31"/>
    <mergeCell ref="O31:P31"/>
    <mergeCell ref="C32:D32"/>
    <mergeCell ref="E32:F32"/>
    <mergeCell ref="I32:J32"/>
    <mergeCell ref="O32:P32"/>
    <mergeCell ref="C37:D37"/>
    <mergeCell ref="E37:F37"/>
    <mergeCell ref="I37:J37"/>
    <mergeCell ref="O37:P37"/>
    <mergeCell ref="C38:D38"/>
    <mergeCell ref="E38:F38"/>
    <mergeCell ref="I38:J38"/>
    <mergeCell ref="O38:P38"/>
    <mergeCell ref="C35:D35"/>
    <mergeCell ref="E35:F35"/>
    <mergeCell ref="I35:J35"/>
    <mergeCell ref="O35:P35"/>
    <mergeCell ref="C36:D36"/>
    <mergeCell ref="E36:F36"/>
    <mergeCell ref="I36:J36"/>
    <mergeCell ref="O36:P36"/>
    <mergeCell ref="C41:D41"/>
    <mergeCell ref="E41:F41"/>
    <mergeCell ref="I41:J41"/>
    <mergeCell ref="O41:P41"/>
    <mergeCell ref="C42:D42"/>
    <mergeCell ref="E42:F42"/>
    <mergeCell ref="I42:J42"/>
    <mergeCell ref="O42:P42"/>
    <mergeCell ref="C39:D39"/>
    <mergeCell ref="E39:F39"/>
    <mergeCell ref="I39:J39"/>
    <mergeCell ref="O39:P39"/>
    <mergeCell ref="C40:D40"/>
    <mergeCell ref="E40:F40"/>
    <mergeCell ref="I40:J40"/>
    <mergeCell ref="O40:P40"/>
    <mergeCell ref="C45:D45"/>
    <mergeCell ref="E45:F45"/>
    <mergeCell ref="I45:J45"/>
    <mergeCell ref="O45:P45"/>
    <mergeCell ref="C46:D46"/>
    <mergeCell ref="E46:F46"/>
    <mergeCell ref="I46:J46"/>
    <mergeCell ref="O46:P46"/>
    <mergeCell ref="C43:D43"/>
    <mergeCell ref="E43:F43"/>
    <mergeCell ref="I43:J43"/>
    <mergeCell ref="O43:P43"/>
    <mergeCell ref="C44:D44"/>
    <mergeCell ref="E44:F44"/>
    <mergeCell ref="I44:J44"/>
    <mergeCell ref="O44:P44"/>
    <mergeCell ref="O49:P49"/>
    <mergeCell ref="I50:J50"/>
    <mergeCell ref="O50:P50"/>
    <mergeCell ref="C47:D47"/>
    <mergeCell ref="E47:F47"/>
    <mergeCell ref="I47:J47"/>
    <mergeCell ref="O47:P47"/>
    <mergeCell ref="C48:D48"/>
    <mergeCell ref="E48:F48"/>
    <mergeCell ref="I48:J48"/>
    <mergeCell ref="O48:P48"/>
    <mergeCell ref="A85:B85"/>
    <mergeCell ref="C85:H85"/>
    <mergeCell ref="A88:K88"/>
    <mergeCell ref="A89:R89"/>
    <mergeCell ref="P10:P13"/>
    <mergeCell ref="A75:P75"/>
    <mergeCell ref="A76:P76"/>
    <mergeCell ref="A77:P77"/>
    <mergeCell ref="A79:B79"/>
    <mergeCell ref="A81:B81"/>
    <mergeCell ref="C81:H81"/>
    <mergeCell ref="J81:K81"/>
    <mergeCell ref="L81:P85"/>
    <mergeCell ref="A83:B83"/>
    <mergeCell ref="C83:H83"/>
    <mergeCell ref="I51:J51"/>
    <mergeCell ref="O51:P51"/>
    <mergeCell ref="I52:J52"/>
    <mergeCell ref="O52:P52"/>
    <mergeCell ref="A54:K54"/>
    <mergeCell ref="A55:R55"/>
    <mergeCell ref="C49:D49"/>
    <mergeCell ref="E49:F49"/>
    <mergeCell ref="I49:J49"/>
  </mergeCells>
  <pageMargins left="0.70866141732283472" right="0.31496062992125984" top="0.74803149606299213" bottom="0.74803149606299213" header="0.31496062992125984" footer="0.31496062992125984"/>
  <pageSetup paperSize="9" scale="48"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6F4E9-6B5D-43CA-99E9-6151BA73B973}">
  <sheetPr>
    <tabColor theme="7" tint="0.79998168889431442"/>
    <outlinePr summaryBelow="0" summaryRight="0"/>
    <pageSetUpPr fitToPage="1"/>
  </sheetPr>
  <dimension ref="A1:AD85"/>
  <sheetViews>
    <sheetView zoomScaleNormal="100" workbookViewId="0">
      <selection activeCell="P108" sqref="P108"/>
    </sheetView>
  </sheetViews>
  <sheetFormatPr defaultColWidth="12.5703125" defaultRowHeight="15.75" customHeight="1"/>
  <cols>
    <col min="1" max="1" width="13.5703125" customWidth="1"/>
    <col min="2" max="2" width="13.7109375" customWidth="1"/>
    <col min="3" max="3" width="11.42578125" customWidth="1"/>
    <col min="4" max="4" width="11.28515625" customWidth="1"/>
    <col min="5" max="5" width="11" customWidth="1"/>
    <col min="6" max="6" width="11.5703125" customWidth="1"/>
    <col min="8" max="8" width="12.7109375" customWidth="1"/>
    <col min="9" max="9" width="11.85546875" customWidth="1"/>
    <col min="10" max="10" width="11.5703125" customWidth="1"/>
    <col min="12" max="12" width="12.42578125" customWidth="1"/>
    <col min="14" max="14" width="12.5703125" customWidth="1"/>
    <col min="15" max="15" width="12.140625" customWidth="1"/>
    <col min="16" max="16" width="11" customWidth="1"/>
  </cols>
  <sheetData>
    <row r="1" spans="1:21" ht="33.75" customHeight="1">
      <c r="A1" s="177" t="s">
        <v>174</v>
      </c>
      <c r="B1" s="177"/>
      <c r="C1" s="177"/>
      <c r="D1" s="177"/>
      <c r="E1" s="177"/>
      <c r="F1" s="177"/>
      <c r="G1" s="177"/>
      <c r="H1" s="177"/>
      <c r="I1" s="177"/>
      <c r="J1" s="177"/>
      <c r="K1" s="177"/>
      <c r="L1" s="177"/>
      <c r="M1" s="177"/>
      <c r="N1" s="177"/>
      <c r="O1" s="177"/>
      <c r="P1" s="177"/>
      <c r="R1" s="11"/>
      <c r="S1" s="11"/>
      <c r="T1" s="11"/>
      <c r="U1" s="11"/>
    </row>
    <row r="2" spans="1:21" ht="21.75" customHeight="1">
      <c r="A2" s="178" t="s">
        <v>1</v>
      </c>
      <c r="B2" s="179"/>
      <c r="C2" s="303" t="s">
        <v>118</v>
      </c>
      <c r="D2" s="304"/>
      <c r="E2" s="304"/>
      <c r="F2" s="304"/>
      <c r="G2" s="304"/>
      <c r="H2" s="305"/>
      <c r="I2" s="44"/>
      <c r="J2" s="221" t="s">
        <v>2</v>
      </c>
      <c r="K2" s="222"/>
      <c r="L2" s="232" t="s">
        <v>3</v>
      </c>
      <c r="M2" s="232"/>
      <c r="N2" s="232"/>
      <c r="O2" s="232"/>
      <c r="P2" s="233"/>
      <c r="R2" s="11"/>
      <c r="S2" s="11"/>
      <c r="T2" s="11"/>
      <c r="U2" s="11"/>
    </row>
    <row r="3" spans="1:21" ht="21.75" customHeight="1">
      <c r="A3" s="186" t="s">
        <v>4</v>
      </c>
      <c r="B3" s="187"/>
      <c r="C3" s="306" t="s">
        <v>175</v>
      </c>
      <c r="D3" s="307"/>
      <c r="E3" s="307"/>
      <c r="F3" s="307"/>
      <c r="G3" s="307"/>
      <c r="H3" s="308"/>
      <c r="I3" s="44"/>
      <c r="J3" s="191" t="s">
        <v>5</v>
      </c>
      <c r="K3" s="192"/>
      <c r="L3" s="192" t="s">
        <v>120</v>
      </c>
      <c r="M3" s="192"/>
      <c r="N3" s="192"/>
      <c r="O3" s="192"/>
      <c r="P3" s="201"/>
      <c r="R3" s="11"/>
      <c r="S3" s="11"/>
      <c r="T3" s="11"/>
      <c r="U3" s="11"/>
    </row>
    <row r="4" spans="1:21" ht="48" customHeight="1">
      <c r="A4" s="208" t="s">
        <v>7</v>
      </c>
      <c r="B4" s="179"/>
      <c r="C4" s="336" t="s">
        <v>121</v>
      </c>
      <c r="D4" s="337"/>
      <c r="E4" s="337"/>
      <c r="F4" s="337"/>
      <c r="G4" s="337"/>
      <c r="H4" s="338"/>
      <c r="I4" s="44"/>
      <c r="J4" s="339" t="s">
        <v>8</v>
      </c>
      <c r="K4" s="340"/>
      <c r="L4" s="340" t="s">
        <v>9</v>
      </c>
      <c r="M4" s="340"/>
      <c r="N4" s="340"/>
      <c r="O4" s="340"/>
      <c r="P4" s="341"/>
      <c r="R4" s="11"/>
      <c r="S4" s="11"/>
      <c r="T4" s="11"/>
      <c r="U4" s="11"/>
    </row>
    <row r="5" spans="1:21" ht="15">
      <c r="A5" s="11"/>
      <c r="B5" s="50"/>
      <c r="C5" s="50"/>
      <c r="D5" s="5"/>
      <c r="E5" s="5"/>
      <c r="F5" s="5"/>
      <c r="G5" s="5"/>
      <c r="H5" s="5"/>
      <c r="I5" s="5"/>
      <c r="J5" s="59"/>
      <c r="K5" s="59"/>
      <c r="L5" s="58"/>
      <c r="M5" s="58"/>
      <c r="N5" s="58"/>
      <c r="O5" s="58"/>
      <c r="P5" s="58"/>
      <c r="R5" s="11"/>
      <c r="S5" s="11"/>
      <c r="T5" s="11"/>
      <c r="U5" s="11"/>
    </row>
    <row r="6" spans="1:21" ht="22.5" customHeight="1">
      <c r="A6" s="325" t="s">
        <v>10</v>
      </c>
      <c r="B6" s="342"/>
      <c r="C6" s="342"/>
      <c r="D6" s="303" t="s">
        <v>176</v>
      </c>
      <c r="E6" s="304"/>
      <c r="F6" s="304"/>
      <c r="G6" s="304"/>
      <c r="H6" s="305"/>
      <c r="I6" s="44"/>
      <c r="J6" s="91" t="s">
        <v>11</v>
      </c>
      <c r="K6" s="73"/>
      <c r="L6" s="73"/>
      <c r="M6" s="73"/>
      <c r="N6" s="73"/>
      <c r="O6" s="73"/>
      <c r="P6" s="74" t="s">
        <v>12</v>
      </c>
      <c r="R6" s="50"/>
      <c r="S6" s="50"/>
      <c r="T6" s="50"/>
      <c r="U6" s="50"/>
    </row>
    <row r="7" spans="1:21" ht="23.25" customHeight="1">
      <c r="A7" s="362" t="s">
        <v>13</v>
      </c>
      <c r="B7" s="326"/>
      <c r="C7" s="326"/>
      <c r="D7" s="303" t="s">
        <v>177</v>
      </c>
      <c r="E7" s="304"/>
      <c r="F7" s="304"/>
      <c r="G7" s="304"/>
      <c r="H7" s="305"/>
      <c r="I7" s="44"/>
      <c r="J7" s="327" t="s">
        <v>14</v>
      </c>
      <c r="K7" s="328"/>
      <c r="L7" s="328"/>
      <c r="M7" s="328"/>
      <c r="N7" s="328"/>
      <c r="O7" s="329"/>
      <c r="P7" s="195" t="s">
        <v>124</v>
      </c>
      <c r="R7" s="50"/>
      <c r="S7" s="50"/>
      <c r="T7" s="50"/>
      <c r="U7" s="50"/>
    </row>
    <row r="8" spans="1:21" ht="21" customHeight="1">
      <c r="A8" s="245"/>
      <c r="B8" s="246"/>
      <c r="C8" s="246"/>
      <c r="D8" s="246"/>
      <c r="E8" s="246"/>
      <c r="F8" s="246"/>
      <c r="G8" s="246"/>
      <c r="H8" s="246"/>
      <c r="J8" s="330" t="s">
        <v>15</v>
      </c>
      <c r="K8" s="331"/>
      <c r="L8" s="331"/>
      <c r="M8" s="331"/>
      <c r="N8" s="331"/>
      <c r="O8" s="332"/>
      <c r="P8" s="196"/>
      <c r="R8" s="50"/>
      <c r="S8" s="50"/>
      <c r="T8" s="50"/>
      <c r="U8" s="50"/>
    </row>
    <row r="9" spans="1:21" ht="15.75" customHeight="1">
      <c r="A9" s="333" t="s">
        <v>16</v>
      </c>
      <c r="B9" s="334"/>
      <c r="C9" s="334"/>
      <c r="D9" s="334"/>
      <c r="E9" s="334"/>
      <c r="F9" s="334"/>
      <c r="G9" s="334"/>
      <c r="H9" s="335"/>
      <c r="I9" s="44"/>
      <c r="J9" s="205"/>
      <c r="K9" s="206"/>
      <c r="L9" s="206"/>
      <c r="M9" s="206"/>
      <c r="N9" s="206"/>
      <c r="O9" s="207"/>
      <c r="P9" s="197"/>
      <c r="R9" s="50"/>
      <c r="S9" s="50"/>
      <c r="T9" s="50"/>
      <c r="U9" s="50"/>
    </row>
    <row r="10" spans="1:21" ht="19.5" customHeight="1">
      <c r="A10" s="221" t="s">
        <v>17</v>
      </c>
      <c r="B10" s="354"/>
      <c r="C10" s="221" t="s">
        <v>178</v>
      </c>
      <c r="D10" s="222"/>
      <c r="E10" s="222"/>
      <c r="F10" s="222"/>
      <c r="G10" s="222"/>
      <c r="H10" s="355"/>
      <c r="I10" s="44"/>
      <c r="J10" s="95" t="s">
        <v>19</v>
      </c>
      <c r="K10" s="96"/>
      <c r="L10" s="96"/>
      <c r="M10" s="96"/>
      <c r="N10" s="96"/>
      <c r="O10" s="85"/>
      <c r="P10" s="92"/>
      <c r="R10" s="50"/>
      <c r="S10" s="50"/>
      <c r="T10" s="50"/>
      <c r="U10" s="50"/>
    </row>
    <row r="11" spans="1:21" ht="19.5" customHeight="1">
      <c r="A11" s="356" t="s">
        <v>20</v>
      </c>
      <c r="B11" s="357"/>
      <c r="C11" s="191" t="s">
        <v>179</v>
      </c>
      <c r="D11" s="309"/>
      <c r="E11" s="309"/>
      <c r="F11" s="309"/>
      <c r="G11" s="309"/>
      <c r="H11" s="358"/>
      <c r="I11" s="44"/>
      <c r="J11" s="77" t="s">
        <v>22</v>
      </c>
      <c r="K11" s="75"/>
      <c r="L11" s="75"/>
      <c r="M11" s="75"/>
      <c r="N11" s="75"/>
      <c r="O11" s="76"/>
      <c r="P11" s="93"/>
      <c r="R11" s="50"/>
      <c r="S11" s="50"/>
      <c r="T11" s="50"/>
      <c r="U11" s="50"/>
    </row>
    <row r="12" spans="1:21" ht="18.75" customHeight="1">
      <c r="A12" s="339" t="s">
        <v>23</v>
      </c>
      <c r="B12" s="359"/>
      <c r="C12" s="339"/>
      <c r="D12" s="360"/>
      <c r="E12" s="360"/>
      <c r="F12" s="360"/>
      <c r="G12" s="360"/>
      <c r="H12" s="361"/>
      <c r="I12" s="44"/>
      <c r="J12" s="77" t="s">
        <v>15</v>
      </c>
      <c r="K12" s="82"/>
      <c r="L12" s="82"/>
      <c r="M12" s="82"/>
      <c r="N12" s="83"/>
      <c r="O12" s="84"/>
      <c r="P12" s="93"/>
      <c r="R12" s="62"/>
      <c r="S12" s="62"/>
      <c r="T12" s="62"/>
      <c r="U12" s="62"/>
    </row>
    <row r="13" spans="1:21" ht="16.5" customHeight="1">
      <c r="A13" s="234"/>
      <c r="B13" s="234"/>
      <c r="C13" s="234"/>
      <c r="D13" s="234"/>
      <c r="E13" s="234"/>
      <c r="F13" s="234"/>
      <c r="G13" s="234"/>
      <c r="H13" s="234"/>
      <c r="J13" s="77"/>
      <c r="K13" s="78"/>
      <c r="L13" s="78"/>
      <c r="M13" s="78"/>
      <c r="N13" s="79"/>
      <c r="O13" s="80"/>
      <c r="P13" s="94"/>
      <c r="R13" s="61"/>
      <c r="S13" s="50"/>
      <c r="T13" s="50"/>
      <c r="U13" s="50"/>
    </row>
    <row r="14" spans="1:21" ht="18" customHeight="1">
      <c r="A14" s="343" t="s">
        <v>25</v>
      </c>
      <c r="B14" s="304"/>
      <c r="C14" s="304"/>
      <c r="D14" s="348">
        <v>11923</v>
      </c>
      <c r="E14" s="304"/>
      <c r="F14" s="304"/>
      <c r="G14" s="304"/>
      <c r="H14" s="305"/>
      <c r="I14" s="44"/>
      <c r="J14" s="327" t="s">
        <v>26</v>
      </c>
      <c r="K14" s="328"/>
      <c r="L14" s="328"/>
      <c r="M14" s="328"/>
      <c r="N14" s="328"/>
      <c r="O14" s="329"/>
      <c r="P14" s="195"/>
      <c r="Q14" s="63"/>
      <c r="R14" s="63"/>
      <c r="S14" s="63"/>
      <c r="T14" s="63"/>
      <c r="U14" s="50"/>
    </row>
    <row r="15" spans="1:21" ht="17.25" customHeight="1">
      <c r="A15" s="303" t="s">
        <v>27</v>
      </c>
      <c r="B15" s="347"/>
      <c r="C15" s="347"/>
      <c r="D15" s="348">
        <f>I51</f>
        <v>142</v>
      </c>
      <c r="E15" s="349"/>
      <c r="F15" s="349"/>
      <c r="G15" s="349"/>
      <c r="H15" s="350"/>
      <c r="I15" s="44"/>
      <c r="J15" s="351" t="s">
        <v>28</v>
      </c>
      <c r="K15" s="352"/>
      <c r="L15" s="352"/>
      <c r="M15" s="352"/>
      <c r="N15" s="352"/>
      <c r="O15" s="353"/>
      <c r="P15" s="196"/>
      <c r="Q15" s="1"/>
      <c r="R15" s="1"/>
      <c r="S15" s="2"/>
      <c r="T15" s="2"/>
      <c r="U15" s="50"/>
    </row>
    <row r="16" spans="1:21" ht="15" customHeight="1">
      <c r="A16" s="245"/>
      <c r="B16" s="246"/>
      <c r="C16" s="246"/>
      <c r="D16" s="246"/>
      <c r="E16" s="246"/>
      <c r="F16" s="246"/>
      <c r="G16" s="246"/>
      <c r="H16" s="246"/>
      <c r="J16" s="205"/>
      <c r="K16" s="206"/>
      <c r="L16" s="206"/>
      <c r="M16" s="206"/>
      <c r="N16" s="206"/>
      <c r="O16" s="207"/>
      <c r="P16" s="197"/>
      <c r="Q16" s="60"/>
      <c r="R16" s="50"/>
      <c r="S16" s="50"/>
      <c r="T16" s="64"/>
      <c r="U16" s="50"/>
    </row>
    <row r="17" spans="1:21" ht="20.25" customHeight="1">
      <c r="A17" s="362" t="s">
        <v>29</v>
      </c>
      <c r="B17" s="326"/>
      <c r="C17" s="326"/>
      <c r="D17" s="326"/>
      <c r="E17" s="303" t="s">
        <v>128</v>
      </c>
      <c r="F17" s="304"/>
      <c r="G17" s="304"/>
      <c r="H17" s="305"/>
      <c r="I17" s="44"/>
      <c r="J17" s="247"/>
      <c r="K17" s="247"/>
      <c r="L17" s="247"/>
      <c r="M17" s="247"/>
      <c r="N17" s="247"/>
      <c r="O17" s="247"/>
      <c r="P17" s="247"/>
      <c r="Q17" s="50"/>
      <c r="R17" s="50"/>
      <c r="S17" s="50"/>
      <c r="T17" s="50"/>
      <c r="U17" s="50"/>
    </row>
    <row r="18" spans="1:21" ht="21.75" customHeight="1">
      <c r="A18" s="325" t="s">
        <v>129</v>
      </c>
      <c r="B18" s="326"/>
      <c r="C18" s="326"/>
      <c r="D18" s="363"/>
      <c r="E18" s="303" t="s">
        <v>130</v>
      </c>
      <c r="F18" s="347"/>
      <c r="G18" s="347"/>
      <c r="H18" s="364"/>
      <c r="I18" s="44"/>
      <c r="J18" s="365" t="s">
        <v>32</v>
      </c>
      <c r="K18" s="366"/>
      <c r="L18" s="366"/>
      <c r="M18" s="367">
        <v>45982</v>
      </c>
      <c r="N18" s="368"/>
      <c r="O18" s="368"/>
      <c r="P18" s="368"/>
      <c r="Q18" s="50"/>
      <c r="R18" s="50"/>
      <c r="S18" s="50"/>
      <c r="T18" s="50"/>
      <c r="U18" s="50"/>
    </row>
    <row r="19" spans="1:21" ht="18.75" customHeight="1">
      <c r="A19" s="402" t="s">
        <v>180</v>
      </c>
      <c r="B19" s="246"/>
      <c r="C19" s="246"/>
      <c r="D19" s="246"/>
      <c r="E19" s="246"/>
      <c r="F19" s="246"/>
      <c r="I19" s="44"/>
      <c r="J19" s="50"/>
      <c r="K19" s="50"/>
      <c r="L19" s="50"/>
      <c r="M19" s="61"/>
      <c r="N19" s="61"/>
      <c r="O19" s="50"/>
      <c r="P19" s="50"/>
      <c r="Q19" s="50"/>
      <c r="R19" s="50"/>
      <c r="S19" s="50"/>
      <c r="T19" s="50"/>
      <c r="U19" s="50"/>
    </row>
    <row r="20" spans="1:21" ht="15">
      <c r="A20" s="53" t="s">
        <v>33</v>
      </c>
      <c r="B20" s="71"/>
      <c r="C20" s="71"/>
      <c r="D20" s="53"/>
      <c r="E20" s="53"/>
      <c r="F20" s="53"/>
      <c r="G20" s="54"/>
      <c r="H20" s="54"/>
      <c r="I20" s="54"/>
      <c r="J20" s="54"/>
      <c r="K20" s="54"/>
      <c r="L20" s="54"/>
      <c r="M20" s="54"/>
      <c r="N20" s="54"/>
      <c r="O20" s="54"/>
      <c r="P20" s="54"/>
      <c r="Q20" s="11"/>
      <c r="R20" s="11"/>
      <c r="S20" s="11"/>
      <c r="T20" s="11"/>
      <c r="U20" s="11"/>
    </row>
    <row r="21" spans="1:21" ht="15">
      <c r="A21" s="53" t="s">
        <v>34</v>
      </c>
      <c r="B21" s="53" t="s">
        <v>35</v>
      </c>
      <c r="C21" s="386" t="s">
        <v>36</v>
      </c>
      <c r="D21" s="386"/>
      <c r="E21" s="386" t="s">
        <v>37</v>
      </c>
      <c r="F21" s="386"/>
      <c r="G21" s="53" t="s">
        <v>38</v>
      </c>
      <c r="H21" s="53" t="s">
        <v>39</v>
      </c>
      <c r="I21" s="386" t="s">
        <v>40</v>
      </c>
      <c r="J21" s="386"/>
      <c r="K21" s="53" t="s">
        <v>41</v>
      </c>
      <c r="L21" s="53" t="s">
        <v>42</v>
      </c>
      <c r="M21" s="53" t="s">
        <v>43</v>
      </c>
      <c r="N21" s="72" t="s">
        <v>44</v>
      </c>
      <c r="O21" s="386" t="s">
        <v>45</v>
      </c>
      <c r="P21" s="386"/>
      <c r="Q21" s="64"/>
      <c r="R21" s="64"/>
      <c r="S21" s="64"/>
      <c r="T21" s="64"/>
      <c r="U21" s="64"/>
    </row>
    <row r="22" spans="1:21" ht="15" customHeight="1">
      <c r="A22" s="369" t="s">
        <v>46</v>
      </c>
      <c r="B22" s="370"/>
      <c r="C22" s="371" t="s">
        <v>47</v>
      </c>
      <c r="D22" s="372"/>
      <c r="E22" s="371" t="s">
        <v>48</v>
      </c>
      <c r="F22" s="372"/>
      <c r="G22" s="375" t="s">
        <v>49</v>
      </c>
      <c r="H22" s="375" t="s">
        <v>50</v>
      </c>
      <c r="I22" s="377" t="s">
        <v>51</v>
      </c>
      <c r="J22" s="378"/>
      <c r="K22" s="369" t="s">
        <v>52</v>
      </c>
      <c r="L22" s="381"/>
      <c r="M22" s="370"/>
      <c r="N22" s="377" t="s">
        <v>53</v>
      </c>
      <c r="O22" s="377" t="s">
        <v>54</v>
      </c>
      <c r="P22" s="378"/>
      <c r="Q22" s="3"/>
      <c r="R22" s="3"/>
      <c r="S22" s="3"/>
      <c r="T22" s="3"/>
      <c r="U22" s="3"/>
    </row>
    <row r="23" spans="1:21" s="66" customFormat="1" ht="30.75" customHeight="1">
      <c r="A23" s="45" t="s">
        <v>55</v>
      </c>
      <c r="B23" s="46" t="s">
        <v>56</v>
      </c>
      <c r="C23" s="373"/>
      <c r="D23" s="374"/>
      <c r="E23" s="373"/>
      <c r="F23" s="374"/>
      <c r="G23" s="376"/>
      <c r="H23" s="376"/>
      <c r="I23" s="379"/>
      <c r="J23" s="380"/>
      <c r="K23" s="46" t="s">
        <v>57</v>
      </c>
      <c r="L23" s="46" t="s">
        <v>58</v>
      </c>
      <c r="M23" s="46" t="s">
        <v>59</v>
      </c>
      <c r="N23" s="379"/>
      <c r="O23" s="379"/>
      <c r="P23" s="380"/>
      <c r="Q23" s="47"/>
      <c r="R23" s="47"/>
      <c r="S23" s="47"/>
      <c r="T23" s="47"/>
      <c r="U23" s="47"/>
    </row>
    <row r="24" spans="1:21" ht="20.25" customHeight="1">
      <c r="A24" s="46">
        <v>1</v>
      </c>
      <c r="B24" s="46">
        <v>142</v>
      </c>
      <c r="C24" s="394">
        <v>1</v>
      </c>
      <c r="D24" s="383"/>
      <c r="E24" s="394" t="s">
        <v>181</v>
      </c>
      <c r="F24" s="383"/>
      <c r="G24" s="46">
        <v>142</v>
      </c>
      <c r="H24" s="46">
        <v>1</v>
      </c>
      <c r="I24" s="384">
        <v>142</v>
      </c>
      <c r="J24" s="385"/>
      <c r="K24" s="46">
        <v>203</v>
      </c>
      <c r="L24" s="46">
        <v>63</v>
      </c>
      <c r="M24" s="46">
        <v>18</v>
      </c>
      <c r="N24" s="65">
        <v>32.688000000000002</v>
      </c>
      <c r="O24" s="384">
        <v>10598</v>
      </c>
      <c r="P24" s="385"/>
      <c r="Q24" s="7"/>
      <c r="R24" s="7"/>
      <c r="S24" s="7"/>
      <c r="T24" s="7"/>
      <c r="U24" s="7"/>
    </row>
    <row r="25" spans="1:21" ht="20.25" customHeight="1">
      <c r="A25" s="46">
        <v>143</v>
      </c>
      <c r="B25" s="46">
        <v>284</v>
      </c>
      <c r="C25" s="382"/>
      <c r="D25" s="383"/>
      <c r="E25" s="394"/>
      <c r="F25" s="383"/>
      <c r="G25" s="46">
        <v>142</v>
      </c>
      <c r="H25" s="46"/>
      <c r="I25" s="384"/>
      <c r="J25" s="385"/>
      <c r="K25" s="46">
        <v>203</v>
      </c>
      <c r="L25" s="46">
        <v>20</v>
      </c>
      <c r="M25" s="46">
        <v>10</v>
      </c>
      <c r="N25" s="65">
        <v>5.7649999999999997</v>
      </c>
      <c r="O25" s="384">
        <v>1988</v>
      </c>
      <c r="P25" s="385"/>
      <c r="Q25" s="7"/>
      <c r="R25" s="7"/>
      <c r="S25" s="7"/>
      <c r="T25" s="7"/>
      <c r="U25" s="7"/>
    </row>
    <row r="26" spans="1:21" ht="20.25" customHeight="1">
      <c r="A26" s="46">
        <v>285</v>
      </c>
      <c r="B26" s="46">
        <v>426</v>
      </c>
      <c r="C26" s="382"/>
      <c r="D26" s="383"/>
      <c r="E26" s="382"/>
      <c r="F26" s="383"/>
      <c r="G26" s="46">
        <v>142</v>
      </c>
      <c r="H26" s="46"/>
      <c r="I26" s="384"/>
      <c r="J26" s="385"/>
      <c r="K26" s="46">
        <v>60</v>
      </c>
      <c r="L26" s="46">
        <v>20</v>
      </c>
      <c r="M26" s="46">
        <v>10</v>
      </c>
      <c r="N26" s="65">
        <v>1.704</v>
      </c>
      <c r="O26" s="384">
        <v>662</v>
      </c>
      <c r="P26" s="385"/>
      <c r="Q26" s="7"/>
      <c r="R26" s="7"/>
      <c r="S26" s="7"/>
      <c r="T26" s="7"/>
      <c r="U26" s="7"/>
    </row>
    <row r="27" spans="1:21" ht="20.25" customHeight="1">
      <c r="A27" s="46"/>
      <c r="B27" s="46"/>
      <c r="C27" s="382"/>
      <c r="D27" s="383"/>
      <c r="E27" s="382"/>
      <c r="F27" s="383"/>
      <c r="G27" s="46"/>
      <c r="H27" s="46"/>
      <c r="I27" s="384"/>
      <c r="J27" s="385"/>
      <c r="K27" s="46"/>
      <c r="L27" s="46"/>
      <c r="M27" s="46"/>
      <c r="N27" s="65"/>
      <c r="O27" s="384"/>
      <c r="P27" s="385"/>
      <c r="Q27" s="7"/>
      <c r="R27" s="7"/>
      <c r="S27" s="7"/>
      <c r="T27" s="7"/>
      <c r="U27" s="7"/>
    </row>
    <row r="28" spans="1:21" ht="20.25" customHeight="1">
      <c r="A28" s="46"/>
      <c r="B28" s="46"/>
      <c r="C28" s="382"/>
      <c r="D28" s="383"/>
      <c r="E28" s="382"/>
      <c r="F28" s="383"/>
      <c r="G28" s="46"/>
      <c r="H28" s="46"/>
      <c r="I28" s="384"/>
      <c r="J28" s="385"/>
      <c r="K28" s="46"/>
      <c r="L28" s="46"/>
      <c r="M28" s="46"/>
      <c r="N28" s="65"/>
      <c r="O28" s="384"/>
      <c r="P28" s="385"/>
      <c r="Q28" s="7"/>
      <c r="R28" s="7"/>
      <c r="S28" s="7"/>
      <c r="T28" s="7"/>
      <c r="U28" s="7"/>
    </row>
    <row r="29" spans="1:21" ht="20.25" customHeight="1">
      <c r="A29" s="46"/>
      <c r="B29" s="46"/>
      <c r="C29" s="382"/>
      <c r="D29" s="383"/>
      <c r="E29" s="382"/>
      <c r="F29" s="383"/>
      <c r="G29" s="46"/>
      <c r="H29" s="46"/>
      <c r="I29" s="384"/>
      <c r="J29" s="385"/>
      <c r="K29" s="46"/>
      <c r="L29" s="46"/>
      <c r="M29" s="46"/>
      <c r="N29" s="65"/>
      <c r="O29" s="384"/>
      <c r="P29" s="385"/>
      <c r="Q29" s="7"/>
      <c r="R29" s="7"/>
      <c r="S29" s="7"/>
      <c r="T29" s="7"/>
      <c r="U29" s="7"/>
    </row>
    <row r="30" spans="1:21" ht="20.25" customHeight="1">
      <c r="A30" s="46"/>
      <c r="B30" s="46"/>
      <c r="C30" s="382"/>
      <c r="D30" s="383"/>
      <c r="E30" s="382"/>
      <c r="F30" s="383"/>
      <c r="G30" s="46"/>
      <c r="H30" s="46"/>
      <c r="I30" s="384"/>
      <c r="J30" s="385"/>
      <c r="K30" s="46"/>
      <c r="L30" s="46"/>
      <c r="M30" s="46"/>
      <c r="N30" s="65"/>
      <c r="O30" s="384"/>
      <c r="P30" s="385"/>
      <c r="Q30" s="7"/>
      <c r="R30" s="7"/>
      <c r="S30" s="7"/>
      <c r="T30" s="7"/>
      <c r="U30" s="7"/>
    </row>
    <row r="31" spans="1:21" ht="20.25" customHeight="1">
      <c r="A31" s="46"/>
      <c r="B31" s="46"/>
      <c r="C31" s="382"/>
      <c r="D31" s="383"/>
      <c r="E31" s="382"/>
      <c r="F31" s="383"/>
      <c r="G31" s="46"/>
      <c r="H31" s="46"/>
      <c r="I31" s="384"/>
      <c r="J31" s="385"/>
      <c r="K31" s="46"/>
      <c r="L31" s="46"/>
      <c r="M31" s="46"/>
      <c r="N31" s="65"/>
      <c r="O31" s="384"/>
      <c r="P31" s="385"/>
      <c r="Q31" s="7"/>
      <c r="R31" s="7"/>
      <c r="S31" s="7"/>
      <c r="T31" s="7"/>
      <c r="U31" s="7"/>
    </row>
    <row r="32" spans="1:21" ht="20.25" customHeight="1">
      <c r="A32" s="46"/>
      <c r="B32" s="46"/>
      <c r="C32" s="382"/>
      <c r="D32" s="383"/>
      <c r="E32" s="394"/>
      <c r="F32" s="383"/>
      <c r="G32" s="46"/>
      <c r="H32" s="46"/>
      <c r="I32" s="384"/>
      <c r="J32" s="385"/>
      <c r="K32" s="46"/>
      <c r="L32" s="46"/>
      <c r="M32" s="46"/>
      <c r="N32" s="65"/>
      <c r="O32" s="384"/>
      <c r="P32" s="385"/>
      <c r="Q32" s="7"/>
      <c r="R32" s="7"/>
      <c r="S32" s="7"/>
      <c r="T32" s="7"/>
      <c r="U32" s="7"/>
    </row>
    <row r="33" spans="1:21" ht="20.25" customHeight="1">
      <c r="A33" s="46"/>
      <c r="B33" s="46"/>
      <c r="C33" s="382"/>
      <c r="D33" s="383"/>
      <c r="E33" s="394"/>
      <c r="F33" s="383"/>
      <c r="G33" s="46"/>
      <c r="H33" s="46"/>
      <c r="I33" s="384"/>
      <c r="J33" s="385"/>
      <c r="K33" s="46"/>
      <c r="L33" s="46"/>
      <c r="M33" s="46"/>
      <c r="N33" s="65"/>
      <c r="O33" s="384"/>
      <c r="P33" s="385"/>
      <c r="Q33" s="7"/>
      <c r="R33" s="7"/>
      <c r="S33" s="7"/>
      <c r="T33" s="7"/>
      <c r="U33" s="7"/>
    </row>
    <row r="34" spans="1:21" ht="20.25" customHeight="1">
      <c r="A34" s="46"/>
      <c r="B34" s="46"/>
      <c r="C34" s="382"/>
      <c r="D34" s="383"/>
      <c r="E34" s="382"/>
      <c r="F34" s="383"/>
      <c r="G34" s="46"/>
      <c r="H34" s="46"/>
      <c r="I34" s="384"/>
      <c r="J34" s="385"/>
      <c r="K34" s="46"/>
      <c r="L34" s="46"/>
      <c r="M34" s="46"/>
      <c r="N34" s="65"/>
      <c r="O34" s="384"/>
      <c r="P34" s="385"/>
      <c r="Q34" s="7"/>
      <c r="R34" s="7"/>
      <c r="S34" s="7"/>
      <c r="T34" s="7"/>
      <c r="U34" s="7"/>
    </row>
    <row r="35" spans="1:21" ht="20.25" customHeight="1">
      <c r="A35" s="46"/>
      <c r="B35" s="46"/>
      <c r="C35" s="382"/>
      <c r="D35" s="383"/>
      <c r="E35" s="382"/>
      <c r="F35" s="383"/>
      <c r="G35" s="46"/>
      <c r="H35" s="46"/>
      <c r="I35" s="384"/>
      <c r="J35" s="385"/>
      <c r="K35" s="46"/>
      <c r="L35" s="46"/>
      <c r="M35" s="46"/>
      <c r="N35" s="65"/>
      <c r="O35" s="384"/>
      <c r="P35" s="385"/>
      <c r="Q35" s="7"/>
      <c r="R35" s="7"/>
      <c r="S35" s="7"/>
      <c r="T35" s="7"/>
      <c r="U35" s="7"/>
    </row>
    <row r="36" spans="1:21" ht="20.25" customHeight="1">
      <c r="A36" s="46"/>
      <c r="B36" s="46"/>
      <c r="C36" s="382"/>
      <c r="D36" s="383"/>
      <c r="E36" s="382"/>
      <c r="F36" s="383"/>
      <c r="G36" s="46"/>
      <c r="H36" s="46"/>
      <c r="I36" s="384"/>
      <c r="J36" s="385"/>
      <c r="K36" s="46"/>
      <c r="L36" s="46"/>
      <c r="M36" s="46"/>
      <c r="N36" s="65"/>
      <c r="O36" s="384"/>
      <c r="P36" s="385"/>
      <c r="Q36" s="7"/>
      <c r="R36" s="7"/>
      <c r="S36" s="7"/>
      <c r="T36" s="7"/>
      <c r="U36" s="7"/>
    </row>
    <row r="37" spans="1:21" ht="20.25" customHeight="1">
      <c r="A37" s="46"/>
      <c r="B37" s="46"/>
      <c r="C37" s="382"/>
      <c r="D37" s="383"/>
      <c r="E37" s="382"/>
      <c r="F37" s="383"/>
      <c r="G37" s="46"/>
      <c r="H37" s="46"/>
      <c r="I37" s="384"/>
      <c r="J37" s="385"/>
      <c r="K37" s="46"/>
      <c r="L37" s="46"/>
      <c r="M37" s="46"/>
      <c r="N37" s="65"/>
      <c r="O37" s="384"/>
      <c r="P37" s="385"/>
      <c r="Q37" s="7"/>
      <c r="R37" s="7"/>
      <c r="S37" s="7"/>
      <c r="T37" s="7"/>
      <c r="U37" s="7"/>
    </row>
    <row r="38" spans="1:21" ht="20.25" customHeight="1">
      <c r="A38" s="46"/>
      <c r="B38" s="46"/>
      <c r="C38" s="382"/>
      <c r="D38" s="383"/>
      <c r="E38" s="382"/>
      <c r="F38" s="383"/>
      <c r="G38" s="46"/>
      <c r="H38" s="46"/>
      <c r="I38" s="384"/>
      <c r="J38" s="385"/>
      <c r="K38" s="46"/>
      <c r="L38" s="46"/>
      <c r="M38" s="46"/>
      <c r="N38" s="65"/>
      <c r="O38" s="384"/>
      <c r="P38" s="385"/>
      <c r="Q38" s="7"/>
      <c r="R38" s="7"/>
      <c r="S38" s="7"/>
      <c r="T38" s="7"/>
      <c r="U38" s="7"/>
    </row>
    <row r="39" spans="1:21" ht="20.25" customHeight="1">
      <c r="A39" s="46"/>
      <c r="B39" s="46"/>
      <c r="C39" s="382"/>
      <c r="D39" s="383"/>
      <c r="E39" s="382"/>
      <c r="F39" s="383"/>
      <c r="G39" s="46"/>
      <c r="H39" s="46"/>
      <c r="I39" s="384"/>
      <c r="J39" s="385"/>
      <c r="K39" s="46"/>
      <c r="L39" s="46"/>
      <c r="M39" s="46"/>
      <c r="N39" s="65"/>
      <c r="O39" s="384"/>
      <c r="P39" s="385"/>
      <c r="Q39" s="7"/>
      <c r="R39" s="7"/>
      <c r="S39" s="7"/>
      <c r="T39" s="7"/>
      <c r="U39" s="7"/>
    </row>
    <row r="40" spans="1:21" ht="20.25" customHeight="1">
      <c r="A40" s="46"/>
      <c r="B40" s="46"/>
      <c r="C40" s="382"/>
      <c r="D40" s="383"/>
      <c r="E40" s="382"/>
      <c r="F40" s="383"/>
      <c r="G40" s="46"/>
      <c r="H40" s="46"/>
      <c r="I40" s="384"/>
      <c r="J40" s="385"/>
      <c r="K40" s="46"/>
      <c r="L40" s="46"/>
      <c r="M40" s="46"/>
      <c r="N40" s="65"/>
      <c r="O40" s="384"/>
      <c r="P40" s="385"/>
      <c r="Q40" s="7"/>
      <c r="R40" s="7"/>
      <c r="S40" s="7"/>
      <c r="T40" s="7"/>
      <c r="U40" s="7"/>
    </row>
    <row r="41" spans="1:21" ht="20.25" customHeight="1">
      <c r="A41" s="46"/>
      <c r="B41" s="46"/>
      <c r="C41" s="382"/>
      <c r="D41" s="383"/>
      <c r="E41" s="382"/>
      <c r="F41" s="383"/>
      <c r="G41" s="46"/>
      <c r="H41" s="46"/>
      <c r="I41" s="384"/>
      <c r="J41" s="385"/>
      <c r="K41" s="46"/>
      <c r="L41" s="46"/>
      <c r="M41" s="46"/>
      <c r="N41" s="65"/>
      <c r="O41" s="384"/>
      <c r="P41" s="385"/>
      <c r="Q41" s="7"/>
      <c r="R41" s="7"/>
      <c r="S41" s="7"/>
      <c r="T41" s="7"/>
      <c r="U41" s="7"/>
    </row>
    <row r="42" spans="1:21" ht="20.25" customHeight="1">
      <c r="A42" s="46"/>
      <c r="B42" s="46"/>
      <c r="C42" s="382"/>
      <c r="D42" s="383"/>
      <c r="E42" s="382"/>
      <c r="F42" s="383"/>
      <c r="G42" s="46"/>
      <c r="H42" s="46"/>
      <c r="I42" s="384"/>
      <c r="J42" s="385"/>
      <c r="K42" s="46"/>
      <c r="L42" s="46"/>
      <c r="M42" s="46"/>
      <c r="N42" s="65"/>
      <c r="O42" s="384"/>
      <c r="P42" s="385"/>
      <c r="Q42" s="7"/>
      <c r="R42" s="7"/>
      <c r="S42" s="7"/>
      <c r="T42" s="7"/>
      <c r="U42" s="7"/>
    </row>
    <row r="43" spans="1:21" ht="20.25" customHeight="1">
      <c r="A43" s="46"/>
      <c r="B43" s="46"/>
      <c r="C43" s="382"/>
      <c r="D43" s="383"/>
      <c r="E43" s="382"/>
      <c r="F43" s="383"/>
      <c r="G43" s="46"/>
      <c r="H43" s="46"/>
      <c r="I43" s="384"/>
      <c r="J43" s="385"/>
      <c r="K43" s="46"/>
      <c r="L43" s="46"/>
      <c r="M43" s="46"/>
      <c r="N43" s="65"/>
      <c r="O43" s="384"/>
      <c r="P43" s="385"/>
      <c r="Q43" s="7"/>
      <c r="R43" s="7"/>
      <c r="S43" s="7"/>
      <c r="T43" s="7"/>
      <c r="U43" s="7"/>
    </row>
    <row r="44" spans="1:21" ht="20.25" customHeight="1">
      <c r="A44" s="46"/>
      <c r="B44" s="46"/>
      <c r="C44" s="382"/>
      <c r="D44" s="383"/>
      <c r="E44" s="382"/>
      <c r="F44" s="383"/>
      <c r="G44" s="46"/>
      <c r="H44" s="46"/>
      <c r="I44" s="384"/>
      <c r="J44" s="385"/>
      <c r="K44" s="46"/>
      <c r="L44" s="46"/>
      <c r="M44" s="46"/>
      <c r="N44" s="65"/>
      <c r="O44" s="384"/>
      <c r="P44" s="385"/>
      <c r="Q44" s="7"/>
      <c r="R44" s="7"/>
      <c r="S44" s="7"/>
      <c r="T44" s="7"/>
      <c r="U44" s="7"/>
    </row>
    <row r="45" spans="1:21" ht="20.25" customHeight="1">
      <c r="A45" s="46"/>
      <c r="B45" s="46"/>
      <c r="C45" s="382"/>
      <c r="D45" s="383"/>
      <c r="E45" s="382"/>
      <c r="F45" s="383"/>
      <c r="G45" s="46"/>
      <c r="H45" s="46"/>
      <c r="I45" s="384"/>
      <c r="J45" s="385"/>
      <c r="K45" s="46"/>
      <c r="L45" s="46"/>
      <c r="M45" s="46"/>
      <c r="N45" s="65"/>
      <c r="O45" s="384"/>
      <c r="P45" s="385"/>
      <c r="Q45" s="7"/>
      <c r="R45" s="7"/>
      <c r="S45" s="7"/>
      <c r="T45" s="7"/>
      <c r="U45" s="7"/>
    </row>
    <row r="46" spans="1:21" ht="20.25" customHeight="1">
      <c r="A46" s="46"/>
      <c r="B46" s="46"/>
      <c r="C46" s="382"/>
      <c r="D46" s="383"/>
      <c r="E46" s="382"/>
      <c r="F46" s="383"/>
      <c r="G46" s="46"/>
      <c r="H46" s="46"/>
      <c r="I46" s="384"/>
      <c r="J46" s="385"/>
      <c r="K46" s="46"/>
      <c r="L46" s="46"/>
      <c r="M46" s="46"/>
      <c r="N46" s="65"/>
      <c r="O46" s="384"/>
      <c r="P46" s="385"/>
      <c r="Q46" s="7"/>
      <c r="R46" s="7"/>
      <c r="S46" s="7"/>
      <c r="T46" s="7"/>
      <c r="U46" s="7"/>
    </row>
    <row r="47" spans="1:21" ht="20.25" customHeight="1">
      <c r="A47" s="46"/>
      <c r="B47" s="46"/>
      <c r="C47" s="382"/>
      <c r="D47" s="383"/>
      <c r="E47" s="382"/>
      <c r="F47" s="383"/>
      <c r="G47" s="46"/>
      <c r="H47" s="46"/>
      <c r="I47" s="384"/>
      <c r="J47" s="385"/>
      <c r="K47" s="46"/>
      <c r="L47" s="46"/>
      <c r="M47" s="46"/>
      <c r="N47" s="65"/>
      <c r="O47" s="384"/>
      <c r="P47" s="385"/>
      <c r="Q47" s="7"/>
      <c r="R47" s="7"/>
      <c r="S47" s="7"/>
      <c r="T47" s="7"/>
      <c r="U47" s="7"/>
    </row>
    <row r="48" spans="1:21" ht="20.25" customHeight="1">
      <c r="A48" s="46"/>
      <c r="B48" s="46"/>
      <c r="C48" s="382"/>
      <c r="D48" s="383"/>
      <c r="E48" s="382"/>
      <c r="F48" s="383"/>
      <c r="G48" s="46"/>
      <c r="H48" s="46"/>
      <c r="I48" s="384"/>
      <c r="J48" s="385"/>
      <c r="K48" s="46"/>
      <c r="L48" s="46"/>
      <c r="M48" s="46"/>
      <c r="N48" s="65"/>
      <c r="O48" s="384"/>
      <c r="P48" s="385"/>
      <c r="Q48" s="7"/>
      <c r="R48" s="7"/>
      <c r="S48" s="7"/>
      <c r="T48" s="7"/>
      <c r="U48" s="7"/>
    </row>
    <row r="49" spans="1:21" ht="20.25" customHeight="1">
      <c r="A49" s="46"/>
      <c r="B49" s="46"/>
      <c r="C49" s="382"/>
      <c r="D49" s="383"/>
      <c r="E49" s="382"/>
      <c r="F49" s="383"/>
      <c r="G49" s="46"/>
      <c r="H49" s="46"/>
      <c r="I49" s="384"/>
      <c r="J49" s="385"/>
      <c r="K49" s="46"/>
      <c r="L49" s="46"/>
      <c r="M49" s="46"/>
      <c r="N49" s="65"/>
      <c r="O49" s="384"/>
      <c r="P49" s="385"/>
      <c r="Q49" s="11"/>
      <c r="R49" s="11"/>
      <c r="S49" s="11"/>
      <c r="T49" s="11"/>
      <c r="U49" s="11"/>
    </row>
    <row r="50" spans="1:21" ht="15">
      <c r="A50" s="11"/>
      <c r="B50" s="11"/>
      <c r="C50" s="11"/>
      <c r="D50" s="64"/>
      <c r="E50" s="64"/>
      <c r="F50" s="64"/>
      <c r="G50" s="51"/>
      <c r="H50" s="11"/>
      <c r="I50" s="393"/>
      <c r="J50" s="393"/>
      <c r="K50" s="11"/>
      <c r="L50" s="11"/>
      <c r="M50" s="11"/>
      <c r="N50" s="81"/>
      <c r="O50" s="404"/>
      <c r="P50" s="404"/>
      <c r="Q50" s="11"/>
      <c r="R50" s="11"/>
      <c r="S50" s="11"/>
      <c r="T50" s="11"/>
      <c r="U50" s="11"/>
    </row>
    <row r="51" spans="1:21">
      <c r="A51" s="52" t="s">
        <v>60</v>
      </c>
      <c r="D51" s="64"/>
      <c r="E51" s="64"/>
      <c r="F51" s="64"/>
      <c r="G51" s="46">
        <f>SUM(G24:G50)</f>
        <v>426</v>
      </c>
      <c r="H51" s="11"/>
      <c r="I51" s="387">
        <f>SUM(I24:J50)</f>
        <v>142</v>
      </c>
      <c r="J51" s="388"/>
      <c r="K51" s="11"/>
      <c r="M51" s="11"/>
      <c r="N51" s="97">
        <f>SUM(N24:N50)</f>
        <v>40.157000000000004</v>
      </c>
      <c r="O51" s="403">
        <f>SUM(O24:P50)</f>
        <v>13248</v>
      </c>
      <c r="P51" s="403"/>
      <c r="R51" s="11"/>
      <c r="S51" s="11"/>
      <c r="T51" s="11"/>
      <c r="U51" s="11"/>
    </row>
    <row r="52" spans="1:21" ht="15">
      <c r="A52" s="11"/>
      <c r="B52" s="11"/>
      <c r="C52" s="11"/>
      <c r="D52" s="64"/>
      <c r="E52" s="64"/>
      <c r="F52" s="64"/>
      <c r="G52" s="64" t="s">
        <v>61</v>
      </c>
      <c r="H52" s="64"/>
      <c r="I52" s="390" t="s">
        <v>62</v>
      </c>
      <c r="J52" s="390"/>
      <c r="K52" s="64"/>
      <c r="M52" s="64"/>
      <c r="N52" s="69" t="s">
        <v>63</v>
      </c>
      <c r="O52" s="390" t="s">
        <v>64</v>
      </c>
      <c r="P52" s="390"/>
      <c r="R52" s="11"/>
      <c r="S52" s="11"/>
      <c r="T52" s="11"/>
      <c r="U52" s="11"/>
    </row>
    <row r="53" spans="1:21" ht="15">
      <c r="A53" s="11"/>
      <c r="B53" s="11"/>
      <c r="C53" s="11"/>
      <c r="D53" s="64"/>
      <c r="E53" s="64"/>
      <c r="F53" s="64"/>
      <c r="G53" s="64"/>
      <c r="H53" s="64"/>
      <c r="I53" s="69"/>
      <c r="J53" s="69"/>
      <c r="K53" s="64"/>
      <c r="M53" s="64"/>
      <c r="N53" s="69"/>
      <c r="O53" s="69"/>
      <c r="P53" s="69"/>
      <c r="R53" s="11"/>
      <c r="S53" s="11"/>
      <c r="T53" s="11"/>
      <c r="U53" s="11"/>
    </row>
    <row r="54" spans="1:21" ht="15">
      <c r="A54" s="391" t="s">
        <v>65</v>
      </c>
      <c r="B54" s="392"/>
      <c r="C54" s="392"/>
      <c r="D54" s="392"/>
      <c r="E54" s="392"/>
      <c r="F54" s="392"/>
      <c r="G54" s="392"/>
      <c r="H54" s="392"/>
      <c r="I54" s="392"/>
      <c r="J54" s="392"/>
      <c r="K54" s="392"/>
      <c r="L54" s="70"/>
      <c r="M54" s="70"/>
      <c r="N54" s="70"/>
      <c r="O54" s="70"/>
      <c r="P54" s="70"/>
      <c r="Q54" s="70"/>
      <c r="R54" s="70"/>
      <c r="S54" s="11"/>
      <c r="T54" s="11"/>
      <c r="U54" s="11"/>
    </row>
    <row r="55" spans="1:21" ht="15.75" customHeight="1">
      <c r="A55" s="391" t="s">
        <v>66</v>
      </c>
      <c r="B55" s="392"/>
      <c r="C55" s="392"/>
      <c r="D55" s="392"/>
      <c r="E55" s="392"/>
      <c r="F55" s="392"/>
      <c r="G55" s="392"/>
      <c r="H55" s="392"/>
      <c r="I55" s="392"/>
      <c r="J55" s="392"/>
      <c r="K55" s="392"/>
      <c r="L55" s="392"/>
      <c r="M55" s="392"/>
      <c r="N55" s="392"/>
      <c r="O55" s="392"/>
      <c r="P55" s="392"/>
      <c r="Q55" s="392"/>
      <c r="R55" s="392"/>
    </row>
    <row r="56" spans="1:21" ht="15.75" customHeight="1">
      <c r="A56" s="67"/>
      <c r="B56" s="68"/>
      <c r="C56" s="68"/>
      <c r="D56" s="68"/>
      <c r="E56" s="68"/>
      <c r="F56" s="68"/>
      <c r="G56" s="68"/>
      <c r="H56" s="68"/>
      <c r="I56" s="68"/>
      <c r="J56" s="68"/>
      <c r="K56" s="68"/>
      <c r="L56" s="68"/>
      <c r="M56" s="68"/>
      <c r="N56" s="68"/>
      <c r="O56" s="68"/>
      <c r="P56" s="68"/>
      <c r="Q56" s="68"/>
      <c r="R56" s="68"/>
    </row>
    <row r="57" spans="1:21" s="49" customFormat="1" ht="21" customHeight="1">
      <c r="A57" s="55" t="s">
        <v>67</v>
      </c>
      <c r="B57" s="56" t="s">
        <v>181</v>
      </c>
      <c r="C57" s="56"/>
      <c r="D57" s="56"/>
      <c r="E57" s="56"/>
      <c r="F57" s="56"/>
      <c r="G57" s="56"/>
      <c r="H57" s="56"/>
      <c r="I57" s="56"/>
      <c r="J57" s="56"/>
      <c r="K57" s="56"/>
      <c r="L57" s="56"/>
      <c r="M57" s="56"/>
      <c r="N57" s="56"/>
      <c r="O57" s="56"/>
      <c r="P57" s="57" t="s">
        <v>68</v>
      </c>
      <c r="Q57" s="48"/>
      <c r="R57" s="48"/>
      <c r="S57" s="48"/>
    </row>
    <row r="58" spans="1:21" ht="19.5" customHeight="1">
      <c r="A58" s="109" t="s">
        <v>69</v>
      </c>
      <c r="B58" s="110">
        <v>142</v>
      </c>
      <c r="C58" s="110"/>
      <c r="D58" s="110"/>
      <c r="E58" s="110"/>
      <c r="F58" s="110"/>
      <c r="G58" s="110"/>
      <c r="H58" s="110"/>
      <c r="I58" s="110"/>
      <c r="J58" s="110"/>
      <c r="K58" s="110"/>
      <c r="L58" s="110"/>
      <c r="M58" s="110"/>
      <c r="N58" s="110"/>
      <c r="O58" s="110"/>
      <c r="P58" s="57">
        <f>SUM(A58:O58)</f>
        <v>142</v>
      </c>
      <c r="Q58" s="6"/>
      <c r="R58" s="6"/>
      <c r="S58" s="6"/>
    </row>
    <row r="59" spans="1:21" ht="18" customHeight="1">
      <c r="A59" s="109" t="s">
        <v>70</v>
      </c>
      <c r="B59" s="110">
        <v>142</v>
      </c>
      <c r="C59" s="110"/>
      <c r="D59" s="110"/>
      <c r="E59" s="110"/>
      <c r="F59" s="110"/>
      <c r="G59" s="110"/>
      <c r="H59" s="110"/>
      <c r="I59" s="110"/>
      <c r="J59" s="110"/>
      <c r="K59" s="110"/>
      <c r="L59" s="110"/>
      <c r="M59" s="110"/>
      <c r="N59" s="110"/>
      <c r="O59" s="110"/>
      <c r="P59" s="57">
        <f>SUM(A59:O59)</f>
        <v>142</v>
      </c>
      <c r="Q59" s="6"/>
      <c r="R59" s="6"/>
      <c r="S59" s="6"/>
    </row>
    <row r="60" spans="1:21" ht="18.75" customHeight="1">
      <c r="A60" s="86" t="s">
        <v>71</v>
      </c>
      <c r="B60" s="87">
        <f>B59-B58</f>
        <v>0</v>
      </c>
      <c r="C60" s="87">
        <f>C59-C58</f>
        <v>0</v>
      </c>
      <c r="D60" s="87">
        <f t="shared" ref="D60:O60" si="0">D59-D58</f>
        <v>0</v>
      </c>
      <c r="E60" s="87">
        <f t="shared" si="0"/>
        <v>0</v>
      </c>
      <c r="F60" s="87">
        <f t="shared" si="0"/>
        <v>0</v>
      </c>
      <c r="G60" s="87">
        <f t="shared" si="0"/>
        <v>0</v>
      </c>
      <c r="H60" s="87">
        <f t="shared" si="0"/>
        <v>0</v>
      </c>
      <c r="I60" s="87">
        <f t="shared" si="0"/>
        <v>0</v>
      </c>
      <c r="J60" s="87">
        <f t="shared" si="0"/>
        <v>0</v>
      </c>
      <c r="K60" s="87">
        <f t="shared" si="0"/>
        <v>0</v>
      </c>
      <c r="L60" s="87">
        <f t="shared" si="0"/>
        <v>0</v>
      </c>
      <c r="M60" s="87">
        <f t="shared" si="0"/>
        <v>0</v>
      </c>
      <c r="N60" s="87">
        <f t="shared" si="0"/>
        <v>0</v>
      </c>
      <c r="O60" s="87">
        <f t="shared" si="0"/>
        <v>0</v>
      </c>
      <c r="P60" s="88">
        <f>SUM(A60:O60)</f>
        <v>0</v>
      </c>
      <c r="Q60" s="6"/>
      <c r="R60" s="6"/>
      <c r="S60" s="6"/>
    </row>
    <row r="61" spans="1:21" ht="18" customHeight="1">
      <c r="A61" s="86" t="s">
        <v>72</v>
      </c>
      <c r="B61" s="89">
        <f>B60/B58</f>
        <v>0</v>
      </c>
      <c r="C61" s="89" t="e">
        <f>C60/C58</f>
        <v>#DIV/0!</v>
      </c>
      <c r="D61" s="89" t="e">
        <f t="shared" ref="D61:P61" si="1">D60/D58</f>
        <v>#DIV/0!</v>
      </c>
      <c r="E61" s="89" t="e">
        <f t="shared" si="1"/>
        <v>#DIV/0!</v>
      </c>
      <c r="F61" s="89" t="e">
        <f t="shared" si="1"/>
        <v>#DIV/0!</v>
      </c>
      <c r="G61" s="89" t="e">
        <f t="shared" si="1"/>
        <v>#DIV/0!</v>
      </c>
      <c r="H61" s="89" t="e">
        <f t="shared" si="1"/>
        <v>#DIV/0!</v>
      </c>
      <c r="I61" s="89" t="e">
        <f t="shared" si="1"/>
        <v>#DIV/0!</v>
      </c>
      <c r="J61" s="89" t="e">
        <f t="shared" si="1"/>
        <v>#DIV/0!</v>
      </c>
      <c r="K61" s="89" t="e">
        <f t="shared" si="1"/>
        <v>#DIV/0!</v>
      </c>
      <c r="L61" s="89" t="e">
        <f t="shared" si="1"/>
        <v>#DIV/0!</v>
      </c>
      <c r="M61" s="89" t="e">
        <f t="shared" si="1"/>
        <v>#DIV/0!</v>
      </c>
      <c r="N61" s="89" t="e">
        <f t="shared" si="1"/>
        <v>#DIV/0!</v>
      </c>
      <c r="O61" s="89" t="e">
        <f t="shared" si="1"/>
        <v>#DIV/0!</v>
      </c>
      <c r="P61" s="90">
        <f t="shared" si="1"/>
        <v>0</v>
      </c>
      <c r="Q61" s="6"/>
      <c r="R61" s="6"/>
      <c r="S61" s="6"/>
    </row>
    <row r="62" spans="1:21" ht="18" customHeight="1">
      <c r="A62" s="98"/>
      <c r="B62" s="99"/>
      <c r="C62" s="99"/>
      <c r="D62" s="99"/>
      <c r="E62" s="99"/>
      <c r="F62" s="99"/>
      <c r="G62" s="99"/>
      <c r="H62" s="99"/>
      <c r="I62" s="99"/>
      <c r="J62" s="99"/>
      <c r="K62" s="99"/>
      <c r="L62" s="99"/>
      <c r="M62" s="99"/>
      <c r="N62" s="99"/>
      <c r="O62" s="99"/>
      <c r="P62" s="100"/>
      <c r="Q62" s="6"/>
      <c r="R62" s="6"/>
      <c r="S62" s="6"/>
    </row>
    <row r="63" spans="1:21" ht="18" hidden="1" customHeight="1">
      <c r="A63" s="55" t="s">
        <v>67</v>
      </c>
      <c r="B63" s="56"/>
      <c r="C63" s="56"/>
      <c r="D63" s="56"/>
      <c r="E63" s="56"/>
      <c r="F63" s="56"/>
      <c r="G63" s="56"/>
      <c r="H63" s="56"/>
      <c r="I63" s="56"/>
      <c r="J63" s="56"/>
      <c r="K63" s="56"/>
      <c r="L63" s="56"/>
      <c r="M63" s="56"/>
      <c r="N63" s="56"/>
      <c r="O63" s="56"/>
      <c r="P63" s="57" t="s">
        <v>68</v>
      </c>
      <c r="Q63" s="6"/>
      <c r="R63" s="6"/>
      <c r="S63" s="6"/>
    </row>
    <row r="64" spans="1:21" ht="18" hidden="1" customHeight="1">
      <c r="A64" s="109" t="s">
        <v>69</v>
      </c>
      <c r="B64" s="110"/>
      <c r="C64" s="110"/>
      <c r="D64" s="110"/>
      <c r="E64" s="110"/>
      <c r="F64" s="110"/>
      <c r="G64" s="110"/>
      <c r="H64" s="110"/>
      <c r="I64" s="110"/>
      <c r="J64" s="110"/>
      <c r="K64" s="110"/>
      <c r="L64" s="110"/>
      <c r="M64" s="110"/>
      <c r="N64" s="110"/>
      <c r="O64" s="110"/>
      <c r="P64" s="57">
        <f>SUM(A64:O64)</f>
        <v>0</v>
      </c>
      <c r="Q64" s="6"/>
      <c r="R64" s="6"/>
      <c r="S64" s="6"/>
    </row>
    <row r="65" spans="1:30" ht="18" hidden="1" customHeight="1">
      <c r="A65" s="109" t="s">
        <v>70</v>
      </c>
      <c r="B65" s="110"/>
      <c r="C65" s="110"/>
      <c r="D65" s="110"/>
      <c r="E65" s="110"/>
      <c r="F65" s="110"/>
      <c r="G65" s="110"/>
      <c r="H65" s="110"/>
      <c r="I65" s="110"/>
      <c r="J65" s="110"/>
      <c r="K65" s="110"/>
      <c r="L65" s="110"/>
      <c r="M65" s="110"/>
      <c r="N65" s="110"/>
      <c r="O65" s="110"/>
      <c r="P65" s="57">
        <f>SUM(A65:O65)</f>
        <v>0</v>
      </c>
      <c r="Q65" s="6"/>
      <c r="R65" s="6"/>
      <c r="S65" s="6"/>
    </row>
    <row r="66" spans="1:30" ht="18" hidden="1" customHeight="1">
      <c r="A66" s="86" t="s">
        <v>71</v>
      </c>
      <c r="B66" s="87">
        <f>B65-B64</f>
        <v>0</v>
      </c>
      <c r="C66" s="87">
        <f>C65-C64</f>
        <v>0</v>
      </c>
      <c r="D66" s="87">
        <f t="shared" ref="D66:O66" si="2">D65-D64</f>
        <v>0</v>
      </c>
      <c r="E66" s="87">
        <f t="shared" si="2"/>
        <v>0</v>
      </c>
      <c r="F66" s="87">
        <f t="shared" si="2"/>
        <v>0</v>
      </c>
      <c r="G66" s="87">
        <f t="shared" si="2"/>
        <v>0</v>
      </c>
      <c r="H66" s="87">
        <f t="shared" si="2"/>
        <v>0</v>
      </c>
      <c r="I66" s="87">
        <f t="shared" si="2"/>
        <v>0</v>
      </c>
      <c r="J66" s="87">
        <f t="shared" si="2"/>
        <v>0</v>
      </c>
      <c r="K66" s="87">
        <f t="shared" si="2"/>
        <v>0</v>
      </c>
      <c r="L66" s="87">
        <f t="shared" si="2"/>
        <v>0</v>
      </c>
      <c r="M66" s="87">
        <f t="shared" si="2"/>
        <v>0</v>
      </c>
      <c r="N66" s="87">
        <f t="shared" si="2"/>
        <v>0</v>
      </c>
      <c r="O66" s="87">
        <f t="shared" si="2"/>
        <v>0</v>
      </c>
      <c r="P66" s="88">
        <f>SUM(A66:O66)</f>
        <v>0</v>
      </c>
      <c r="Q66" s="6"/>
      <c r="R66" s="6"/>
      <c r="S66" s="6"/>
    </row>
    <row r="67" spans="1:30" ht="18" hidden="1" customHeight="1">
      <c r="A67" s="86" t="s">
        <v>72</v>
      </c>
      <c r="B67" s="89" t="e">
        <f>B66/B64</f>
        <v>#DIV/0!</v>
      </c>
      <c r="C67" s="89" t="e">
        <f>C66/C64</f>
        <v>#DIV/0!</v>
      </c>
      <c r="D67" s="89" t="e">
        <f t="shared" ref="D67:P67" si="3">D66/D64</f>
        <v>#DIV/0!</v>
      </c>
      <c r="E67" s="89" t="e">
        <f t="shared" si="3"/>
        <v>#DIV/0!</v>
      </c>
      <c r="F67" s="89" t="e">
        <f t="shared" si="3"/>
        <v>#DIV/0!</v>
      </c>
      <c r="G67" s="89" t="e">
        <f t="shared" si="3"/>
        <v>#DIV/0!</v>
      </c>
      <c r="H67" s="89" t="e">
        <f t="shared" si="3"/>
        <v>#DIV/0!</v>
      </c>
      <c r="I67" s="89" t="e">
        <f t="shared" si="3"/>
        <v>#DIV/0!</v>
      </c>
      <c r="J67" s="89" t="e">
        <f t="shared" si="3"/>
        <v>#DIV/0!</v>
      </c>
      <c r="K67" s="89" t="e">
        <f t="shared" si="3"/>
        <v>#DIV/0!</v>
      </c>
      <c r="L67" s="89" t="e">
        <f t="shared" si="3"/>
        <v>#DIV/0!</v>
      </c>
      <c r="M67" s="89" t="e">
        <f t="shared" si="3"/>
        <v>#DIV/0!</v>
      </c>
      <c r="N67" s="89" t="e">
        <f t="shared" si="3"/>
        <v>#DIV/0!</v>
      </c>
      <c r="O67" s="89" t="e">
        <f t="shared" si="3"/>
        <v>#DIV/0!</v>
      </c>
      <c r="P67" s="90" t="e">
        <f t="shared" si="3"/>
        <v>#DIV/0!</v>
      </c>
      <c r="Q67" s="6"/>
      <c r="R67" s="6"/>
      <c r="S67" s="6"/>
    </row>
    <row r="68" spans="1:30" ht="18" hidden="1" customHeight="1">
      <c r="A68" s="98"/>
      <c r="B68" s="99"/>
      <c r="C68" s="99"/>
      <c r="D68" s="99"/>
      <c r="E68" s="99"/>
      <c r="F68" s="99"/>
      <c r="G68" s="99"/>
      <c r="H68" s="99"/>
      <c r="I68" s="99"/>
      <c r="J68" s="99"/>
      <c r="K68" s="99"/>
      <c r="L68" s="99"/>
      <c r="M68" s="99"/>
      <c r="N68" s="99"/>
      <c r="O68" s="99"/>
      <c r="P68" s="100"/>
      <c r="Q68" s="6"/>
      <c r="R68" s="6"/>
      <c r="S68" s="6"/>
    </row>
    <row r="69" spans="1:30" ht="18" hidden="1" customHeight="1">
      <c r="A69" s="55" t="s">
        <v>67</v>
      </c>
      <c r="B69" s="56"/>
      <c r="C69" s="56"/>
      <c r="D69" s="56"/>
      <c r="E69" s="56"/>
      <c r="F69" s="56"/>
      <c r="G69" s="56"/>
      <c r="H69" s="56"/>
      <c r="I69" s="56"/>
      <c r="J69" s="56"/>
      <c r="K69" s="56"/>
      <c r="L69" s="56"/>
      <c r="M69" s="56"/>
      <c r="N69" s="56"/>
      <c r="O69" s="56"/>
      <c r="P69" s="57" t="s">
        <v>68</v>
      </c>
      <c r="Q69" s="6"/>
      <c r="R69" s="6"/>
      <c r="S69" s="6"/>
    </row>
    <row r="70" spans="1:30" ht="18" hidden="1" customHeight="1">
      <c r="A70" s="109" t="s">
        <v>69</v>
      </c>
      <c r="B70" s="110"/>
      <c r="C70" s="110"/>
      <c r="D70" s="110"/>
      <c r="E70" s="110"/>
      <c r="F70" s="110"/>
      <c r="G70" s="110"/>
      <c r="H70" s="110"/>
      <c r="I70" s="110"/>
      <c r="J70" s="110"/>
      <c r="K70" s="110"/>
      <c r="L70" s="110"/>
      <c r="M70" s="110"/>
      <c r="N70" s="110"/>
      <c r="O70" s="110"/>
      <c r="P70" s="57">
        <f>SUM(A70:O70)</f>
        <v>0</v>
      </c>
      <c r="Q70" s="6"/>
      <c r="R70" s="6"/>
      <c r="S70" s="6"/>
    </row>
    <row r="71" spans="1:30" ht="18" hidden="1" customHeight="1">
      <c r="A71" s="109" t="s">
        <v>70</v>
      </c>
      <c r="B71" s="110"/>
      <c r="C71" s="110"/>
      <c r="D71" s="110"/>
      <c r="E71" s="110"/>
      <c r="F71" s="110"/>
      <c r="G71" s="110"/>
      <c r="H71" s="110"/>
      <c r="I71" s="110"/>
      <c r="J71" s="110"/>
      <c r="K71" s="110"/>
      <c r="L71" s="110"/>
      <c r="M71" s="110"/>
      <c r="N71" s="110"/>
      <c r="O71" s="110"/>
      <c r="P71" s="57">
        <f>SUM(A71:O71)</f>
        <v>0</v>
      </c>
      <c r="Q71" s="6"/>
      <c r="R71" s="6"/>
      <c r="S71" s="6"/>
    </row>
    <row r="72" spans="1:30" ht="18" hidden="1" customHeight="1">
      <c r="A72" s="86" t="s">
        <v>71</v>
      </c>
      <c r="B72" s="87">
        <f>B71-B70</f>
        <v>0</v>
      </c>
      <c r="C72" s="87">
        <f>C71-C70</f>
        <v>0</v>
      </c>
      <c r="D72" s="87">
        <f t="shared" ref="D72:O72" si="4">D71-D70</f>
        <v>0</v>
      </c>
      <c r="E72" s="87">
        <f t="shared" si="4"/>
        <v>0</v>
      </c>
      <c r="F72" s="87">
        <f t="shared" si="4"/>
        <v>0</v>
      </c>
      <c r="G72" s="87">
        <f t="shared" si="4"/>
        <v>0</v>
      </c>
      <c r="H72" s="87">
        <f t="shared" si="4"/>
        <v>0</v>
      </c>
      <c r="I72" s="87">
        <f t="shared" si="4"/>
        <v>0</v>
      </c>
      <c r="J72" s="87">
        <f t="shared" si="4"/>
        <v>0</v>
      </c>
      <c r="K72" s="87">
        <f t="shared" si="4"/>
        <v>0</v>
      </c>
      <c r="L72" s="87">
        <f t="shared" si="4"/>
        <v>0</v>
      </c>
      <c r="M72" s="87">
        <f t="shared" si="4"/>
        <v>0</v>
      </c>
      <c r="N72" s="87">
        <f t="shared" si="4"/>
        <v>0</v>
      </c>
      <c r="O72" s="87">
        <f t="shared" si="4"/>
        <v>0</v>
      </c>
      <c r="P72" s="88">
        <f>SUM(A72:O72)</f>
        <v>0</v>
      </c>
      <c r="Q72" s="6"/>
      <c r="R72" s="6"/>
      <c r="S72" s="6"/>
    </row>
    <row r="73" spans="1:30" ht="18" hidden="1" customHeight="1">
      <c r="A73" s="86" t="s">
        <v>72</v>
      </c>
      <c r="B73" s="89" t="e">
        <f>B72/B70</f>
        <v>#DIV/0!</v>
      </c>
      <c r="C73" s="89" t="e">
        <f>C72/C70</f>
        <v>#DIV/0!</v>
      </c>
      <c r="D73" s="89" t="e">
        <f t="shared" ref="D73:P73" si="5">D72/D70</f>
        <v>#DIV/0!</v>
      </c>
      <c r="E73" s="89" t="e">
        <f t="shared" si="5"/>
        <v>#DIV/0!</v>
      </c>
      <c r="F73" s="89" t="e">
        <f t="shared" si="5"/>
        <v>#DIV/0!</v>
      </c>
      <c r="G73" s="89" t="e">
        <f t="shared" si="5"/>
        <v>#DIV/0!</v>
      </c>
      <c r="H73" s="89" t="e">
        <f t="shared" si="5"/>
        <v>#DIV/0!</v>
      </c>
      <c r="I73" s="89" t="e">
        <f t="shared" si="5"/>
        <v>#DIV/0!</v>
      </c>
      <c r="J73" s="89" t="e">
        <f t="shared" si="5"/>
        <v>#DIV/0!</v>
      </c>
      <c r="K73" s="89" t="e">
        <f t="shared" si="5"/>
        <v>#DIV/0!</v>
      </c>
      <c r="L73" s="89" t="e">
        <f t="shared" si="5"/>
        <v>#DIV/0!</v>
      </c>
      <c r="M73" s="89" t="e">
        <f t="shared" si="5"/>
        <v>#DIV/0!</v>
      </c>
      <c r="N73" s="89" t="e">
        <f t="shared" si="5"/>
        <v>#DIV/0!</v>
      </c>
      <c r="O73" s="89" t="e">
        <f t="shared" si="5"/>
        <v>#DIV/0!</v>
      </c>
      <c r="P73" s="90" t="e">
        <f t="shared" si="5"/>
        <v>#DIV/0!</v>
      </c>
      <c r="Q73" s="6"/>
      <c r="R73" s="6"/>
      <c r="S73" s="6"/>
    </row>
    <row r="74" spans="1:30" ht="18" hidden="1" customHeight="1">
      <c r="A74" s="98"/>
      <c r="B74" s="99"/>
      <c r="C74" s="99"/>
      <c r="D74" s="99"/>
      <c r="E74" s="99"/>
      <c r="F74" s="99"/>
      <c r="G74" s="99"/>
      <c r="H74" s="99"/>
      <c r="I74" s="99"/>
      <c r="J74" s="99"/>
      <c r="K74" s="99"/>
      <c r="L74" s="99"/>
      <c r="M74" s="99"/>
      <c r="N74" s="99"/>
      <c r="O74" s="99"/>
      <c r="P74" s="100"/>
      <c r="Q74" s="6"/>
      <c r="R74" s="6"/>
      <c r="S74" s="6"/>
    </row>
    <row r="75" spans="1:30" ht="42" customHeight="1">
      <c r="A75" s="287" t="s">
        <v>182</v>
      </c>
      <c r="B75" s="287"/>
      <c r="C75" s="287"/>
      <c r="D75" s="287"/>
      <c r="E75" s="287"/>
      <c r="F75" s="287"/>
      <c r="G75" s="287"/>
      <c r="H75" s="287"/>
      <c r="I75" s="287"/>
      <c r="J75" s="287"/>
      <c r="K75" s="287"/>
      <c r="L75" s="287"/>
      <c r="M75" s="287"/>
      <c r="N75" s="287"/>
      <c r="O75" s="287"/>
      <c r="P75" s="287"/>
      <c r="R75" s="4"/>
      <c r="S75" s="4"/>
      <c r="T75" s="4"/>
      <c r="U75" s="4"/>
      <c r="V75" s="4"/>
      <c r="W75" s="4"/>
      <c r="X75" s="4"/>
      <c r="Y75" s="4"/>
      <c r="Z75" s="4"/>
      <c r="AA75" s="4"/>
      <c r="AB75" s="4"/>
      <c r="AC75" s="4"/>
      <c r="AD75" s="4"/>
    </row>
    <row r="76" spans="1:30" ht="38.25" customHeight="1">
      <c r="A76" s="287" t="s">
        <v>183</v>
      </c>
      <c r="B76" s="287"/>
      <c r="C76" s="287"/>
      <c r="D76" s="287"/>
      <c r="E76" s="287"/>
      <c r="F76" s="287"/>
      <c r="G76" s="287"/>
      <c r="H76" s="287"/>
      <c r="I76" s="287"/>
      <c r="J76" s="287"/>
      <c r="K76" s="287"/>
      <c r="L76" s="287"/>
      <c r="M76" s="287"/>
      <c r="N76" s="287"/>
      <c r="O76" s="287"/>
      <c r="P76" s="287"/>
      <c r="R76" s="4"/>
      <c r="S76" s="4"/>
      <c r="T76" s="4"/>
      <c r="U76" s="4"/>
      <c r="V76" s="4"/>
      <c r="W76" s="4"/>
      <c r="X76" s="4"/>
      <c r="Y76" s="4"/>
      <c r="Z76" s="4"/>
      <c r="AA76" s="4"/>
      <c r="AB76" s="4"/>
      <c r="AC76" s="4"/>
      <c r="AD76" s="4"/>
    </row>
    <row r="77" spans="1:30" ht="18.75" customHeight="1">
      <c r="A77" s="287"/>
      <c r="B77" s="287"/>
      <c r="C77" s="287"/>
      <c r="D77" s="287"/>
      <c r="E77" s="287"/>
      <c r="F77" s="287"/>
      <c r="G77" s="287"/>
      <c r="H77" s="287"/>
      <c r="I77" s="287"/>
      <c r="J77" s="287"/>
      <c r="K77" s="287"/>
      <c r="L77" s="287"/>
      <c r="M77" s="287"/>
      <c r="N77" s="287"/>
      <c r="O77" s="287"/>
      <c r="P77" s="287"/>
      <c r="R77" s="4"/>
      <c r="S77" s="4"/>
      <c r="T77" s="4"/>
      <c r="U77" s="4"/>
      <c r="V77" s="4"/>
      <c r="W77" s="4"/>
      <c r="X77" s="4"/>
      <c r="Y77" s="4"/>
      <c r="Z77" s="4"/>
      <c r="AA77" s="4"/>
      <c r="AB77" s="4"/>
      <c r="AC77" s="4"/>
      <c r="AD77" s="4"/>
    </row>
    <row r="78" spans="1:30" ht="15">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row>
    <row r="79" spans="1:30" ht="18">
      <c r="A79" s="288" t="s">
        <v>76</v>
      </c>
      <c r="B79" s="246"/>
      <c r="D79" s="64"/>
      <c r="E79" s="64"/>
      <c r="F79" s="64"/>
      <c r="G79" s="11"/>
      <c r="H79" s="11"/>
      <c r="I79" s="11"/>
      <c r="J79" s="11"/>
      <c r="K79" s="11"/>
      <c r="L79" s="11"/>
      <c r="M79" s="11"/>
      <c r="N79" s="11"/>
      <c r="O79" s="11"/>
      <c r="P79" s="11"/>
      <c r="Q79" s="11"/>
    </row>
    <row r="81" spans="1:16" ht="47.25" customHeight="1">
      <c r="A81" s="289" t="s">
        <v>77</v>
      </c>
      <c r="B81" s="289"/>
      <c r="C81" s="319"/>
      <c r="D81" s="319"/>
      <c r="E81" s="319"/>
      <c r="F81" s="319"/>
      <c r="G81" s="319"/>
      <c r="H81" s="319"/>
      <c r="I81" s="44"/>
      <c r="J81" s="291" t="s">
        <v>78</v>
      </c>
      <c r="K81" s="324"/>
      <c r="L81" s="310"/>
      <c r="M81" s="311"/>
      <c r="N81" s="311"/>
      <c r="O81" s="311"/>
      <c r="P81" s="312"/>
    </row>
    <row r="82" spans="1:16" ht="15">
      <c r="G82" s="4"/>
      <c r="H82" s="4"/>
      <c r="I82" s="4"/>
      <c r="J82" s="4"/>
      <c r="K82" s="4"/>
      <c r="L82" s="313"/>
      <c r="M82" s="314"/>
      <c r="N82" s="314"/>
      <c r="O82" s="314"/>
      <c r="P82" s="315"/>
    </row>
    <row r="83" spans="1:16" ht="22.5" customHeight="1">
      <c r="A83" s="292" t="s">
        <v>79</v>
      </c>
      <c r="B83" s="292"/>
      <c r="C83" s="320"/>
      <c r="D83" s="320"/>
      <c r="E83" s="320"/>
      <c r="F83" s="320"/>
      <c r="G83" s="320"/>
      <c r="H83" s="320"/>
      <c r="I83" s="44"/>
      <c r="J83" s="4"/>
      <c r="K83" s="4"/>
      <c r="L83" s="313"/>
      <c r="M83" s="314"/>
      <c r="N83" s="314"/>
      <c r="O83" s="314"/>
      <c r="P83" s="315"/>
    </row>
    <row r="84" spans="1:16" ht="15">
      <c r="G84" s="4"/>
      <c r="H84" s="4"/>
      <c r="I84" s="4"/>
      <c r="J84" s="4"/>
      <c r="K84" s="4"/>
      <c r="L84" s="313"/>
      <c r="M84" s="314"/>
      <c r="N84" s="314"/>
      <c r="O84" s="314"/>
      <c r="P84" s="315"/>
    </row>
    <row r="85" spans="1:16">
      <c r="A85" s="280" t="s">
        <v>80</v>
      </c>
      <c r="B85" s="281"/>
      <c r="C85" s="321"/>
      <c r="D85" s="322"/>
      <c r="E85" s="322"/>
      <c r="F85" s="322"/>
      <c r="G85" s="322"/>
      <c r="H85" s="323"/>
      <c r="I85" s="44"/>
      <c r="L85" s="316"/>
      <c r="M85" s="317"/>
      <c r="N85" s="317"/>
      <c r="O85" s="317"/>
      <c r="P85" s="318"/>
    </row>
  </sheetData>
  <mergeCells count="184">
    <mergeCell ref="A1:P1"/>
    <mergeCell ref="A2:B2"/>
    <mergeCell ref="C2:H2"/>
    <mergeCell ref="L2:P2"/>
    <mergeCell ref="A3:B3"/>
    <mergeCell ref="C3:H3"/>
    <mergeCell ref="J3:K3"/>
    <mergeCell ref="L3:P3"/>
    <mergeCell ref="P7:P9"/>
    <mergeCell ref="A8:H8"/>
    <mergeCell ref="J8:O8"/>
    <mergeCell ref="A9:H9"/>
    <mergeCell ref="J9:O9"/>
    <mergeCell ref="A4:B4"/>
    <mergeCell ref="C4:H4"/>
    <mergeCell ref="J4:K4"/>
    <mergeCell ref="L4:P4"/>
    <mergeCell ref="A6:C6"/>
    <mergeCell ref="D6:H6"/>
    <mergeCell ref="J2:K2"/>
    <mergeCell ref="A10:B10"/>
    <mergeCell ref="C10:H10"/>
    <mergeCell ref="A11:B11"/>
    <mergeCell ref="C11:H11"/>
    <mergeCell ref="A12:B12"/>
    <mergeCell ref="C12:H12"/>
    <mergeCell ref="A7:C7"/>
    <mergeCell ref="D7:H7"/>
    <mergeCell ref="J7:O7"/>
    <mergeCell ref="A17:D17"/>
    <mergeCell ref="E17:H17"/>
    <mergeCell ref="J17:P17"/>
    <mergeCell ref="A18:D18"/>
    <mergeCell ref="E18:H18"/>
    <mergeCell ref="J18:L18"/>
    <mergeCell ref="M18:P18"/>
    <mergeCell ref="A13:H13"/>
    <mergeCell ref="A14:C14"/>
    <mergeCell ref="D14:H14"/>
    <mergeCell ref="J14:O14"/>
    <mergeCell ref="P14:P16"/>
    <mergeCell ref="A15:C15"/>
    <mergeCell ref="D15:H15"/>
    <mergeCell ref="J15:O15"/>
    <mergeCell ref="A16:H16"/>
    <mergeCell ref="J16:O16"/>
    <mergeCell ref="C21:D21"/>
    <mergeCell ref="E21:F21"/>
    <mergeCell ref="I21:J21"/>
    <mergeCell ref="O21:P21"/>
    <mergeCell ref="A22:B22"/>
    <mergeCell ref="C22:D23"/>
    <mergeCell ref="E22:F23"/>
    <mergeCell ref="G22:G23"/>
    <mergeCell ref="H22:H23"/>
    <mergeCell ref="I22:J23"/>
    <mergeCell ref="C25:D25"/>
    <mergeCell ref="E25:F25"/>
    <mergeCell ref="I25:J25"/>
    <mergeCell ref="O25:P25"/>
    <mergeCell ref="C26:D26"/>
    <mergeCell ref="E26:F26"/>
    <mergeCell ref="I26:J26"/>
    <mergeCell ref="O26:P26"/>
    <mergeCell ref="K22:M22"/>
    <mergeCell ref="N22:N23"/>
    <mergeCell ref="O22:P23"/>
    <mergeCell ref="C24:D24"/>
    <mergeCell ref="E24:F24"/>
    <mergeCell ref="I24:J24"/>
    <mergeCell ref="O24:P24"/>
    <mergeCell ref="C29:D29"/>
    <mergeCell ref="E29:F29"/>
    <mergeCell ref="I29:J29"/>
    <mergeCell ref="O29:P29"/>
    <mergeCell ref="C30:D30"/>
    <mergeCell ref="E30:F30"/>
    <mergeCell ref="I30:J30"/>
    <mergeCell ref="O30:P30"/>
    <mergeCell ref="C27:D27"/>
    <mergeCell ref="E27:F27"/>
    <mergeCell ref="I27:J27"/>
    <mergeCell ref="O27:P27"/>
    <mergeCell ref="C28:D28"/>
    <mergeCell ref="E28:F28"/>
    <mergeCell ref="I28:J28"/>
    <mergeCell ref="O28:P28"/>
    <mergeCell ref="C33:D33"/>
    <mergeCell ref="E33:F33"/>
    <mergeCell ref="I33:J33"/>
    <mergeCell ref="O33:P33"/>
    <mergeCell ref="C34:D34"/>
    <mergeCell ref="E34:F34"/>
    <mergeCell ref="I34:J34"/>
    <mergeCell ref="O34:P34"/>
    <mergeCell ref="C31:D31"/>
    <mergeCell ref="E31:F31"/>
    <mergeCell ref="I31:J31"/>
    <mergeCell ref="O31:P31"/>
    <mergeCell ref="C32:D32"/>
    <mergeCell ref="E32:F32"/>
    <mergeCell ref="I32:J32"/>
    <mergeCell ref="O32:P32"/>
    <mergeCell ref="C37:D37"/>
    <mergeCell ref="E37:F37"/>
    <mergeCell ref="I37:J37"/>
    <mergeCell ref="O37:P37"/>
    <mergeCell ref="C38:D38"/>
    <mergeCell ref="E38:F38"/>
    <mergeCell ref="I38:J38"/>
    <mergeCell ref="O38:P38"/>
    <mergeCell ref="C35:D35"/>
    <mergeCell ref="E35:F35"/>
    <mergeCell ref="I35:J35"/>
    <mergeCell ref="O35:P35"/>
    <mergeCell ref="C36:D36"/>
    <mergeCell ref="E36:F36"/>
    <mergeCell ref="I36:J36"/>
    <mergeCell ref="O36:P36"/>
    <mergeCell ref="C41:D41"/>
    <mergeCell ref="E41:F41"/>
    <mergeCell ref="I41:J41"/>
    <mergeCell ref="O41:P41"/>
    <mergeCell ref="C42:D42"/>
    <mergeCell ref="E42:F42"/>
    <mergeCell ref="I42:J42"/>
    <mergeCell ref="O42:P42"/>
    <mergeCell ref="C39:D39"/>
    <mergeCell ref="E39:F39"/>
    <mergeCell ref="I39:J39"/>
    <mergeCell ref="O39:P39"/>
    <mergeCell ref="C40:D40"/>
    <mergeCell ref="E40:F40"/>
    <mergeCell ref="I40:J40"/>
    <mergeCell ref="O40:P40"/>
    <mergeCell ref="C45:D45"/>
    <mergeCell ref="E45:F45"/>
    <mergeCell ref="I45:J45"/>
    <mergeCell ref="O45:P45"/>
    <mergeCell ref="C46:D46"/>
    <mergeCell ref="E46:F46"/>
    <mergeCell ref="I46:J46"/>
    <mergeCell ref="O46:P46"/>
    <mergeCell ref="C43:D43"/>
    <mergeCell ref="E43:F43"/>
    <mergeCell ref="I43:J43"/>
    <mergeCell ref="O43:P43"/>
    <mergeCell ref="C44:D44"/>
    <mergeCell ref="E44:F44"/>
    <mergeCell ref="I44:J44"/>
    <mergeCell ref="O44:P44"/>
    <mergeCell ref="O50:P50"/>
    <mergeCell ref="C47:D47"/>
    <mergeCell ref="E47:F47"/>
    <mergeCell ref="I47:J47"/>
    <mergeCell ref="O47:P47"/>
    <mergeCell ref="C48:D48"/>
    <mergeCell ref="E48:F48"/>
    <mergeCell ref="I48:J48"/>
    <mergeCell ref="O48:P48"/>
    <mergeCell ref="A85:B85"/>
    <mergeCell ref="C85:H85"/>
    <mergeCell ref="A19:F19"/>
    <mergeCell ref="A75:P75"/>
    <mergeCell ref="A76:P76"/>
    <mergeCell ref="A77:P77"/>
    <mergeCell ref="A79:B79"/>
    <mergeCell ref="A81:B81"/>
    <mergeCell ref="C81:H81"/>
    <mergeCell ref="J81:K81"/>
    <mergeCell ref="L81:P85"/>
    <mergeCell ref="A83:B83"/>
    <mergeCell ref="C83:H83"/>
    <mergeCell ref="I51:J51"/>
    <mergeCell ref="O51:P51"/>
    <mergeCell ref="I52:J52"/>
    <mergeCell ref="O52:P52"/>
    <mergeCell ref="A54:K54"/>
    <mergeCell ref="A55:R55"/>
    <mergeCell ref="C49:D49"/>
    <mergeCell ref="E49:F49"/>
    <mergeCell ref="I49:J49"/>
    <mergeCell ref="O49:P49"/>
    <mergeCell ref="I50:J50"/>
  </mergeCells>
  <printOptions verticalCentered="1"/>
  <pageMargins left="0.39370078740157483" right="0.39370078740157483" top="0.74803149606299213" bottom="0.74803149606299213" header="0.31496062992125984" footer="0.31496062992125984"/>
  <pageSetup paperSize="9" scale="50" fitToHeight="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435fca6-7d09-43ff-8a88-728804b7363e">
      <Terms xmlns="http://schemas.microsoft.com/office/infopath/2007/PartnerControls"/>
    </lcf76f155ced4ddcb4097134ff3c332f>
    <TaxCatchAll xmlns="188a809d-51dd-4822-ba11-cebe679799f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41A5CE1EE003D478C129B9337A9F716" ma:contentTypeVersion="22" ma:contentTypeDescription="Create a new document." ma:contentTypeScope="" ma:versionID="99f247551dd90d5551c92308693a2c57">
  <xsd:schema xmlns:xsd="http://www.w3.org/2001/XMLSchema" xmlns:xs="http://www.w3.org/2001/XMLSchema" xmlns:p="http://schemas.microsoft.com/office/2006/metadata/properties" xmlns:ns2="f435fca6-7d09-43ff-8a88-728804b7363e" xmlns:ns3="188a809d-51dd-4822-ba11-cebe679799f6" targetNamespace="http://schemas.microsoft.com/office/2006/metadata/properties" ma:root="true" ma:fieldsID="dc1065448d573ad8c55f66166957ea81" ns2:_="" ns3:_="">
    <xsd:import namespace="f435fca6-7d09-43ff-8a88-728804b7363e"/>
    <xsd:import namespace="188a809d-51dd-4822-ba11-cebe679799f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35fca6-7d09-43ff-8a88-728804b736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b19ccb95-8caf-4ef3-8129-2f21959a876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88a809d-51dd-4822-ba11-cebe679799f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2e70e82d-ba82-46aa-b8df-a1a70167b5e1}" ma:internalName="TaxCatchAll" ma:showField="CatchAllData" ma:web="188a809d-51dd-4822-ba11-cebe679799f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016546-CA24-4242-A244-2C9586697D14}">
  <ds:schemaRefs>
    <ds:schemaRef ds:uri="http://schemas.microsoft.com/sharepoint/v3/contenttype/forms"/>
  </ds:schemaRefs>
</ds:datastoreItem>
</file>

<file path=customXml/itemProps2.xml><?xml version="1.0" encoding="utf-8"?>
<ds:datastoreItem xmlns:ds="http://schemas.openxmlformats.org/officeDocument/2006/customXml" ds:itemID="{90841F29-3522-49D5-A79D-9C4FF1630CB3}">
  <ds:schemaRefs>
    <ds:schemaRef ds:uri="http://schemas.microsoft.com/office/2006/metadata/properties"/>
    <ds:schemaRef ds:uri="http://schemas.microsoft.com/office/infopath/2007/PartnerControls"/>
    <ds:schemaRef ds:uri="f435fca6-7d09-43ff-8a88-728804b7363e"/>
    <ds:schemaRef ds:uri="188a809d-51dd-4822-ba11-cebe679799f6"/>
  </ds:schemaRefs>
</ds:datastoreItem>
</file>

<file path=customXml/itemProps3.xml><?xml version="1.0" encoding="utf-8"?>
<ds:datastoreItem xmlns:ds="http://schemas.openxmlformats.org/officeDocument/2006/customXml" ds:itemID="{88445CAB-4B54-4BED-A47B-A73474FBC3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35fca6-7d09-43ff-8a88-728804b7363e"/>
    <ds:schemaRef ds:uri="188a809d-51dd-4822-ba11-cebe679799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NEW PACKING LIST TEMPLATE</vt:lpstr>
      <vt:lpstr>Preferential Origin Statements</vt:lpstr>
      <vt:lpstr>Example - BULK CARTON (GSP)</vt:lpstr>
      <vt:lpstr>Example - Bulk carton (EU)</vt:lpstr>
      <vt:lpstr>Example - Bulk carton (Turkey)</vt:lpstr>
      <vt:lpstr>Example - Hanging GOH </vt:lpstr>
      <vt:lpstr>Example - MEH Mixed cartons</vt:lpstr>
      <vt:lpstr>Example - BULK Multipart</vt:lpstr>
      <vt:lpstr>'Example - Bulk carton (EU)'!Print_Area</vt:lpstr>
      <vt:lpstr>'Example - BULK CARTON (GSP)'!Print_Area</vt:lpstr>
      <vt:lpstr>'Example - Bulk carton (Turkey)'!Print_Area</vt:lpstr>
      <vt:lpstr>'Example - BULK Multipart'!Print_Area</vt:lpstr>
      <vt:lpstr>'Example - Hanging GOH '!Print_Area</vt:lpstr>
      <vt:lpstr>'Example - MEH Mixed cartons'!Print_Area</vt:lpstr>
      <vt:lpstr>'NEW PACKING LIST TEMPLATE'!Print_Area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Dean, Julie</dc:creator>
  <cp:keywords/>
  <dc:description/>
  <cp:lastModifiedBy>Packing-CCL2</cp:lastModifiedBy>
  <cp:revision/>
  <cp:lastPrinted>2026-07-05T11:18:44Z</cp:lastPrinted>
  <dcterms:created xsi:type="dcterms:W3CDTF">2025-12-12T15:15:08Z</dcterms:created>
  <dcterms:modified xsi:type="dcterms:W3CDTF">2026-07-05T11:41:53Z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0x010100841A5CE1EE003D478C129B9337A9F716</vt:lpwstr>
  </property>
</Properties>
</file>