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NEW SIZE\NEXT\AW25\lot-18\"/>
    </mc:Choice>
  </mc:AlternateContent>
  <xr:revisionPtr revIDLastSave="0" documentId="13_ncr:1_{A357CD2D-1B67-48A5-9CC1-28224E3D5AC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31681 Clover Collections FZCO" sheetId="1" r:id="rId1"/>
    <sheet name="622" sheetId="2" r:id="rId2"/>
  </sheets>
  <calcPr calcId="191029" iterate="1"/>
</workbook>
</file>

<file path=xl/calcChain.xml><?xml version="1.0" encoding="utf-8"?>
<calcChain xmlns="http://schemas.openxmlformats.org/spreadsheetml/2006/main">
  <c r="K6" i="2" l="1"/>
  <c r="C107" i="1"/>
  <c r="K91" i="1"/>
  <c r="K72" i="1"/>
  <c r="K53" i="1"/>
  <c r="K34" i="1"/>
  <c r="K15" i="1"/>
</calcChain>
</file>

<file path=xl/sharedStrings.xml><?xml version="1.0" encoding="utf-8"?>
<sst xmlns="http://schemas.openxmlformats.org/spreadsheetml/2006/main" count="346" uniqueCount="131">
  <si>
    <t>Contract Confirmation Report</t>
  </si>
  <si>
    <t>Supplier:</t>
  </si>
  <si>
    <t>D31681 Clover Collections FZCO</t>
  </si>
  <si>
    <t>Contact:</t>
  </si>
  <si>
    <t>Elena Buswell</t>
  </si>
  <si>
    <t>Booking Ref:</t>
  </si>
  <si>
    <t>NXTB1294274</t>
  </si>
  <si>
    <t>Item Number</t>
  </si>
  <si>
    <t>M13602</t>
  </si>
  <si>
    <t>Item Description</t>
  </si>
  <si>
    <t>EASY 2 LONG REG</t>
  </si>
  <si>
    <t>Manufacturer Style No</t>
  </si>
  <si>
    <t/>
  </si>
  <si>
    <t>IMPORTANT POINTS TO NOTE REGARDING THIS ORDER:</t>
  </si>
  <si>
    <t>1) You must assign a site / factory to this contract. This can be done via this link to the site:</t>
  </si>
  <si>
    <t>2) The following delivery will need to have standard carton labels and be despatched to Next UK with single sizes in each carton</t>
  </si>
  <si>
    <t>Item / Option</t>
  </si>
  <si>
    <t>M13-602-055</t>
  </si>
  <si>
    <t>M13-602-068</t>
  </si>
  <si>
    <t>M13-602-071</t>
  </si>
  <si>
    <t>M13-602-084</t>
  </si>
  <si>
    <t>M13-602-097</t>
  </si>
  <si>
    <t>M13-602-107</t>
  </si>
  <si>
    <t>M13-602-110</t>
  </si>
  <si>
    <t>M13-602-123</t>
  </si>
  <si>
    <t>M13-602-136</t>
  </si>
  <si>
    <t>M13-602-149</t>
  </si>
  <si>
    <t>Type</t>
  </si>
  <si>
    <t>Transport Mode</t>
  </si>
  <si>
    <t>Contract No</t>
  </si>
  <si>
    <t>Delivery</t>
  </si>
  <si>
    <t>Ex-Factory Date</t>
  </si>
  <si>
    <t>Total</t>
  </si>
  <si>
    <t>Size</t>
  </si>
  <si>
    <t>3 Yrs</t>
  </si>
  <si>
    <t>4 Yrs</t>
  </si>
  <si>
    <t>5 Yrs</t>
  </si>
  <si>
    <t>6 Yrs</t>
  </si>
  <si>
    <t>7 Yrs</t>
  </si>
  <si>
    <t>8 Yrs</t>
  </si>
  <si>
    <t>9 Yrs</t>
  </si>
  <si>
    <t>10 Yrs</t>
  </si>
  <si>
    <t>11 Yrs</t>
  </si>
  <si>
    <t>12 Yrs</t>
  </si>
  <si>
    <t>Online</t>
  </si>
  <si>
    <t>Sea</t>
  </si>
  <si>
    <t>YY8496771</t>
  </si>
  <si>
    <t>1</t>
  </si>
  <si>
    <t>Quantity</t>
  </si>
  <si>
    <t>M13-602-152</t>
  </si>
  <si>
    <t>M13-602-165</t>
  </si>
  <si>
    <t>M13-602-178</t>
  </si>
  <si>
    <t>M13-602-181</t>
  </si>
  <si>
    <t>13 Yrs</t>
  </si>
  <si>
    <t>14 Yrs</t>
  </si>
  <si>
    <t>15 Yrs</t>
  </si>
  <si>
    <t>16 Yrs</t>
  </si>
  <si>
    <t>Fabric Contract No</t>
  </si>
  <si>
    <t>M13603</t>
  </si>
  <si>
    <t>EASY 2 SHORT REG</t>
  </si>
  <si>
    <t>M13-603-054</t>
  </si>
  <si>
    <t>M13-603-067</t>
  </si>
  <si>
    <t>M13-603-070</t>
  </si>
  <si>
    <t>M13-603-083</t>
  </si>
  <si>
    <t>M13-603-096</t>
  </si>
  <si>
    <t>M13-603-106</t>
  </si>
  <si>
    <t>M13-603-119</t>
  </si>
  <si>
    <t>M13-603-122</t>
  </si>
  <si>
    <t>M13-603-135</t>
  </si>
  <si>
    <t>M13-603-148</t>
  </si>
  <si>
    <t>YY8496768</t>
  </si>
  <si>
    <t>M13-603-151</t>
  </si>
  <si>
    <t>M13-603-164</t>
  </si>
  <si>
    <t>M13-603-177</t>
  </si>
  <si>
    <t>M13-603-180</t>
  </si>
  <si>
    <t>M13607</t>
  </si>
  <si>
    <t>SHIRT 2 SHORT REG</t>
  </si>
  <si>
    <t>M13-607-050</t>
  </si>
  <si>
    <t>M13-607-063</t>
  </si>
  <si>
    <t>M13-607-076</t>
  </si>
  <si>
    <t>M13-607-089</t>
  </si>
  <si>
    <t>M13-607-092</t>
  </si>
  <si>
    <t>M13-607-102</t>
  </si>
  <si>
    <t>M13-607-115</t>
  </si>
  <si>
    <t>M13-607-128</t>
  </si>
  <si>
    <t>M13-607-131</t>
  </si>
  <si>
    <t>M13-607-144</t>
  </si>
  <si>
    <t>YY8496742</t>
  </si>
  <si>
    <t>M13-607-157</t>
  </si>
  <si>
    <t>M13-607-160</t>
  </si>
  <si>
    <t>M13-607-173</t>
  </si>
  <si>
    <t>M13-607-186</t>
  </si>
  <si>
    <t>M13-607-199</t>
  </si>
  <si>
    <t>17 Yrs</t>
  </si>
  <si>
    <t>M13610</t>
  </si>
  <si>
    <t>SHIRT 2 SHORT SLIM</t>
  </si>
  <si>
    <t>M13-610-050</t>
  </si>
  <si>
    <t>M13-610-063</t>
  </si>
  <si>
    <t>M13-610-076</t>
  </si>
  <si>
    <t>M13-610-089</t>
  </si>
  <si>
    <t>M13-610-092</t>
  </si>
  <si>
    <t>M13-610-102</t>
  </si>
  <si>
    <t>M13-610-115</t>
  </si>
  <si>
    <t>M13-610-128</t>
  </si>
  <si>
    <t>M13-610-131</t>
  </si>
  <si>
    <t>M13-610-144</t>
  </si>
  <si>
    <t>YY8496739</t>
  </si>
  <si>
    <t>M13-610-157</t>
  </si>
  <si>
    <t>M13-610-160</t>
  </si>
  <si>
    <t>M13-610-173</t>
  </si>
  <si>
    <t>M13-610-186</t>
  </si>
  <si>
    <t>M13-610-199</t>
  </si>
  <si>
    <t>M13622</t>
  </si>
  <si>
    <t>SHIRT 5 SHORT REG</t>
  </si>
  <si>
    <t>M13-622-051</t>
  </si>
  <si>
    <t>M13-622-064</t>
  </si>
  <si>
    <t>M13-622-077</t>
  </si>
  <si>
    <t>M13-622-080</t>
  </si>
  <si>
    <t>M13-622-093</t>
  </si>
  <si>
    <t>M13-622-103</t>
  </si>
  <si>
    <t>M13-622-116</t>
  </si>
  <si>
    <t>M13-622-129</t>
  </si>
  <si>
    <t>M13-622-132</t>
  </si>
  <si>
    <t>M13-622-145</t>
  </si>
  <si>
    <t>YY8496755</t>
  </si>
  <si>
    <t>M13-622-158</t>
  </si>
  <si>
    <t>M13-622-161</t>
  </si>
  <si>
    <t>M13-622-174</t>
  </si>
  <si>
    <t>M13-622-187</t>
  </si>
  <si>
    <t>M13-622-190</t>
  </si>
  <si>
    <t>See the following link for Next Terms and Conditions: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</si>
</sst>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ptos Narrow"/>
    </font>
    <font>
      <b/>
      <u/>
      <sz val="16"/>
      <name val="Verdana"/>
    </font>
    <font>
      <b/>
      <sz val="10"/>
      <name val="Verdana"/>
    </font>
    <font>
      <sz val="10"/>
      <name val="Verdana"/>
    </font>
    <font>
      <b/>
      <sz val="10"/>
      <color rgb="FFFF0000"/>
      <name val="Verdana"/>
    </font>
    <font>
      <i/>
      <u/>
      <sz val="10"/>
      <color rgb="FF0000FF"/>
      <name val="Verdana"/>
    </font>
    <font>
      <b/>
      <sz val="11"/>
      <name val="Verdana"/>
      <family val="2"/>
    </font>
    <font>
      <b/>
      <sz val="11"/>
      <name val="Aptos Narrow"/>
      <family val="2"/>
    </font>
    <font>
      <b/>
      <sz val="12"/>
      <name val="Verdana"/>
      <family val="2"/>
    </font>
    <font>
      <sz val="11"/>
      <name val="Aptos Narrow"/>
      <family val="2"/>
    </font>
    <font>
      <b/>
      <sz val="11"/>
      <color rgb="FFFF0000"/>
      <name val="Verdana"/>
      <family val="2"/>
    </font>
    <font>
      <i/>
      <u/>
      <sz val="11"/>
      <color rgb="FF0000FF"/>
      <name val="Verdana"/>
      <family val="2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5" fontId="6" fillId="3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0" xfId="0" applyFont="1" applyFill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shrinkToFi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108"/>
  <sheetViews>
    <sheetView topLeftCell="A82" zoomScale="71" zoomScaleNormal="71" workbookViewId="0">
      <selection activeCell="H96" sqref="H96"/>
    </sheetView>
  </sheetViews>
  <sheetFormatPr defaultRowHeight="15" x14ac:dyDescent="0.25"/>
  <cols>
    <col min="1" max="2" width="2" customWidth="1"/>
    <col min="3" max="3" width="23.5703125" customWidth="1"/>
    <col min="4" max="4" width="24" customWidth="1"/>
    <col min="5" max="5" width="13.140625" customWidth="1"/>
    <col min="6" max="6" width="9.5703125" customWidth="1"/>
    <col min="7" max="7" width="17.5703125" customWidth="1"/>
    <col min="8" max="8" width="6.5703125" customWidth="1"/>
    <col min="9" max="19" width="15" customWidth="1"/>
    <col min="20" max="20" width="7.85546875" customWidth="1"/>
  </cols>
  <sheetData>
    <row r="2" spans="1:20" x14ac:dyDescent="0.25">
      <c r="A2" s="12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3"/>
    </row>
    <row r="3" spans="1:20" ht="19.5" x14ac:dyDescent="0.25">
      <c r="A3" s="10"/>
      <c r="C3" s="1" t="s">
        <v>0</v>
      </c>
      <c r="T3" s="11"/>
    </row>
    <row r="4" spans="1:20" x14ac:dyDescent="0.25">
      <c r="A4" s="10"/>
      <c r="T4" s="11"/>
    </row>
    <row r="5" spans="1:20" x14ac:dyDescent="0.25">
      <c r="A5" s="10"/>
      <c r="C5" s="2" t="s">
        <v>1</v>
      </c>
      <c r="D5" s="3" t="s">
        <v>2</v>
      </c>
      <c r="T5" s="11"/>
    </row>
    <row r="6" spans="1:20" x14ac:dyDescent="0.25">
      <c r="A6" s="10"/>
      <c r="C6" s="2" t="s">
        <v>3</v>
      </c>
      <c r="D6" s="3" t="s">
        <v>4</v>
      </c>
      <c r="T6" s="11"/>
    </row>
    <row r="7" spans="1:20" x14ac:dyDescent="0.25">
      <c r="A7" s="10"/>
      <c r="C7" s="2" t="s">
        <v>5</v>
      </c>
      <c r="D7" s="3" t="s">
        <v>6</v>
      </c>
      <c r="T7" s="11"/>
    </row>
    <row r="8" spans="1:20" x14ac:dyDescent="0.25">
      <c r="A8" s="10"/>
      <c r="T8" s="11"/>
    </row>
    <row r="9" spans="1:20" x14ac:dyDescent="0.25">
      <c r="A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1"/>
    </row>
    <row r="10" spans="1:20" x14ac:dyDescent="0.25">
      <c r="A10" s="10"/>
      <c r="C10" s="2" t="s">
        <v>7</v>
      </c>
      <c r="D10" s="19" t="s">
        <v>8</v>
      </c>
      <c r="T10" s="11"/>
    </row>
    <row r="11" spans="1:20" x14ac:dyDescent="0.25">
      <c r="A11" s="10"/>
      <c r="C11" s="2" t="s">
        <v>9</v>
      </c>
      <c r="D11" s="3" t="s">
        <v>10</v>
      </c>
      <c r="T11" s="11"/>
    </row>
    <row r="12" spans="1:20" x14ac:dyDescent="0.25">
      <c r="A12" s="10"/>
      <c r="C12" s="2" t="s">
        <v>11</v>
      </c>
      <c r="D12" s="3" t="s">
        <v>12</v>
      </c>
      <c r="T12" s="11"/>
    </row>
    <row r="13" spans="1:20" x14ac:dyDescent="0.25">
      <c r="A13" s="10"/>
      <c r="T13" s="11"/>
    </row>
    <row r="14" spans="1:20" x14ac:dyDescent="0.25">
      <c r="A14" s="10"/>
      <c r="C14" s="6" t="s">
        <v>13</v>
      </c>
      <c r="T14" s="11"/>
    </row>
    <row r="15" spans="1:20" x14ac:dyDescent="0.25">
      <c r="A15" s="10"/>
      <c r="C15" s="6" t="s">
        <v>14</v>
      </c>
      <c r="K15" s="7" t="str">
        <f>HYPERLINK("https://suppliercompliance.go.akamai-access.com/Home/Contract", "Compliance Portal")</f>
        <v>Compliance Portal</v>
      </c>
      <c r="T15" s="11"/>
    </row>
    <row r="16" spans="1:20" x14ac:dyDescent="0.25">
      <c r="A16" s="10"/>
      <c r="C16" s="6" t="s">
        <v>15</v>
      </c>
      <c r="T16" s="11"/>
    </row>
    <row r="17" spans="1:20" x14ac:dyDescent="0.25">
      <c r="A17" s="10"/>
      <c r="T17" s="11"/>
    </row>
    <row r="18" spans="1:20" x14ac:dyDescent="0.25">
      <c r="A18" s="10"/>
      <c r="I18" s="3" t="s">
        <v>16</v>
      </c>
      <c r="J18" s="5" t="s">
        <v>17</v>
      </c>
      <c r="K18" s="5" t="s">
        <v>18</v>
      </c>
      <c r="L18" s="5" t="s">
        <v>19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24</v>
      </c>
      <c r="R18" s="5" t="s">
        <v>25</v>
      </c>
      <c r="S18" s="5" t="s">
        <v>26</v>
      </c>
      <c r="T18" s="11"/>
    </row>
    <row r="19" spans="1:20" x14ac:dyDescent="0.25">
      <c r="A19" s="10"/>
      <c r="C19" s="2" t="s">
        <v>27</v>
      </c>
      <c r="D19" s="16" t="s">
        <v>28</v>
      </c>
      <c r="E19" s="16" t="s">
        <v>29</v>
      </c>
      <c r="F19" s="16" t="s">
        <v>30</v>
      </c>
      <c r="G19" s="16" t="s">
        <v>31</v>
      </c>
      <c r="H19" s="16" t="s">
        <v>32</v>
      </c>
      <c r="I19" s="3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11"/>
    </row>
    <row r="20" spans="1:20" x14ac:dyDescent="0.25">
      <c r="A20" s="10"/>
      <c r="C20" s="3" t="s">
        <v>44</v>
      </c>
      <c r="D20" s="17" t="s">
        <v>45</v>
      </c>
      <c r="E20" s="20" t="s">
        <v>46</v>
      </c>
      <c r="F20" s="17" t="s">
        <v>47</v>
      </c>
      <c r="G20" s="18">
        <v>46142</v>
      </c>
      <c r="H20" s="17">
        <v>525</v>
      </c>
      <c r="I20" s="3" t="s">
        <v>48</v>
      </c>
      <c r="J20" s="4">
        <v>11</v>
      </c>
      <c r="K20" s="4">
        <v>16</v>
      </c>
      <c r="L20" s="4">
        <v>34</v>
      </c>
      <c r="M20" s="4">
        <v>46</v>
      </c>
      <c r="N20" s="4">
        <v>46</v>
      </c>
      <c r="O20" s="4">
        <v>40</v>
      </c>
      <c r="P20" s="4">
        <v>40</v>
      </c>
      <c r="Q20" s="4">
        <v>45</v>
      </c>
      <c r="R20" s="4">
        <v>39</v>
      </c>
      <c r="S20" s="4">
        <v>68</v>
      </c>
    </row>
    <row r="21" spans="1:20" x14ac:dyDescent="0.25">
      <c r="A21" s="10"/>
      <c r="T21" s="11"/>
    </row>
    <row r="22" spans="1:20" x14ac:dyDescent="0.25">
      <c r="A22" s="10"/>
      <c r="I22" s="3" t="s">
        <v>16</v>
      </c>
      <c r="J22" s="5" t="s">
        <v>49</v>
      </c>
      <c r="K22" s="5" t="s">
        <v>50</v>
      </c>
      <c r="L22" s="5" t="s">
        <v>51</v>
      </c>
      <c r="M22" s="5" t="s">
        <v>52</v>
      </c>
      <c r="T22" s="11"/>
    </row>
    <row r="23" spans="1:20" x14ac:dyDescent="0.25">
      <c r="A23" s="10"/>
      <c r="I23" s="3" t="s">
        <v>33</v>
      </c>
      <c r="J23" s="4" t="s">
        <v>53</v>
      </c>
      <c r="K23" s="4" t="s">
        <v>54</v>
      </c>
      <c r="L23" s="4" t="s">
        <v>55</v>
      </c>
      <c r="M23" s="4" t="s">
        <v>56</v>
      </c>
      <c r="T23" s="11"/>
    </row>
    <row r="24" spans="1:20" x14ac:dyDescent="0.25">
      <c r="A24" s="10"/>
      <c r="I24" s="3" t="s">
        <v>48</v>
      </c>
      <c r="J24" s="4">
        <v>48</v>
      </c>
      <c r="K24" s="4">
        <v>41</v>
      </c>
      <c r="L24" s="4">
        <v>29</v>
      </c>
      <c r="M24" s="4">
        <v>22</v>
      </c>
      <c r="T24" s="11"/>
    </row>
    <row r="25" spans="1:20" x14ac:dyDescent="0.25">
      <c r="A25" s="10"/>
      <c r="T25" s="11"/>
    </row>
    <row r="26" spans="1:20" x14ac:dyDescent="0.25">
      <c r="A26" s="10"/>
      <c r="D26" s="16" t="s">
        <v>57</v>
      </c>
      <c r="E26" s="3" t="s">
        <v>12</v>
      </c>
      <c r="T26" s="11"/>
    </row>
    <row r="27" spans="1:20" x14ac:dyDescent="0.25">
      <c r="A27" s="10"/>
      <c r="T27" s="11"/>
    </row>
    <row r="28" spans="1:20" x14ac:dyDescent="0.25">
      <c r="A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1"/>
    </row>
    <row r="29" spans="1:20" x14ac:dyDescent="0.25">
      <c r="A29" s="10"/>
      <c r="C29" s="2" t="s">
        <v>7</v>
      </c>
      <c r="D29" s="19" t="s">
        <v>58</v>
      </c>
      <c r="T29" s="11"/>
    </row>
    <row r="30" spans="1:20" x14ac:dyDescent="0.25">
      <c r="A30" s="10"/>
      <c r="C30" s="2" t="s">
        <v>9</v>
      </c>
      <c r="D30" s="3" t="s">
        <v>59</v>
      </c>
      <c r="T30" s="11"/>
    </row>
    <row r="31" spans="1:20" x14ac:dyDescent="0.25">
      <c r="A31" s="10"/>
      <c r="C31" s="2" t="s">
        <v>11</v>
      </c>
      <c r="D31" s="3" t="s">
        <v>12</v>
      </c>
      <c r="T31" s="11"/>
    </row>
    <row r="32" spans="1:20" x14ac:dyDescent="0.25">
      <c r="A32" s="10"/>
      <c r="T32" s="11"/>
    </row>
    <row r="33" spans="1:20" x14ac:dyDescent="0.25">
      <c r="A33" s="10"/>
      <c r="C33" s="6" t="s">
        <v>13</v>
      </c>
      <c r="T33" s="11"/>
    </row>
    <row r="34" spans="1:20" x14ac:dyDescent="0.25">
      <c r="A34" s="10"/>
      <c r="C34" s="6" t="s">
        <v>14</v>
      </c>
      <c r="K34" s="7" t="str">
        <f>HYPERLINK("https://suppliercompliance.go.akamai-access.com/Home/Contract", "Compliance Portal")</f>
        <v>Compliance Portal</v>
      </c>
      <c r="T34" s="11"/>
    </row>
    <row r="35" spans="1:20" x14ac:dyDescent="0.25">
      <c r="A35" s="10"/>
      <c r="C35" s="6" t="s">
        <v>15</v>
      </c>
      <c r="T35" s="11"/>
    </row>
    <row r="36" spans="1:20" x14ac:dyDescent="0.25">
      <c r="A36" s="10"/>
      <c r="T36" s="11"/>
    </row>
    <row r="37" spans="1:20" x14ac:dyDescent="0.25">
      <c r="A37" s="10"/>
      <c r="I37" s="3" t="s">
        <v>16</v>
      </c>
      <c r="J37" s="5" t="s">
        <v>60</v>
      </c>
      <c r="K37" s="5" t="s">
        <v>61</v>
      </c>
      <c r="L37" s="5" t="s">
        <v>62</v>
      </c>
      <c r="M37" s="5" t="s">
        <v>63</v>
      </c>
      <c r="N37" s="5" t="s">
        <v>64</v>
      </c>
      <c r="O37" s="5" t="s">
        <v>65</v>
      </c>
      <c r="P37" s="5" t="s">
        <v>66</v>
      </c>
      <c r="Q37" s="5" t="s">
        <v>67</v>
      </c>
      <c r="R37" s="5" t="s">
        <v>68</v>
      </c>
      <c r="S37" s="5" t="s">
        <v>69</v>
      </c>
      <c r="T37" s="11"/>
    </row>
    <row r="38" spans="1:20" x14ac:dyDescent="0.25">
      <c r="A38" s="10"/>
      <c r="C38" s="2" t="s">
        <v>27</v>
      </c>
      <c r="D38" s="16" t="s">
        <v>28</v>
      </c>
      <c r="E38" s="16" t="s">
        <v>29</v>
      </c>
      <c r="F38" s="16" t="s">
        <v>30</v>
      </c>
      <c r="G38" s="16" t="s">
        <v>31</v>
      </c>
      <c r="H38" s="16" t="s">
        <v>32</v>
      </c>
      <c r="I38" s="3" t="s">
        <v>33</v>
      </c>
      <c r="J38" s="4" t="s">
        <v>34</v>
      </c>
      <c r="K38" s="4" t="s">
        <v>35</v>
      </c>
      <c r="L38" s="4" t="s">
        <v>36</v>
      </c>
      <c r="M38" s="4" t="s">
        <v>37</v>
      </c>
      <c r="N38" s="4" t="s">
        <v>38</v>
      </c>
      <c r="O38" s="4" t="s">
        <v>39</v>
      </c>
      <c r="P38" s="4" t="s">
        <v>40</v>
      </c>
      <c r="Q38" s="4" t="s">
        <v>41</v>
      </c>
      <c r="R38" s="4" t="s">
        <v>42</v>
      </c>
      <c r="S38" s="4" t="s">
        <v>43</v>
      </c>
      <c r="T38" s="11"/>
    </row>
    <row r="39" spans="1:20" x14ac:dyDescent="0.25">
      <c r="A39" s="10"/>
      <c r="C39" s="3" t="s">
        <v>44</v>
      </c>
      <c r="D39" s="17" t="s">
        <v>45</v>
      </c>
      <c r="E39" s="20" t="s">
        <v>70</v>
      </c>
      <c r="F39" s="17" t="s">
        <v>47</v>
      </c>
      <c r="G39" s="18">
        <v>46142</v>
      </c>
      <c r="H39" s="17">
        <v>1049</v>
      </c>
      <c r="I39" s="3" t="s">
        <v>48</v>
      </c>
      <c r="J39" s="4">
        <v>22</v>
      </c>
      <c r="K39" s="4">
        <v>34</v>
      </c>
      <c r="L39" s="4">
        <v>71</v>
      </c>
      <c r="M39" s="4">
        <v>93</v>
      </c>
      <c r="N39" s="4">
        <v>93</v>
      </c>
      <c r="O39" s="4">
        <v>82</v>
      </c>
      <c r="P39" s="4">
        <v>81</v>
      </c>
      <c r="Q39" s="4">
        <v>93</v>
      </c>
      <c r="R39" s="4">
        <v>92</v>
      </c>
      <c r="S39" s="4">
        <v>127</v>
      </c>
    </row>
    <row r="40" spans="1:20" x14ac:dyDescent="0.25">
      <c r="A40" s="10"/>
      <c r="T40" s="11"/>
    </row>
    <row r="41" spans="1:20" x14ac:dyDescent="0.25">
      <c r="A41" s="10"/>
      <c r="I41" s="3" t="s">
        <v>16</v>
      </c>
      <c r="J41" s="5" t="s">
        <v>71</v>
      </c>
      <c r="K41" s="5" t="s">
        <v>72</v>
      </c>
      <c r="L41" s="5" t="s">
        <v>73</v>
      </c>
      <c r="M41" s="5" t="s">
        <v>74</v>
      </c>
      <c r="T41" s="11"/>
    </row>
    <row r="42" spans="1:20" x14ac:dyDescent="0.25">
      <c r="A42" s="10"/>
      <c r="I42" s="3" t="s">
        <v>33</v>
      </c>
      <c r="J42" s="4" t="s">
        <v>53</v>
      </c>
      <c r="K42" s="4" t="s">
        <v>54</v>
      </c>
      <c r="L42" s="4" t="s">
        <v>55</v>
      </c>
      <c r="M42" s="4" t="s">
        <v>56</v>
      </c>
      <c r="T42" s="11"/>
    </row>
    <row r="43" spans="1:20" x14ac:dyDescent="0.25">
      <c r="A43" s="10"/>
      <c r="I43" s="3" t="s">
        <v>48</v>
      </c>
      <c r="J43" s="4">
        <v>91</v>
      </c>
      <c r="K43" s="4">
        <v>75</v>
      </c>
      <c r="L43" s="4">
        <v>58</v>
      </c>
      <c r="M43" s="4">
        <v>37</v>
      </c>
      <c r="T43" s="11"/>
    </row>
    <row r="44" spans="1:20" x14ac:dyDescent="0.25">
      <c r="A44" s="10"/>
      <c r="T44" s="11"/>
    </row>
    <row r="45" spans="1:20" x14ac:dyDescent="0.25">
      <c r="A45" s="10"/>
      <c r="D45" s="16" t="s">
        <v>57</v>
      </c>
      <c r="E45" s="3" t="s">
        <v>12</v>
      </c>
      <c r="T45" s="11"/>
    </row>
    <row r="46" spans="1:20" x14ac:dyDescent="0.25">
      <c r="A46" s="10"/>
      <c r="T46" s="11"/>
    </row>
    <row r="47" spans="1:20" x14ac:dyDescent="0.25">
      <c r="A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1"/>
    </row>
    <row r="48" spans="1:20" x14ac:dyDescent="0.25">
      <c r="A48" s="10"/>
      <c r="C48" s="2" t="s">
        <v>7</v>
      </c>
      <c r="D48" s="27" t="s">
        <v>75</v>
      </c>
      <c r="T48" s="11"/>
    </row>
    <row r="49" spans="1:20" x14ac:dyDescent="0.25">
      <c r="A49" s="10"/>
      <c r="C49" s="2" t="s">
        <v>9</v>
      </c>
      <c r="D49" s="21" t="s">
        <v>76</v>
      </c>
      <c r="T49" s="11"/>
    </row>
    <row r="50" spans="1:20" x14ac:dyDescent="0.25">
      <c r="A50" s="10"/>
      <c r="C50" s="2" t="s">
        <v>11</v>
      </c>
      <c r="D50" s="3" t="s">
        <v>12</v>
      </c>
      <c r="T50" s="11"/>
    </row>
    <row r="51" spans="1:20" x14ac:dyDescent="0.25">
      <c r="A51" s="10"/>
      <c r="T51" s="11"/>
    </row>
    <row r="52" spans="1:20" x14ac:dyDescent="0.25">
      <c r="A52" s="10"/>
      <c r="C52" s="6" t="s">
        <v>13</v>
      </c>
      <c r="T52" s="11"/>
    </row>
    <row r="53" spans="1:20" x14ac:dyDescent="0.25">
      <c r="A53" s="10"/>
      <c r="C53" s="6" t="s">
        <v>14</v>
      </c>
      <c r="K53" s="7" t="str">
        <f>HYPERLINK("https://suppliercompliance.go.akamai-access.com/Home/Contract", "Compliance Portal")</f>
        <v>Compliance Portal</v>
      </c>
      <c r="T53" s="11"/>
    </row>
    <row r="54" spans="1:20" x14ac:dyDescent="0.25">
      <c r="A54" s="10"/>
      <c r="C54" s="6" t="s">
        <v>15</v>
      </c>
      <c r="T54" s="11"/>
    </row>
    <row r="55" spans="1:20" x14ac:dyDescent="0.25">
      <c r="A55" s="10"/>
      <c r="T55" s="11"/>
    </row>
    <row r="56" spans="1:20" x14ac:dyDescent="0.25">
      <c r="A56" s="10"/>
      <c r="I56" s="3" t="s">
        <v>16</v>
      </c>
      <c r="J56" s="5" t="s">
        <v>77</v>
      </c>
      <c r="K56" s="5" t="s">
        <v>78</v>
      </c>
      <c r="L56" s="5" t="s">
        <v>79</v>
      </c>
      <c r="M56" s="5" t="s">
        <v>80</v>
      </c>
      <c r="N56" s="5" t="s">
        <v>81</v>
      </c>
      <c r="O56" s="5" t="s">
        <v>82</v>
      </c>
      <c r="P56" s="5" t="s">
        <v>83</v>
      </c>
      <c r="Q56" s="5" t="s">
        <v>84</v>
      </c>
      <c r="R56" s="5" t="s">
        <v>85</v>
      </c>
      <c r="S56" s="5" t="s">
        <v>86</v>
      </c>
      <c r="T56" s="11"/>
    </row>
    <row r="57" spans="1:20" x14ac:dyDescent="0.25">
      <c r="A57" s="10"/>
      <c r="C57" s="2" t="s">
        <v>27</v>
      </c>
      <c r="D57" s="16" t="s">
        <v>28</v>
      </c>
      <c r="E57" s="16" t="s">
        <v>29</v>
      </c>
      <c r="F57" s="16" t="s">
        <v>30</v>
      </c>
      <c r="G57" s="16" t="s">
        <v>31</v>
      </c>
      <c r="H57" s="16" t="s">
        <v>32</v>
      </c>
      <c r="I57" s="3" t="s">
        <v>33</v>
      </c>
      <c r="J57" s="25" t="s">
        <v>34</v>
      </c>
      <c r="K57" s="25" t="s">
        <v>35</v>
      </c>
      <c r="L57" s="25" t="s">
        <v>36</v>
      </c>
      <c r="M57" s="25" t="s">
        <v>37</v>
      </c>
      <c r="N57" s="25" t="s">
        <v>38</v>
      </c>
      <c r="O57" s="25" t="s">
        <v>39</v>
      </c>
      <c r="P57" s="25" t="s">
        <v>40</v>
      </c>
      <c r="Q57" s="25" t="s">
        <v>41</v>
      </c>
      <c r="R57" s="25" t="s">
        <v>42</v>
      </c>
      <c r="S57" s="25" t="s">
        <v>43</v>
      </c>
      <c r="T57" s="11"/>
    </row>
    <row r="58" spans="1:20" x14ac:dyDescent="0.25">
      <c r="A58" s="10"/>
      <c r="C58" s="21" t="s">
        <v>44</v>
      </c>
      <c r="D58" s="22" t="s">
        <v>45</v>
      </c>
      <c r="E58" s="22" t="s">
        <v>87</v>
      </c>
      <c r="F58" s="22" t="s">
        <v>47</v>
      </c>
      <c r="G58" s="23">
        <v>46142</v>
      </c>
      <c r="H58" s="22">
        <v>2101</v>
      </c>
      <c r="I58" s="3" t="s">
        <v>48</v>
      </c>
      <c r="J58" s="25">
        <v>22</v>
      </c>
      <c r="K58" s="25">
        <v>22</v>
      </c>
      <c r="L58" s="25">
        <v>38</v>
      </c>
      <c r="M58" s="25">
        <v>64</v>
      </c>
      <c r="N58" s="25">
        <v>58</v>
      </c>
      <c r="O58" s="25">
        <v>71</v>
      </c>
      <c r="P58" s="25">
        <v>75</v>
      </c>
      <c r="Q58" s="25">
        <v>82</v>
      </c>
      <c r="R58" s="25">
        <v>85</v>
      </c>
      <c r="S58" s="25">
        <v>159</v>
      </c>
    </row>
    <row r="59" spans="1:20" x14ac:dyDescent="0.25">
      <c r="A59" s="10"/>
      <c r="T59" s="11"/>
    </row>
    <row r="60" spans="1:20" x14ac:dyDescent="0.25">
      <c r="A60" s="10"/>
      <c r="I60" s="3" t="s">
        <v>16</v>
      </c>
      <c r="J60" s="5" t="s">
        <v>88</v>
      </c>
      <c r="K60" s="5" t="s">
        <v>89</v>
      </c>
      <c r="L60" s="5" t="s">
        <v>90</v>
      </c>
      <c r="M60" s="5" t="s">
        <v>91</v>
      </c>
      <c r="N60" s="5" t="s">
        <v>92</v>
      </c>
      <c r="T60" s="11"/>
    </row>
    <row r="61" spans="1:20" x14ac:dyDescent="0.25">
      <c r="A61" s="10"/>
      <c r="I61" s="3" t="s">
        <v>33</v>
      </c>
      <c r="J61" s="25" t="s">
        <v>53</v>
      </c>
      <c r="K61" s="25" t="s">
        <v>54</v>
      </c>
      <c r="L61" s="25" t="s">
        <v>55</v>
      </c>
      <c r="M61" s="25" t="s">
        <v>56</v>
      </c>
      <c r="N61" s="25" t="s">
        <v>93</v>
      </c>
      <c r="T61" s="11"/>
    </row>
    <row r="62" spans="1:20" x14ac:dyDescent="0.25">
      <c r="A62" s="10"/>
      <c r="I62" s="3" t="s">
        <v>48</v>
      </c>
      <c r="J62" s="25">
        <v>245</v>
      </c>
      <c r="K62" s="25">
        <v>278</v>
      </c>
      <c r="L62" s="25">
        <v>352</v>
      </c>
      <c r="M62" s="25">
        <v>335</v>
      </c>
      <c r="N62" s="25">
        <v>215</v>
      </c>
      <c r="T62" s="11"/>
    </row>
    <row r="63" spans="1:20" x14ac:dyDescent="0.25">
      <c r="A63" s="10"/>
      <c r="T63" s="11"/>
    </row>
    <row r="64" spans="1:20" x14ac:dyDescent="0.25">
      <c r="A64" s="10"/>
      <c r="D64" s="16" t="s">
        <v>57</v>
      </c>
      <c r="E64" s="3" t="s">
        <v>12</v>
      </c>
      <c r="T64" s="11"/>
    </row>
    <row r="65" spans="1:20" x14ac:dyDescent="0.25">
      <c r="A65" s="10"/>
      <c r="T65" s="11"/>
    </row>
    <row r="66" spans="1:20" x14ac:dyDescent="0.25">
      <c r="A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1"/>
    </row>
    <row r="67" spans="1:20" x14ac:dyDescent="0.25">
      <c r="A67" s="10"/>
      <c r="C67" s="2" t="s">
        <v>7</v>
      </c>
      <c r="D67" s="27" t="s">
        <v>94</v>
      </c>
      <c r="T67" s="11"/>
    </row>
    <row r="68" spans="1:20" x14ac:dyDescent="0.25">
      <c r="A68" s="10"/>
      <c r="C68" s="2" t="s">
        <v>9</v>
      </c>
      <c r="D68" s="21" t="s">
        <v>95</v>
      </c>
      <c r="T68" s="11"/>
    </row>
    <row r="69" spans="1:20" x14ac:dyDescent="0.25">
      <c r="A69" s="10"/>
      <c r="C69" s="2" t="s">
        <v>11</v>
      </c>
      <c r="D69" s="3" t="s">
        <v>12</v>
      </c>
      <c r="T69" s="11"/>
    </row>
    <row r="70" spans="1:20" x14ac:dyDescent="0.25">
      <c r="A70" s="10"/>
      <c r="T70" s="11"/>
    </row>
    <row r="71" spans="1:20" x14ac:dyDescent="0.25">
      <c r="A71" s="10"/>
      <c r="C71" s="6" t="s">
        <v>13</v>
      </c>
      <c r="T71" s="11"/>
    </row>
    <row r="72" spans="1:20" x14ac:dyDescent="0.25">
      <c r="A72" s="10"/>
      <c r="C72" s="6" t="s">
        <v>14</v>
      </c>
      <c r="K72" s="7" t="str">
        <f>HYPERLINK("https://suppliercompliance.go.akamai-access.com/Home/Contract", "Compliance Portal")</f>
        <v>Compliance Portal</v>
      </c>
      <c r="T72" s="11"/>
    </row>
    <row r="73" spans="1:20" x14ac:dyDescent="0.25">
      <c r="A73" s="10"/>
      <c r="C73" s="6" t="s">
        <v>15</v>
      </c>
      <c r="T73" s="11"/>
    </row>
    <row r="74" spans="1:20" x14ac:dyDescent="0.25">
      <c r="A74" s="10"/>
      <c r="T74" s="11"/>
    </row>
    <row r="75" spans="1:20" x14ac:dyDescent="0.25">
      <c r="A75" s="10"/>
      <c r="I75" s="3" t="s">
        <v>16</v>
      </c>
      <c r="J75" s="5" t="s">
        <v>96</v>
      </c>
      <c r="K75" s="5" t="s">
        <v>97</v>
      </c>
      <c r="L75" s="5" t="s">
        <v>98</v>
      </c>
      <c r="M75" s="5" t="s">
        <v>99</v>
      </c>
      <c r="N75" s="5" t="s">
        <v>100</v>
      </c>
      <c r="O75" s="5" t="s">
        <v>101</v>
      </c>
      <c r="P75" s="5" t="s">
        <v>102</v>
      </c>
      <c r="Q75" s="5" t="s">
        <v>103</v>
      </c>
      <c r="R75" s="5" t="s">
        <v>104</v>
      </c>
      <c r="S75" s="5" t="s">
        <v>105</v>
      </c>
      <c r="T75" s="11"/>
    </row>
    <row r="76" spans="1:20" x14ac:dyDescent="0.25">
      <c r="A76" s="10"/>
      <c r="C76" s="2" t="s">
        <v>27</v>
      </c>
      <c r="D76" s="16" t="s">
        <v>28</v>
      </c>
      <c r="E76" s="16" t="s">
        <v>29</v>
      </c>
      <c r="F76" s="16" t="s">
        <v>30</v>
      </c>
      <c r="G76" s="16" t="s">
        <v>31</v>
      </c>
      <c r="H76" s="16" t="s">
        <v>32</v>
      </c>
      <c r="I76" s="3" t="s">
        <v>33</v>
      </c>
      <c r="J76" s="25" t="s">
        <v>34</v>
      </c>
      <c r="K76" s="25" t="s">
        <v>35</v>
      </c>
      <c r="L76" s="25" t="s">
        <v>36</v>
      </c>
      <c r="M76" s="25" t="s">
        <v>37</v>
      </c>
      <c r="N76" s="25" t="s">
        <v>38</v>
      </c>
      <c r="O76" s="25" t="s">
        <v>39</v>
      </c>
      <c r="P76" s="25" t="s">
        <v>40</v>
      </c>
      <c r="Q76" s="25" t="s">
        <v>41</v>
      </c>
      <c r="R76" s="25" t="s">
        <v>42</v>
      </c>
      <c r="S76" s="25" t="s">
        <v>43</v>
      </c>
      <c r="T76" s="11"/>
    </row>
    <row r="77" spans="1:20" x14ac:dyDescent="0.25">
      <c r="A77" s="10"/>
      <c r="C77" s="21" t="s">
        <v>44</v>
      </c>
      <c r="D77" s="22" t="s">
        <v>45</v>
      </c>
      <c r="E77" s="22" t="s">
        <v>106</v>
      </c>
      <c r="F77" s="22" t="s">
        <v>47</v>
      </c>
      <c r="G77" s="23">
        <v>46142</v>
      </c>
      <c r="H77" s="22">
        <v>1050</v>
      </c>
      <c r="I77" s="21" t="s">
        <v>48</v>
      </c>
      <c r="J77" s="25">
        <v>7</v>
      </c>
      <c r="K77" s="25">
        <v>17</v>
      </c>
      <c r="L77" s="25">
        <v>27</v>
      </c>
      <c r="M77" s="25">
        <v>44</v>
      </c>
      <c r="N77" s="25">
        <v>46</v>
      </c>
      <c r="O77" s="25">
        <v>47</v>
      </c>
      <c r="P77" s="25">
        <v>51</v>
      </c>
      <c r="Q77" s="25">
        <v>54</v>
      </c>
      <c r="R77" s="25">
        <v>56</v>
      </c>
      <c r="S77" s="25">
        <v>89</v>
      </c>
    </row>
    <row r="78" spans="1:20" x14ac:dyDescent="0.25">
      <c r="A78" s="10"/>
      <c r="C78" s="24"/>
      <c r="D78" s="24"/>
      <c r="E78" s="24"/>
      <c r="F78" s="24"/>
      <c r="G78" s="24"/>
      <c r="H78" s="24"/>
      <c r="I78" s="24"/>
      <c r="T78" s="11"/>
    </row>
    <row r="79" spans="1:20" x14ac:dyDescent="0.25">
      <c r="A79" s="10"/>
      <c r="C79" s="24"/>
      <c r="D79" s="24"/>
      <c r="E79" s="24"/>
      <c r="F79" s="24"/>
      <c r="G79" s="24"/>
      <c r="H79" s="24"/>
      <c r="I79" s="21" t="s">
        <v>16</v>
      </c>
      <c r="J79" s="5" t="s">
        <v>107</v>
      </c>
      <c r="K79" s="5" t="s">
        <v>108</v>
      </c>
      <c r="L79" s="5" t="s">
        <v>109</v>
      </c>
      <c r="M79" s="5" t="s">
        <v>110</v>
      </c>
      <c r="N79" s="5" t="s">
        <v>111</v>
      </c>
      <c r="T79" s="11"/>
    </row>
    <row r="80" spans="1:20" x14ac:dyDescent="0.25">
      <c r="A80" s="10"/>
      <c r="C80" s="24"/>
      <c r="D80" s="24"/>
      <c r="E80" s="24"/>
      <c r="F80" s="24"/>
      <c r="G80" s="24"/>
      <c r="H80" s="24"/>
      <c r="I80" s="21" t="s">
        <v>33</v>
      </c>
      <c r="J80" s="26" t="s">
        <v>53</v>
      </c>
      <c r="K80" s="26" t="s">
        <v>54</v>
      </c>
      <c r="L80" s="26" t="s">
        <v>55</v>
      </c>
      <c r="M80" s="26" t="s">
        <v>56</v>
      </c>
      <c r="N80" s="26" t="s">
        <v>93</v>
      </c>
      <c r="T80" s="11"/>
    </row>
    <row r="81" spans="1:20" x14ac:dyDescent="0.25">
      <c r="A81" s="10"/>
      <c r="C81" s="24"/>
      <c r="D81" s="24"/>
      <c r="E81" s="24"/>
      <c r="F81" s="24"/>
      <c r="G81" s="24"/>
      <c r="H81" s="24"/>
      <c r="I81" s="21" t="s">
        <v>48</v>
      </c>
      <c r="J81" s="26">
        <v>126</v>
      </c>
      <c r="K81" s="26">
        <v>140</v>
      </c>
      <c r="L81" s="26">
        <v>161</v>
      </c>
      <c r="M81" s="26">
        <v>129</v>
      </c>
      <c r="N81" s="26">
        <v>56</v>
      </c>
      <c r="T81" s="11"/>
    </row>
    <row r="82" spans="1:20" x14ac:dyDescent="0.25">
      <c r="A82" s="10"/>
      <c r="T82" s="11"/>
    </row>
    <row r="83" spans="1:20" x14ac:dyDescent="0.25">
      <c r="A83" s="10"/>
      <c r="D83" s="16" t="s">
        <v>57</v>
      </c>
      <c r="E83" s="3" t="s">
        <v>12</v>
      </c>
      <c r="T83" s="11"/>
    </row>
    <row r="84" spans="1:20" x14ac:dyDescent="0.25">
      <c r="A84" s="10"/>
      <c r="T84" s="11"/>
    </row>
    <row r="85" spans="1:20" x14ac:dyDescent="0.25">
      <c r="A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1"/>
    </row>
    <row r="86" spans="1:20" x14ac:dyDescent="0.25">
      <c r="A86" s="10"/>
      <c r="C86" s="30" t="s">
        <v>7</v>
      </c>
      <c r="D86" s="27" t="s">
        <v>112</v>
      </c>
      <c r="T86" s="11"/>
    </row>
    <row r="87" spans="1:20" x14ac:dyDescent="0.25">
      <c r="A87" s="10"/>
      <c r="C87" s="30" t="s">
        <v>9</v>
      </c>
      <c r="D87" s="21" t="s">
        <v>113</v>
      </c>
      <c r="T87" s="11"/>
    </row>
    <row r="88" spans="1:20" x14ac:dyDescent="0.25">
      <c r="A88" s="10"/>
      <c r="C88" s="30" t="s">
        <v>11</v>
      </c>
      <c r="D88" s="3" t="s">
        <v>12</v>
      </c>
      <c r="T88" s="11"/>
    </row>
    <row r="89" spans="1:20" x14ac:dyDescent="0.25">
      <c r="A89" s="10"/>
      <c r="T89" s="11"/>
    </row>
    <row r="90" spans="1:20" x14ac:dyDescent="0.25">
      <c r="A90" s="10"/>
      <c r="C90" s="31" t="s">
        <v>13</v>
      </c>
      <c r="D90" s="28"/>
      <c r="E90" s="28"/>
      <c r="F90" s="28"/>
      <c r="G90" s="28"/>
      <c r="H90" s="28"/>
      <c r="I90" s="28"/>
      <c r="J90" s="28"/>
      <c r="K90" s="28"/>
      <c r="T90" s="11"/>
    </row>
    <row r="91" spans="1:20" x14ac:dyDescent="0.25">
      <c r="A91" s="10"/>
      <c r="C91" s="31" t="s">
        <v>14</v>
      </c>
      <c r="D91" s="28"/>
      <c r="E91" s="28"/>
      <c r="F91" s="28"/>
      <c r="G91" s="28"/>
      <c r="H91" s="28"/>
      <c r="I91" s="28"/>
      <c r="J91" s="28"/>
      <c r="K91" s="32" t="str">
        <f>HYPERLINK("https://suppliercompliance.go.akamai-access.com/Home/Contract", "Compliance Portal")</f>
        <v>Compliance Portal</v>
      </c>
      <c r="T91" s="11"/>
    </row>
    <row r="92" spans="1:20" x14ac:dyDescent="0.25">
      <c r="A92" s="10"/>
      <c r="C92" s="31" t="s">
        <v>15</v>
      </c>
      <c r="D92" s="28"/>
      <c r="E92" s="28"/>
      <c r="F92" s="28"/>
      <c r="G92" s="28"/>
      <c r="H92" s="28"/>
      <c r="I92" s="28"/>
      <c r="J92" s="28"/>
      <c r="K92" s="28"/>
      <c r="T92" s="11"/>
    </row>
    <row r="93" spans="1:20" x14ac:dyDescent="0.25">
      <c r="A93" s="10"/>
      <c r="T93" s="11"/>
    </row>
    <row r="94" spans="1:20" x14ac:dyDescent="0.25">
      <c r="A94" s="10"/>
      <c r="I94" s="3" t="s">
        <v>16</v>
      </c>
      <c r="J94" s="5" t="s">
        <v>114</v>
      </c>
      <c r="K94" s="5" t="s">
        <v>115</v>
      </c>
      <c r="L94" s="5" t="s">
        <v>116</v>
      </c>
      <c r="M94" s="5" t="s">
        <v>117</v>
      </c>
      <c r="N94" s="5" t="s">
        <v>118</v>
      </c>
      <c r="O94" s="5" t="s">
        <v>119</v>
      </c>
      <c r="P94" s="5" t="s">
        <v>120</v>
      </c>
      <c r="Q94" s="5" t="s">
        <v>121</v>
      </c>
      <c r="R94" s="5" t="s">
        <v>122</v>
      </c>
      <c r="S94" s="5" t="s">
        <v>123</v>
      </c>
      <c r="T94" s="11"/>
    </row>
    <row r="95" spans="1:20" ht="15.75" x14ac:dyDescent="0.25">
      <c r="A95" s="10"/>
      <c r="C95" s="2" t="s">
        <v>27</v>
      </c>
      <c r="D95" s="16" t="s">
        <v>28</v>
      </c>
      <c r="E95" s="16" t="s">
        <v>29</v>
      </c>
      <c r="F95" s="16" t="s">
        <v>30</v>
      </c>
      <c r="G95" s="16" t="s">
        <v>31</v>
      </c>
      <c r="H95" s="16" t="s">
        <v>32</v>
      </c>
      <c r="I95" s="29" t="s">
        <v>33</v>
      </c>
      <c r="J95" s="25" t="s">
        <v>34</v>
      </c>
      <c r="K95" s="25" t="s">
        <v>35</v>
      </c>
      <c r="L95" s="25" t="s">
        <v>36</v>
      </c>
      <c r="M95" s="25" t="s">
        <v>37</v>
      </c>
      <c r="N95" s="25" t="s">
        <v>38</v>
      </c>
      <c r="O95" s="25" t="s">
        <v>39</v>
      </c>
      <c r="P95" s="25" t="s">
        <v>40</v>
      </c>
      <c r="Q95" s="25" t="s">
        <v>41</v>
      </c>
      <c r="R95" s="25" t="s">
        <v>42</v>
      </c>
      <c r="S95" s="25" t="s">
        <v>43</v>
      </c>
      <c r="T95" s="11"/>
    </row>
    <row r="96" spans="1:20" ht="15.75" x14ac:dyDescent="0.25">
      <c r="A96" s="10"/>
      <c r="C96" s="21" t="s">
        <v>44</v>
      </c>
      <c r="D96" s="22" t="s">
        <v>45</v>
      </c>
      <c r="E96" s="22" t="s">
        <v>124</v>
      </c>
      <c r="F96" s="22" t="s">
        <v>47</v>
      </c>
      <c r="G96" s="23">
        <v>46142</v>
      </c>
      <c r="H96" s="33">
        <v>2103</v>
      </c>
      <c r="I96" s="29" t="s">
        <v>48</v>
      </c>
      <c r="J96" s="25">
        <v>19</v>
      </c>
      <c r="K96" s="25">
        <v>11</v>
      </c>
      <c r="L96" s="25">
        <v>33</v>
      </c>
      <c r="M96" s="25">
        <v>43</v>
      </c>
      <c r="N96" s="25">
        <v>58</v>
      </c>
      <c r="O96" s="25">
        <v>67</v>
      </c>
      <c r="P96" s="25">
        <v>112</v>
      </c>
      <c r="Q96" s="25">
        <v>56</v>
      </c>
      <c r="R96" s="25">
        <v>74</v>
      </c>
      <c r="S96" s="25">
        <v>164</v>
      </c>
    </row>
    <row r="97" spans="1:20" x14ac:dyDescent="0.25">
      <c r="A97" s="10"/>
      <c r="C97" s="24"/>
      <c r="D97" s="24"/>
      <c r="E97" s="24"/>
      <c r="F97" s="24"/>
      <c r="G97" s="24"/>
      <c r="H97" s="24"/>
      <c r="T97" s="11"/>
    </row>
    <row r="98" spans="1:20" x14ac:dyDescent="0.25">
      <c r="A98" s="10"/>
      <c r="I98" s="3" t="s">
        <v>16</v>
      </c>
      <c r="J98" s="5" t="s">
        <v>125</v>
      </c>
      <c r="K98" s="5" t="s">
        <v>126</v>
      </c>
      <c r="L98" s="5" t="s">
        <v>127</v>
      </c>
      <c r="M98" s="5" t="s">
        <v>128</v>
      </c>
      <c r="N98" s="5" t="s">
        <v>129</v>
      </c>
      <c r="T98" s="11"/>
    </row>
    <row r="99" spans="1:20" ht="15.75" x14ac:dyDescent="0.25">
      <c r="A99" s="10"/>
      <c r="I99" s="29" t="s">
        <v>33</v>
      </c>
      <c r="J99" s="25" t="s">
        <v>53</v>
      </c>
      <c r="K99" s="25" t="s">
        <v>54</v>
      </c>
      <c r="L99" s="25" t="s">
        <v>55</v>
      </c>
      <c r="M99" s="25" t="s">
        <v>56</v>
      </c>
      <c r="N99" s="25" t="s">
        <v>93</v>
      </c>
      <c r="T99" s="11"/>
    </row>
    <row r="100" spans="1:20" ht="15.75" x14ac:dyDescent="0.25">
      <c r="A100" s="10"/>
      <c r="I100" s="29" t="s">
        <v>48</v>
      </c>
      <c r="J100" s="25">
        <v>376</v>
      </c>
      <c r="K100" s="25">
        <v>139</v>
      </c>
      <c r="L100" s="25">
        <v>378</v>
      </c>
      <c r="M100" s="25">
        <v>329</v>
      </c>
      <c r="N100" s="25">
        <v>244</v>
      </c>
      <c r="T100" s="11"/>
    </row>
    <row r="101" spans="1:20" x14ac:dyDescent="0.25">
      <c r="A101" s="10"/>
      <c r="T101" s="11"/>
    </row>
    <row r="102" spans="1:20" x14ac:dyDescent="0.25">
      <c r="A102" s="10"/>
      <c r="D102" s="16" t="s">
        <v>57</v>
      </c>
      <c r="E102" s="3" t="s">
        <v>12</v>
      </c>
      <c r="T102" s="11"/>
    </row>
    <row r="103" spans="1:20" x14ac:dyDescent="0.25">
      <c r="A103" s="10"/>
      <c r="T103" s="11"/>
    </row>
    <row r="104" spans="1:20" x14ac:dyDescent="0.25">
      <c r="A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1"/>
    </row>
    <row r="105" spans="1:20" x14ac:dyDescent="0.25">
      <c r="A105" s="10"/>
      <c r="T105" s="11"/>
    </row>
    <row r="106" spans="1:20" x14ac:dyDescent="0.25">
      <c r="A106" s="10"/>
      <c r="C106" s="3" t="s">
        <v>130</v>
      </c>
      <c r="T106" s="11"/>
    </row>
    <row r="107" spans="1:20" x14ac:dyDescent="0.25">
      <c r="A107" s="10"/>
      <c r="C107" s="7" t="str">
        <f>HYPERLINK("https://xcdn.next.co.uk/pdfs/Terms_and_Conditions_April_2024.pdf", "NEXT Terms and Conditions")</f>
        <v>NEXT Terms and Conditions</v>
      </c>
      <c r="T107" s="11"/>
    </row>
    <row r="108" spans="1:20" x14ac:dyDescent="0.25">
      <c r="A108" s="1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5"/>
    </row>
  </sheetData>
  <pageMargins left="0.5" right="0.5" top="0.5" bottom="0.5" header="0" footer="0"/>
  <pageSetup paperSize="9" scale="50" fitToHeight="0" orientation="landscape" r:id="rId1"/>
  <rowBreaks count="1" manualBreakCount="1"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85B1-DEB2-453A-AADF-DF3971F8CDE8}">
  <sheetPr>
    <pageSetUpPr fitToPage="1"/>
  </sheetPr>
  <dimension ref="A1:T18"/>
  <sheetViews>
    <sheetView tabSelected="1" zoomScale="71" zoomScaleNormal="71" workbookViewId="0">
      <selection activeCell="D7" sqref="D7"/>
    </sheetView>
  </sheetViews>
  <sheetFormatPr defaultRowHeight="15" x14ac:dyDescent="0.25"/>
  <cols>
    <col min="1" max="2" width="2" customWidth="1"/>
    <col min="3" max="3" width="23.5703125" customWidth="1"/>
    <col min="4" max="4" width="24" customWidth="1"/>
    <col min="5" max="5" width="13.140625" customWidth="1"/>
    <col min="6" max="6" width="9.5703125" customWidth="1"/>
    <col min="7" max="7" width="17.5703125" customWidth="1"/>
    <col min="8" max="8" width="6.5703125" customWidth="1"/>
    <col min="9" max="19" width="15" customWidth="1"/>
    <col min="20" max="20" width="7.85546875" customWidth="1"/>
  </cols>
  <sheetData>
    <row r="1" spans="1:20" x14ac:dyDescent="0.25">
      <c r="A1" s="10"/>
      <c r="C1" s="30" t="s">
        <v>7</v>
      </c>
      <c r="D1" s="27" t="s">
        <v>112</v>
      </c>
      <c r="T1" s="11"/>
    </row>
    <row r="2" spans="1:20" x14ac:dyDescent="0.25">
      <c r="A2" s="10"/>
      <c r="C2" s="30" t="s">
        <v>9</v>
      </c>
      <c r="D2" s="21" t="s">
        <v>113</v>
      </c>
      <c r="T2" s="11"/>
    </row>
    <row r="3" spans="1:20" x14ac:dyDescent="0.25">
      <c r="A3" s="10"/>
      <c r="C3" s="30" t="s">
        <v>11</v>
      </c>
      <c r="D3" s="3" t="s">
        <v>12</v>
      </c>
      <c r="T3" s="11"/>
    </row>
    <row r="4" spans="1:20" x14ac:dyDescent="0.25">
      <c r="A4" s="10"/>
      <c r="T4" s="11"/>
    </row>
    <row r="5" spans="1:20" x14ac:dyDescent="0.25">
      <c r="A5" s="10"/>
      <c r="C5" s="31" t="s">
        <v>13</v>
      </c>
      <c r="D5" s="28"/>
      <c r="E5" s="28"/>
      <c r="F5" s="28"/>
      <c r="G5" s="28"/>
      <c r="H5" s="28"/>
      <c r="I5" s="28"/>
      <c r="J5" s="28"/>
      <c r="K5" s="28"/>
      <c r="T5" s="11"/>
    </row>
    <row r="6" spans="1:20" x14ac:dyDescent="0.25">
      <c r="A6" s="10"/>
      <c r="C6" s="31" t="s">
        <v>14</v>
      </c>
      <c r="D6" s="28"/>
      <c r="E6" s="28"/>
      <c r="F6" s="28"/>
      <c r="G6" s="28"/>
      <c r="H6" s="28"/>
      <c r="I6" s="28"/>
      <c r="J6" s="28"/>
      <c r="K6" s="32" t="str">
        <f>HYPERLINK("https://suppliercompliance.go.akamai-access.com/Home/Contract", "Compliance Portal")</f>
        <v>Compliance Portal</v>
      </c>
      <c r="T6" s="11"/>
    </row>
    <row r="7" spans="1:20" x14ac:dyDescent="0.25">
      <c r="A7" s="10"/>
      <c r="C7" s="31" t="s">
        <v>15</v>
      </c>
      <c r="D7" s="28"/>
      <c r="E7" s="28"/>
      <c r="F7" s="28"/>
      <c r="G7" s="28"/>
      <c r="H7" s="28"/>
      <c r="I7" s="28"/>
      <c r="J7" s="28"/>
      <c r="K7" s="28"/>
      <c r="T7" s="11"/>
    </row>
    <row r="8" spans="1:20" x14ac:dyDescent="0.25">
      <c r="A8" s="10"/>
      <c r="T8" s="11"/>
    </row>
    <row r="9" spans="1:20" x14ac:dyDescent="0.25">
      <c r="A9" s="10"/>
      <c r="I9" s="3" t="s">
        <v>16</v>
      </c>
      <c r="J9" s="5" t="s">
        <v>114</v>
      </c>
      <c r="K9" s="5" t="s">
        <v>115</v>
      </c>
      <c r="L9" s="5" t="s">
        <v>116</v>
      </c>
      <c r="M9" s="5" t="s">
        <v>117</v>
      </c>
      <c r="N9" s="5" t="s">
        <v>118</v>
      </c>
      <c r="O9" s="5" t="s">
        <v>119</v>
      </c>
      <c r="P9" s="5" t="s">
        <v>120</v>
      </c>
      <c r="Q9" s="5" t="s">
        <v>121</v>
      </c>
      <c r="R9" s="5" t="s">
        <v>122</v>
      </c>
      <c r="S9" s="5" t="s">
        <v>123</v>
      </c>
      <c r="T9" s="11"/>
    </row>
    <row r="10" spans="1:20" ht="15.75" x14ac:dyDescent="0.25">
      <c r="A10" s="10"/>
      <c r="C10" s="2" t="s">
        <v>27</v>
      </c>
      <c r="D10" s="16" t="s">
        <v>28</v>
      </c>
      <c r="E10" s="16" t="s">
        <v>29</v>
      </c>
      <c r="F10" s="16" t="s">
        <v>30</v>
      </c>
      <c r="G10" s="16" t="s">
        <v>31</v>
      </c>
      <c r="H10" s="16" t="s">
        <v>32</v>
      </c>
      <c r="I10" s="29" t="s">
        <v>33</v>
      </c>
      <c r="J10" s="25" t="s">
        <v>34</v>
      </c>
      <c r="K10" s="25" t="s">
        <v>35</v>
      </c>
      <c r="L10" s="25" t="s">
        <v>36</v>
      </c>
      <c r="M10" s="25" t="s">
        <v>37</v>
      </c>
      <c r="N10" s="25" t="s">
        <v>38</v>
      </c>
      <c r="O10" s="25" t="s">
        <v>39</v>
      </c>
      <c r="P10" s="25" t="s">
        <v>40</v>
      </c>
      <c r="Q10" s="25" t="s">
        <v>41</v>
      </c>
      <c r="R10" s="25" t="s">
        <v>42</v>
      </c>
      <c r="S10" s="25" t="s">
        <v>43</v>
      </c>
      <c r="T10" s="11"/>
    </row>
    <row r="11" spans="1:20" ht="15.75" x14ac:dyDescent="0.25">
      <c r="A11" s="10"/>
      <c r="C11" s="21" t="s">
        <v>44</v>
      </c>
      <c r="D11" s="22" t="s">
        <v>45</v>
      </c>
      <c r="E11" s="22" t="s">
        <v>124</v>
      </c>
      <c r="F11" s="22" t="s">
        <v>47</v>
      </c>
      <c r="G11" s="23">
        <v>46142</v>
      </c>
      <c r="H11" s="33">
        <v>2103</v>
      </c>
      <c r="I11" s="29" t="s">
        <v>48</v>
      </c>
      <c r="J11" s="25">
        <v>19</v>
      </c>
      <c r="K11" s="25">
        <v>11</v>
      </c>
      <c r="L11" s="25">
        <v>33</v>
      </c>
      <c r="M11" s="25">
        <v>43</v>
      </c>
      <c r="N11" s="25">
        <v>58</v>
      </c>
      <c r="O11" s="25">
        <v>67</v>
      </c>
      <c r="P11" s="25">
        <v>112</v>
      </c>
      <c r="Q11" s="25">
        <v>56</v>
      </c>
      <c r="R11" s="25">
        <v>74</v>
      </c>
      <c r="S11" s="25">
        <v>164</v>
      </c>
    </row>
    <row r="12" spans="1:20" x14ac:dyDescent="0.25">
      <c r="A12" s="10"/>
      <c r="C12" s="24"/>
      <c r="D12" s="24"/>
      <c r="E12" s="24"/>
      <c r="F12" s="24"/>
      <c r="G12" s="24"/>
      <c r="H12" s="24"/>
      <c r="T12" s="11"/>
    </row>
    <row r="13" spans="1:20" x14ac:dyDescent="0.25">
      <c r="A13" s="10"/>
      <c r="I13" s="3" t="s">
        <v>16</v>
      </c>
      <c r="J13" s="5" t="s">
        <v>125</v>
      </c>
      <c r="K13" s="5" t="s">
        <v>126</v>
      </c>
      <c r="L13" s="5" t="s">
        <v>127</v>
      </c>
      <c r="M13" s="5" t="s">
        <v>128</v>
      </c>
      <c r="N13" s="5" t="s">
        <v>129</v>
      </c>
      <c r="T13" s="11"/>
    </row>
    <row r="14" spans="1:20" ht="15.75" x14ac:dyDescent="0.25">
      <c r="A14" s="10"/>
      <c r="I14" s="29" t="s">
        <v>33</v>
      </c>
      <c r="J14" s="25" t="s">
        <v>53</v>
      </c>
      <c r="K14" s="25" t="s">
        <v>54</v>
      </c>
      <c r="L14" s="25" t="s">
        <v>55</v>
      </c>
      <c r="M14" s="25" t="s">
        <v>56</v>
      </c>
      <c r="N14" s="25" t="s">
        <v>93</v>
      </c>
      <c r="T14" s="11"/>
    </row>
    <row r="15" spans="1:20" ht="15.75" x14ac:dyDescent="0.25">
      <c r="A15" s="10"/>
      <c r="I15" s="29" t="s">
        <v>48</v>
      </c>
      <c r="J15" s="25">
        <v>376</v>
      </c>
      <c r="K15" s="25">
        <v>139</v>
      </c>
      <c r="L15" s="25">
        <v>378</v>
      </c>
      <c r="M15" s="25">
        <v>329</v>
      </c>
      <c r="N15" s="25">
        <v>244</v>
      </c>
      <c r="T15" s="11"/>
    </row>
    <row r="16" spans="1:20" x14ac:dyDescent="0.25">
      <c r="A16" s="10"/>
      <c r="T16" s="11"/>
    </row>
    <row r="17" spans="1:20" x14ac:dyDescent="0.25">
      <c r="A17" s="10"/>
      <c r="D17" s="16" t="s">
        <v>57</v>
      </c>
      <c r="E17" s="3" t="s">
        <v>12</v>
      </c>
      <c r="T17" s="11"/>
    </row>
    <row r="18" spans="1:20" x14ac:dyDescent="0.25">
      <c r="A18" s="10"/>
      <c r="T18" s="11"/>
    </row>
  </sheetData>
  <pageMargins left="0.5" right="0.5" top="0.5" bottom="0.5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D31681 Clover Collections FZCO</vt:lpstr>
      <vt:lpstr>622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Packing-CCL2</cp:lastModifiedBy>
  <cp:lastPrinted>2026-09-16T04:24:26Z</cp:lastPrinted>
  <dcterms:modified xsi:type="dcterms:W3CDTF">2026-09-16T04:24:40Z</dcterms:modified>
</cp:coreProperties>
</file>